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DOCUMENTS\LAMNALCO\SLIMS COMMENTS\Раздел 06 Operations and Contract Management\"/>
    </mc:Choice>
  </mc:AlternateContent>
  <bookViews>
    <workbookView xWindow="0" yWindow="0" windowWidth="19200" windowHeight="12885"/>
  </bookViews>
  <sheets>
    <sheet name="Лист1" sheetId="1" r:id="rId1"/>
  </sheets>
  <calcPr calcId="152511"/>
</workbook>
</file>

<file path=xl/calcChain.xml><?xml version="1.0" encoding="utf-8"?>
<calcChain xmlns="http://schemas.openxmlformats.org/spreadsheetml/2006/main">
  <c r="E9" i="1" l="1"/>
  <c r="G9" i="1" s="1"/>
  <c r="E15" i="1" l="1"/>
  <c r="E21" i="1" s="1"/>
  <c r="G15" i="1"/>
  <c r="E33" i="1"/>
  <c r="G33" i="1"/>
  <c r="E27" i="1"/>
  <c r="G21" i="1"/>
  <c r="G27" i="1"/>
  <c r="E18" i="1"/>
  <c r="E24" i="1"/>
  <c r="E30" i="1"/>
  <c r="G18" i="1"/>
  <c r="G24" i="1"/>
  <c r="G30" i="1"/>
  <c r="E36" i="1"/>
  <c r="G36" i="1"/>
  <c r="E12" i="1"/>
  <c r="G12" i="1"/>
</calcChain>
</file>

<file path=xl/comments1.xml><?xml version="1.0" encoding="utf-8"?>
<comments xmlns="http://schemas.openxmlformats.org/spreadsheetml/2006/main">
  <authors>
    <author>Dick de Jong</author>
  </authors>
  <commentList>
    <comment ref="E6" authorId="0" shapeId="0">
      <text>
        <r>
          <rPr>
            <sz val="9"/>
            <color indexed="81"/>
            <rFont val="Tahoma"/>
            <family val="2"/>
          </rPr>
          <t xml:space="preserve">insert date of last Special Survey here and it will automatically be calculated in the below fields.
</t>
        </r>
      </text>
    </comment>
  </commentList>
</comments>
</file>

<file path=xl/sharedStrings.xml><?xml version="1.0" encoding="utf-8"?>
<sst xmlns="http://schemas.openxmlformats.org/spreadsheetml/2006/main" count="26" uniqueCount="26">
  <si>
    <t>-</t>
  </si>
  <si>
    <t>0 лет после специального освидетельствования судна</t>
  </si>
  <si>
    <t>1 год после специального освидетельствования судна</t>
  </si>
  <si>
    <t>3 года после специального освидетельствования судна</t>
  </si>
  <si>
    <t>2 года после специального освидетельствования судна</t>
  </si>
  <si>
    <t>4 года после специального освидетельствования судна</t>
  </si>
  <si>
    <r>
      <rPr>
        <i/>
        <sz val="11"/>
        <color theme="1"/>
        <rFont val="Calibri"/>
        <family val="2"/>
        <scheme val="minor"/>
      </rPr>
      <t xml:space="preserve">(Примечание 1): </t>
    </r>
    <r>
      <rPr>
        <i/>
        <sz val="11"/>
        <color theme="1"/>
        <rFont val="Calibri"/>
        <family val="2"/>
        <scheme val="minor"/>
      </rPr>
      <t>Передовая практика рекомендует сочетать проверки со стороны внешних организаций как можно большего количества элементов, таких как, оборудование СОЛАС, подъемное оборудование, буксировочное оборудование и проч.</t>
    </r>
  </si>
  <si>
    <r>
      <rPr>
        <i/>
        <sz val="11"/>
        <color theme="1"/>
        <rFont val="Calibri"/>
        <family val="2"/>
        <scheme val="minor"/>
      </rPr>
      <t>Примечание 2: если это применимо, в течение 6 месяцев до годового классификационного освидетельствования  судна необходимо выполнить «испытания на качку».</t>
    </r>
  </si>
  <si>
    <t>Система цветовой маркировки</t>
  </si>
  <si>
    <t>Файл 06</t>
  </si>
  <si>
    <t>Срок хранения 5 лет</t>
  </si>
  <si>
    <t xml:space="preserve">Дополнительный цветовой маркер для используемой грузоподъемной техники в работах по переброске персонала  </t>
  </si>
  <si>
    <t>Дата последнего специального освидетельствования:</t>
  </si>
  <si>
    <r>
      <rPr>
        <sz val="20"/>
        <color theme="1"/>
        <rFont val="Calibri"/>
        <family val="2"/>
        <scheme val="minor"/>
      </rPr>
      <t>SL Honolulu</t>
    </r>
  </si>
  <si>
    <t>Название судна :</t>
  </si>
  <si>
    <r>
      <rPr>
        <sz val="8"/>
        <color theme="1"/>
        <rFont val="Calibri"/>
        <family val="2"/>
        <scheme val="minor"/>
      </rPr>
      <t>Владелец документа: GOM</t>
    </r>
  </si>
  <si>
    <t>SPC-VSL-06-6006</t>
  </si>
  <si>
    <t>-</t>
  </si>
  <si>
    <t>-</t>
  </si>
  <si>
    <t>-</t>
  </si>
  <si>
    <t>-</t>
  </si>
  <si>
    <t>-</t>
  </si>
  <si>
    <t>-</t>
  </si>
  <si>
    <t>-</t>
  </si>
  <si>
    <t>-</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</si>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</sst>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yyyy"/>
  </numFmts>
  <fonts count="5" x14ac:knownFonts="1">
    <font>
      <sz val="11"/>
      <color theme="1"/>
      <name val="Calibri"/>
      <family val="2"/>
      <scheme val="minor"/>
    </font>
    <font>
      <i/>
      <sz val="11"/>
      <color theme="1"/>
      <name val="Calibri"/>
      <family val="2"/>
      <scheme val="minor"/>
    </font>
    <font>
      <sz val="9"/>
      <color indexed="81"/>
      <name val="Tahoma"/>
      <family val="2"/>
    </font>
    <font>
      <sz val="20"/>
      <color theme="1"/>
      <name val="Calibri"/>
      <family val="2"/>
      <scheme val="minor"/>
    </font>
    <font>
      <sz val="8"/>
      <color theme="1"/>
      <name val="Calibri"/>
      <family val="2"/>
      <scheme val="minor"/>
    </font>
  </fonts>
  <fills count="9">
    <fill>
      <patternFill patternType="none"/>
    </fill>
    <fill>
      <patternFill patternType="gray125"/>
    </fill>
    <fill>
      <patternFill patternType="solid">
        <fgColor theme="7" tint="-0.499984740745262"/>
        <bgColor indexed="64"/>
      </patternFill>
    </fill>
    <fill>
      <patternFill patternType="solid">
        <fgColor theme="4"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9" tint="-0.249977111117893"/>
        <bgColor indexed="64"/>
      </patternFill>
    </fill>
    <fill>
      <patternFill patternType="solid">
        <fgColor rgb="FFFFFFCC"/>
        <bgColor indexed="64"/>
      </patternFill>
    </fill>
    <fill>
      <patternFill patternType="solid">
        <fgColor rgb="FF7030A0"/>
        <bgColor indexed="64"/>
      </patternFill>
    </fill>
  </fills>
  <borders count="20">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right/>
      <top style="thick">
        <color auto="1"/>
      </top>
      <bottom/>
      <diagonal/>
    </border>
    <border>
      <left/>
      <right/>
      <top/>
      <bottom style="thick">
        <color auto="1"/>
      </bottom>
      <diagonal/>
    </border>
    <border>
      <left/>
      <right/>
      <top style="medium">
        <color auto="1"/>
      </top>
      <bottom/>
      <diagonal/>
    </border>
    <border>
      <left/>
      <right/>
      <top/>
      <bottom style="medium">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1">
    <xf numFmtId="0" fontId="0" fillId="0" borderId="0"/>
  </cellStyleXfs>
  <cellXfs count="82">
    <xf numFmtId="0" fontId="0" fillId="0" borderId="0" xfId="0"/>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3" borderId="9" xfId="0" applyFill="1" applyBorder="1"/>
    <xf numFmtId="0" fontId="0" fillId="3" borderId="10" xfId="0" applyFill="1" applyBorder="1"/>
    <xf numFmtId="0" fontId="0" fillId="4" borderId="9" xfId="0" applyFill="1" applyBorder="1"/>
    <xf numFmtId="0" fontId="0" fillId="4" borderId="10" xfId="0" applyFill="1" applyBorder="1"/>
    <xf numFmtId="0" fontId="0" fillId="5" borderId="9" xfId="0" applyFill="1" applyBorder="1"/>
    <xf numFmtId="0" fontId="0" fillId="5" borderId="10" xfId="0" applyFill="1" applyBorder="1"/>
    <xf numFmtId="0" fontId="0" fillId="6" borderId="9" xfId="0" applyFill="1" applyBorder="1"/>
    <xf numFmtId="0" fontId="0" fillId="6" borderId="10" xfId="0" applyFill="1" applyBorder="1"/>
    <xf numFmtId="0" fontId="0" fillId="6" borderId="11" xfId="0" applyFill="1" applyBorder="1"/>
    <xf numFmtId="0" fontId="0" fillId="6" borderId="12" xfId="0" applyFill="1" applyBorder="1"/>
    <xf numFmtId="0" fontId="0" fillId="2" borderId="11" xfId="0" applyFill="1" applyBorder="1"/>
    <xf numFmtId="0" fontId="0" fillId="2" borderId="12" xfId="0" applyFill="1" applyBorder="1"/>
    <xf numFmtId="0" fontId="0" fillId="3" borderId="7" xfId="0" applyFill="1" applyBorder="1"/>
    <xf numFmtId="0" fontId="0" fillId="3" borderId="8" xfId="0" applyFill="1" applyBorder="1"/>
    <xf numFmtId="0" fontId="0" fillId="3" borderId="11" xfId="0" applyFill="1" applyBorder="1"/>
    <xf numFmtId="0" fontId="0" fillId="3" borderId="12" xfId="0" applyFill="1" applyBorder="1"/>
    <xf numFmtId="0" fontId="0" fillId="4" borderId="7" xfId="0" applyFill="1" applyBorder="1"/>
    <xf numFmtId="0" fontId="0" fillId="4" borderId="8" xfId="0" applyFill="1" applyBorder="1"/>
    <xf numFmtId="0" fontId="0" fillId="4" borderId="11" xfId="0" applyFill="1" applyBorder="1"/>
    <xf numFmtId="0" fontId="0" fillId="4" borderId="12" xfId="0" applyFill="1" applyBorder="1"/>
    <xf numFmtId="0" fontId="0" fillId="5" borderId="7" xfId="0" applyFill="1" applyBorder="1"/>
    <xf numFmtId="0" fontId="0" fillId="5" borderId="8" xfId="0" applyFill="1" applyBorder="1"/>
    <xf numFmtId="0" fontId="0" fillId="5" borderId="11" xfId="0" applyFill="1" applyBorder="1"/>
    <xf numFmtId="0" fontId="0" fillId="5" borderId="12" xfId="0" applyFill="1" applyBorder="1"/>
    <xf numFmtId="0" fontId="0" fillId="6" borderId="7" xfId="0" applyFill="1" applyBorder="1"/>
    <xf numFmtId="0" fontId="0" fillId="6" borderId="8" xfId="0" applyFill="1" applyBorder="1"/>
    <xf numFmtId="0" fontId="0" fillId="0" borderId="13" xfId="0" applyBorder="1" applyAlignment="1">
      <alignment horizontal="center"/>
    </xf>
    <xf numFmtId="0" fontId="0" fillId="0" borderId="0" xfId="0" applyBorder="1" applyAlignment="1">
      <alignment horizontal="center"/>
    </xf>
    <xf numFmtId="0" fontId="0" fillId="0" borderId="14" xfId="0" applyBorder="1" applyAlignment="1">
      <alignment horizontal="center"/>
    </xf>
    <xf numFmtId="0" fontId="0" fillId="0" borderId="0" xfId="0" applyAlignment="1">
      <alignment horizontal="left"/>
    </xf>
    <xf numFmtId="164" fontId="0" fillId="0" borderId="8" xfId="0" applyNumberFormat="1" applyBorder="1" applyAlignment="1">
      <alignment horizontal="left"/>
    </xf>
    <xf numFmtId="164" fontId="0" fillId="0" borderId="10" xfId="0" applyNumberFormat="1" applyBorder="1" applyAlignment="1">
      <alignment horizontal="left"/>
    </xf>
    <xf numFmtId="0" fontId="0" fillId="0" borderId="8" xfId="0" applyBorder="1" applyAlignment="1">
      <alignment horizontal="left"/>
    </xf>
    <xf numFmtId="0" fontId="0" fillId="0" borderId="12" xfId="0" applyBorder="1" applyAlignment="1">
      <alignment horizontal="left"/>
    </xf>
    <xf numFmtId="0" fontId="0" fillId="0" borderId="10" xfId="0" applyBorder="1" applyAlignment="1">
      <alignment horizontal="left"/>
    </xf>
    <xf numFmtId="0" fontId="0" fillId="0" borderId="0" xfId="0" applyAlignment="1">
      <alignment horizontal="right"/>
    </xf>
    <xf numFmtId="164" fontId="0" fillId="0" borderId="13" xfId="0" applyNumberFormat="1" applyBorder="1" applyAlignment="1">
      <alignment horizontal="right"/>
    </xf>
    <xf numFmtId="164" fontId="0" fillId="0" borderId="0" xfId="0" applyNumberFormat="1" applyBorder="1" applyAlignment="1">
      <alignment horizontal="right"/>
    </xf>
    <xf numFmtId="0" fontId="0" fillId="0" borderId="13" xfId="0" applyBorder="1" applyAlignment="1">
      <alignment horizontal="right"/>
    </xf>
    <xf numFmtId="0" fontId="0" fillId="0" borderId="14" xfId="0" applyBorder="1" applyAlignment="1">
      <alignment horizontal="right"/>
    </xf>
    <xf numFmtId="0" fontId="0" fillId="0" borderId="0" xfId="0" applyBorder="1" applyAlignment="1">
      <alignment horizontal="right"/>
    </xf>
    <xf numFmtId="0" fontId="0" fillId="0" borderId="0" xfId="0" applyBorder="1" applyAlignment="1">
      <alignment horizontal="center" vertical="center"/>
    </xf>
    <xf numFmtId="0" fontId="0" fillId="0" borderId="0" xfId="0"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8" borderId="17" xfId="0" applyFill="1" applyBorder="1"/>
    <xf numFmtId="0" fontId="0" fillId="8" borderId="18" xfId="0" applyFill="1" applyBorder="1"/>
    <xf numFmtId="0" fontId="0" fillId="8" borderId="19" xfId="0" applyFill="1" applyBorder="1"/>
    <xf numFmtId="0" fontId="4" fillId="0" borderId="0" xfId="0" applyFont="1"/>
    <xf numFmtId="0" fontId="0" fillId="0" borderId="9" xfId="0" applyBorder="1" applyAlignment="1">
      <alignment horizontal="left" vertical="center" wrapText="1"/>
    </xf>
    <xf numFmtId="0" fontId="0" fillId="0" borderId="0" xfId="0" applyBorder="1" applyAlignment="1">
      <alignment horizontal="left" vertical="center" wrapText="1"/>
    </xf>
    <xf numFmtId="0" fontId="0" fillId="0" borderId="15" xfId="0" applyBorder="1" applyAlignment="1">
      <alignment horizontal="center"/>
    </xf>
    <xf numFmtId="0" fontId="0" fillId="0" borderId="2" xfId="0" applyBorder="1" applyAlignment="1">
      <alignment horizontal="center"/>
    </xf>
    <xf numFmtId="0" fontId="0" fillId="0" borderId="0" xfId="0"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6" xfId="0" applyBorder="1" applyAlignment="1">
      <alignment horizontal="center"/>
    </xf>
    <xf numFmtId="0" fontId="1" fillId="0" borderId="0" xfId="0" applyFont="1" applyAlignment="1">
      <alignment horizontal="left" vertical="top" wrapText="1"/>
    </xf>
    <xf numFmtId="0" fontId="0" fillId="0" borderId="0" xfId="0" applyAlignment="1">
      <alignment horizontal="left" vertical="center"/>
    </xf>
    <xf numFmtId="0" fontId="0" fillId="0" borderId="1" xfId="0" applyBorder="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14" fontId="3" fillId="7" borderId="0" xfId="0" applyNumberFormat="1" applyFont="1" applyFill="1" applyAlignment="1">
      <alignment horizontal="center" vertical="center"/>
    </xf>
    <xf numFmtId="0" fontId="3" fillId="7" borderId="0" xfId="0" applyFont="1" applyFill="1" applyAlignment="1">
      <alignment horizontal="center" vertical="center"/>
    </xf>
  </cellXfs>
  <cellStyles count="1">
    <cellStyle name="Обычный"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542925</xdr:colOff>
      <xdr:row>10</xdr:row>
      <xdr:rowOff>85725</xdr:rowOff>
    </xdr:from>
    <xdr:to>
      <xdr:col>3</xdr:col>
      <xdr:colOff>57150</xdr:colOff>
      <xdr:row>12</xdr:row>
      <xdr:rowOff>104775</xdr:rowOff>
    </xdr:to>
    <xdr:sp macro="" textlink="">
      <xdr:nvSpPr>
        <xdr:cNvPr id="3" name="Rectangle 2"/>
        <xdr:cNvSpPr/>
      </xdr:nvSpPr>
      <xdr:spPr>
        <a:xfrm>
          <a:off x="3590925" y="1228725"/>
          <a:ext cx="123825"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552450</xdr:colOff>
      <xdr:row>16</xdr:row>
      <xdr:rowOff>47625</xdr:rowOff>
    </xdr:from>
    <xdr:to>
      <xdr:col>3</xdr:col>
      <xdr:colOff>66675</xdr:colOff>
      <xdr:row>18</xdr:row>
      <xdr:rowOff>66675</xdr:rowOff>
    </xdr:to>
    <xdr:sp macro="" textlink="">
      <xdr:nvSpPr>
        <xdr:cNvPr id="5" name="Rectangle 4"/>
        <xdr:cNvSpPr/>
      </xdr:nvSpPr>
      <xdr:spPr>
        <a:xfrm>
          <a:off x="3600450" y="2333625"/>
          <a:ext cx="123825"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542925</xdr:colOff>
      <xdr:row>22</xdr:row>
      <xdr:rowOff>85725</xdr:rowOff>
    </xdr:from>
    <xdr:to>
      <xdr:col>3</xdr:col>
      <xdr:colOff>57150</xdr:colOff>
      <xdr:row>24</xdr:row>
      <xdr:rowOff>104775</xdr:rowOff>
    </xdr:to>
    <xdr:sp macro="" textlink="">
      <xdr:nvSpPr>
        <xdr:cNvPr id="6" name="Rectangle 5"/>
        <xdr:cNvSpPr/>
      </xdr:nvSpPr>
      <xdr:spPr>
        <a:xfrm>
          <a:off x="3590925" y="1228725"/>
          <a:ext cx="123825"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542925</xdr:colOff>
      <xdr:row>28</xdr:row>
      <xdr:rowOff>85725</xdr:rowOff>
    </xdr:from>
    <xdr:to>
      <xdr:col>3</xdr:col>
      <xdr:colOff>57150</xdr:colOff>
      <xdr:row>30</xdr:row>
      <xdr:rowOff>104775</xdr:rowOff>
    </xdr:to>
    <xdr:sp macro="" textlink="">
      <xdr:nvSpPr>
        <xdr:cNvPr id="7" name="Rectangle 6"/>
        <xdr:cNvSpPr/>
      </xdr:nvSpPr>
      <xdr:spPr>
        <a:xfrm>
          <a:off x="3590925" y="1228725"/>
          <a:ext cx="123825"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542925</xdr:colOff>
      <xdr:row>34</xdr:row>
      <xdr:rowOff>85725</xdr:rowOff>
    </xdr:from>
    <xdr:to>
      <xdr:col>3</xdr:col>
      <xdr:colOff>57150</xdr:colOff>
      <xdr:row>36</xdr:row>
      <xdr:rowOff>104775</xdr:rowOff>
    </xdr:to>
    <xdr:sp macro="" textlink="">
      <xdr:nvSpPr>
        <xdr:cNvPr id="8" name="Rectangle 7"/>
        <xdr:cNvSpPr/>
      </xdr:nvSpPr>
      <xdr:spPr>
        <a:xfrm>
          <a:off x="3590925" y="1228725"/>
          <a:ext cx="123825"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28575</xdr:colOff>
      <xdr:row>0</xdr:row>
      <xdr:rowOff>28576</xdr:rowOff>
    </xdr:from>
    <xdr:to>
      <xdr:col>1</xdr:col>
      <xdr:colOff>955832</xdr:colOff>
      <xdr:row>2</xdr:row>
      <xdr:rowOff>161925</xdr:rowOff>
    </xdr:to>
    <xdr:pic>
      <xdr:nvPicPr>
        <xdr:cNvPr id="11" name="Picture 10"/>
        <xdr:cNvPicPr>
          <a:picLocks noChangeAspect="1"/>
        </xdr:cNvPicPr>
      </xdr:nvPicPr>
      <xdr:blipFill>
        <a:blip xmlns:r="http://schemas.openxmlformats.org/officeDocument/2006/relationships" r:embed="rId1"/>
        <a:stretch>
          <a:fillRect/>
        </a:stretch>
      </xdr:blipFill>
      <xdr:spPr>
        <a:xfrm>
          <a:off x="28575" y="28576"/>
          <a:ext cx="1213007" cy="514349"/>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50"/>
  <sheetViews>
    <sheetView tabSelected="1" topLeftCell="A31" workbookViewId="0">
      <selection activeCell="I1" sqref="I1:J1"/>
    </sheetView>
  </sheetViews>
  <sheetFormatPr defaultRowHeight="15" x14ac:dyDescent="0.25"/>
  <cols>
    <col min="1" max="1" width="4.28515625" customWidth="1"/>
    <col min="2" max="2" width="18.42578125" customWidth="1"/>
    <col min="5" max="5" width="10.7109375" style="40" bestFit="1" customWidth="1"/>
    <col min="6" max="6" width="3.140625" customWidth="1"/>
    <col min="7" max="7" width="11.85546875" style="34" customWidth="1"/>
    <col min="8" max="8" width="1.140625" customWidth="1"/>
  </cols>
  <sheetData>
    <row r="1" spans="1:10" x14ac:dyDescent="0.25">
      <c r="A1" s="48"/>
      <c r="B1" s="49"/>
      <c r="C1" s="68" t="s">
        <v>8</v>
      </c>
      <c r="D1" s="69"/>
      <c r="E1" s="69"/>
      <c r="F1" s="69"/>
      <c r="G1" s="70"/>
      <c r="H1" s="48"/>
      <c r="I1" s="60" t="s">
        <v>16</v>
      </c>
      <c r="J1" s="61"/>
    </row>
    <row r="2" spans="1:10" x14ac:dyDescent="0.25">
      <c r="A2" s="50"/>
      <c r="B2" s="51"/>
      <c r="C2" s="71"/>
      <c r="D2" s="72"/>
      <c r="E2" s="72"/>
      <c r="F2" s="72"/>
      <c r="G2" s="73"/>
      <c r="H2" s="50"/>
      <c r="I2" s="62" t="s">
        <v>9</v>
      </c>
      <c r="J2" s="63"/>
    </row>
    <row r="3" spans="1:10" ht="15.75" thickBot="1" x14ac:dyDescent="0.3">
      <c r="A3" s="52"/>
      <c r="B3" s="53"/>
      <c r="C3" s="74"/>
      <c r="D3" s="75"/>
      <c r="E3" s="75"/>
      <c r="F3" s="75"/>
      <c r="G3" s="76"/>
      <c r="H3" s="52"/>
      <c r="I3" s="64" t="s">
        <v>10</v>
      </c>
      <c r="J3" s="65"/>
    </row>
    <row r="4" spans="1:10" ht="3" customHeight="1" x14ac:dyDescent="0.25"/>
    <row r="5" spans="1:10" ht="29.25" customHeight="1" x14ac:dyDescent="0.25">
      <c r="B5" s="67" t="s">
        <v>14</v>
      </c>
      <c r="C5" s="67"/>
      <c r="D5" s="81" t="s">
        <v>13</v>
      </c>
      <c r="E5" s="81"/>
      <c r="F5" s="81"/>
      <c r="G5" s="81"/>
    </row>
    <row r="6" spans="1:10" ht="33" customHeight="1" x14ac:dyDescent="0.25">
      <c r="B6" s="67" t="s">
        <v>12</v>
      </c>
      <c r="C6" s="67"/>
      <c r="D6" s="67"/>
      <c r="E6" s="80">
        <v>40949</v>
      </c>
      <c r="F6" s="81"/>
      <c r="G6" s="81"/>
    </row>
    <row r="7" spans="1:10" ht="4.5" customHeight="1" thickBot="1" x14ac:dyDescent="0.3"/>
    <row r="8" spans="1:10" ht="15.75" customHeight="1" thickTop="1" x14ac:dyDescent="0.25">
      <c r="B8" s="77" t="s">
        <v>1</v>
      </c>
      <c r="C8" s="1"/>
      <c r="D8" s="2"/>
      <c r="E8" s="41"/>
      <c r="F8" s="31"/>
      <c r="G8" s="35"/>
    </row>
    <row r="9" spans="1:10" ht="15" customHeight="1" x14ac:dyDescent="0.25">
      <c r="B9" s="78"/>
      <c r="C9" s="3"/>
      <c r="D9" s="4"/>
      <c r="E9" s="42">
        <f>E6</f>
        <v>40949</v>
      </c>
      <c r="F9" s="32" t="s">
        <v>0</v>
      </c>
      <c r="G9" s="36">
        <f>E9+152</f>
        <v>41101</v>
      </c>
    </row>
    <row r="10" spans="1:10" ht="15.75" customHeight="1" thickBot="1" x14ac:dyDescent="0.3">
      <c r="B10" s="78"/>
      <c r="C10" s="3"/>
      <c r="D10" s="4"/>
      <c r="E10" s="42"/>
      <c r="F10" s="32"/>
      <c r="G10" s="36"/>
    </row>
    <row r="11" spans="1:10" ht="15.75" customHeight="1" thickTop="1" x14ac:dyDescent="0.25">
      <c r="B11" s="78"/>
      <c r="C11" s="1"/>
      <c r="D11" s="2"/>
      <c r="E11" s="43"/>
      <c r="F11" s="31"/>
      <c r="G11" s="37"/>
    </row>
    <row r="12" spans="1:10" ht="15" customHeight="1" x14ac:dyDescent="0.25">
      <c r="B12" s="78"/>
      <c r="C12" s="3"/>
      <c r="D12" s="4"/>
      <c r="E12" s="42">
        <f>E9+187</f>
        <v>41136</v>
      </c>
      <c r="F12" s="46" t="s">
        <v>17</v>
      </c>
      <c r="G12" s="36">
        <f>E9+334</f>
        <v>41283</v>
      </c>
    </row>
    <row r="13" spans="1:10" ht="15.75" customHeight="1" thickBot="1" x14ac:dyDescent="0.3">
      <c r="B13" s="79"/>
      <c r="C13" s="15"/>
      <c r="D13" s="16"/>
      <c r="E13" s="44"/>
      <c r="F13" s="33"/>
      <c r="G13" s="38"/>
    </row>
    <row r="14" spans="1:10" ht="15.75" thickTop="1" x14ac:dyDescent="0.25">
      <c r="B14" s="77" t="s">
        <v>2</v>
      </c>
      <c r="C14" s="5"/>
      <c r="D14" s="6"/>
      <c r="E14" s="42"/>
      <c r="F14" s="32"/>
      <c r="G14" s="36"/>
    </row>
    <row r="15" spans="1:10" x14ac:dyDescent="0.25">
      <c r="B15" s="78"/>
      <c r="C15" s="5"/>
      <c r="D15" s="6"/>
      <c r="E15" s="42">
        <f>E9+365</f>
        <v>41314</v>
      </c>
      <c r="F15" s="46" t="s">
        <v>18</v>
      </c>
      <c r="G15" s="36">
        <f>E9+517</f>
        <v>41466</v>
      </c>
    </row>
    <row r="16" spans="1:10" ht="15.75" thickBot="1" x14ac:dyDescent="0.3">
      <c r="B16" s="78"/>
      <c r="C16" s="5"/>
      <c r="D16" s="6"/>
      <c r="E16" s="42"/>
      <c r="F16" s="32"/>
      <c r="G16" s="39"/>
    </row>
    <row r="17" spans="2:7" ht="15.75" thickTop="1" x14ac:dyDescent="0.25">
      <c r="B17" s="78"/>
      <c r="C17" s="17"/>
      <c r="D17" s="18"/>
      <c r="E17" s="43"/>
      <c r="F17" s="31"/>
      <c r="G17" s="37"/>
    </row>
    <row r="18" spans="2:7" x14ac:dyDescent="0.25">
      <c r="B18" s="78"/>
      <c r="C18" s="5"/>
      <c r="D18" s="6"/>
      <c r="E18" s="42">
        <f>E9+552</f>
        <v>41501</v>
      </c>
      <c r="F18" s="32" t="s">
        <v>19</v>
      </c>
      <c r="G18" s="36">
        <f>E9+699</f>
        <v>41648</v>
      </c>
    </row>
    <row r="19" spans="2:7" ht="15.75" thickBot="1" x14ac:dyDescent="0.3">
      <c r="B19" s="79"/>
      <c r="C19" s="19"/>
      <c r="D19" s="20"/>
      <c r="E19" s="44"/>
      <c r="F19" s="33"/>
      <c r="G19" s="38"/>
    </row>
    <row r="20" spans="2:7" ht="15.75" thickTop="1" x14ac:dyDescent="0.25">
      <c r="B20" s="77" t="s">
        <v>4</v>
      </c>
      <c r="C20" s="7"/>
      <c r="D20" s="8"/>
      <c r="E20" s="45"/>
      <c r="F20" s="32"/>
      <c r="G20" s="39"/>
    </row>
    <row r="21" spans="2:7" x14ac:dyDescent="0.25">
      <c r="B21" s="78"/>
      <c r="C21" s="7"/>
      <c r="D21" s="8"/>
      <c r="E21" s="42">
        <f>E15+730</f>
        <v>42044</v>
      </c>
      <c r="F21" s="32" t="s">
        <v>20</v>
      </c>
      <c r="G21" s="36">
        <f>E9+882</f>
        <v>41831</v>
      </c>
    </row>
    <row r="22" spans="2:7" ht="15.75" thickBot="1" x14ac:dyDescent="0.3">
      <c r="B22" s="78"/>
      <c r="C22" s="7"/>
      <c r="D22" s="8"/>
      <c r="E22" s="45"/>
      <c r="F22" s="32"/>
      <c r="G22" s="39"/>
    </row>
    <row r="23" spans="2:7" ht="15.75" thickTop="1" x14ac:dyDescent="0.25">
      <c r="B23" s="78"/>
      <c r="C23" s="21"/>
      <c r="D23" s="22"/>
      <c r="E23" s="43"/>
      <c r="F23" s="31"/>
      <c r="G23" s="37"/>
    </row>
    <row r="24" spans="2:7" x14ac:dyDescent="0.25">
      <c r="B24" s="78"/>
      <c r="C24" s="7"/>
      <c r="D24" s="8"/>
      <c r="E24" s="42">
        <f>E9+917</f>
        <v>41866</v>
      </c>
      <c r="F24" s="32" t="s">
        <v>21</v>
      </c>
      <c r="G24" s="36">
        <f>E9+1064</f>
        <v>42013</v>
      </c>
    </row>
    <row r="25" spans="2:7" ht="15.75" thickBot="1" x14ac:dyDescent="0.3">
      <c r="B25" s="79"/>
      <c r="C25" s="23"/>
      <c r="D25" s="24"/>
      <c r="E25" s="44"/>
      <c r="F25" s="33"/>
      <c r="G25" s="38"/>
    </row>
    <row r="26" spans="2:7" ht="15.75" thickTop="1" x14ac:dyDescent="0.25">
      <c r="B26" s="77" t="s">
        <v>3</v>
      </c>
      <c r="C26" s="9"/>
      <c r="D26" s="10"/>
      <c r="E26" s="45"/>
      <c r="F26" s="32"/>
      <c r="G26" s="39"/>
    </row>
    <row r="27" spans="2:7" x14ac:dyDescent="0.25">
      <c r="B27" s="78"/>
      <c r="C27" s="9"/>
      <c r="D27" s="10"/>
      <c r="E27" s="42">
        <f>E9+1095</f>
        <v>42044</v>
      </c>
      <c r="F27" s="32" t="s">
        <v>22</v>
      </c>
      <c r="G27" s="36">
        <f>E9+1247</f>
        <v>42196</v>
      </c>
    </row>
    <row r="28" spans="2:7" ht="15.75" thickBot="1" x14ac:dyDescent="0.3">
      <c r="B28" s="78"/>
      <c r="C28" s="9"/>
      <c r="D28" s="10"/>
      <c r="E28" s="45"/>
      <c r="F28" s="32"/>
      <c r="G28" s="39"/>
    </row>
    <row r="29" spans="2:7" ht="15.75" thickTop="1" x14ac:dyDescent="0.25">
      <c r="B29" s="78"/>
      <c r="C29" s="25"/>
      <c r="D29" s="26"/>
      <c r="E29" s="43"/>
      <c r="F29" s="31"/>
      <c r="G29" s="37"/>
    </row>
    <row r="30" spans="2:7" x14ac:dyDescent="0.25">
      <c r="B30" s="78"/>
      <c r="C30" s="9"/>
      <c r="D30" s="10"/>
      <c r="E30" s="42">
        <f>E9+1282</f>
        <v>42231</v>
      </c>
      <c r="F30" s="32" t="s">
        <v>23</v>
      </c>
      <c r="G30" s="36">
        <f>E9+1429</f>
        <v>42378</v>
      </c>
    </row>
    <row r="31" spans="2:7" ht="15.75" thickBot="1" x14ac:dyDescent="0.3">
      <c r="B31" s="79"/>
      <c r="C31" s="27"/>
      <c r="D31" s="28"/>
      <c r="E31" s="44"/>
      <c r="F31" s="33"/>
      <c r="G31" s="38"/>
    </row>
    <row r="32" spans="2:7" ht="15.75" thickTop="1" x14ac:dyDescent="0.25">
      <c r="B32" s="77" t="s">
        <v>5</v>
      </c>
      <c r="C32" s="11"/>
      <c r="D32" s="12"/>
      <c r="E32" s="45"/>
      <c r="F32" s="32"/>
      <c r="G32" s="39"/>
    </row>
    <row r="33" spans="2:7" x14ac:dyDescent="0.25">
      <c r="B33" s="78"/>
      <c r="C33" s="11"/>
      <c r="D33" s="12"/>
      <c r="E33" s="42">
        <f>E9+1460</f>
        <v>42409</v>
      </c>
      <c r="F33" s="32" t="s">
        <v>24</v>
      </c>
      <c r="G33" s="36">
        <f>E9+1612</f>
        <v>42561</v>
      </c>
    </row>
    <row r="34" spans="2:7" ht="15.75" thickBot="1" x14ac:dyDescent="0.3">
      <c r="B34" s="78"/>
      <c r="C34" s="11"/>
      <c r="D34" s="12"/>
      <c r="E34" s="45"/>
      <c r="F34" s="32"/>
      <c r="G34" s="39"/>
    </row>
    <row r="35" spans="2:7" ht="15.75" thickTop="1" x14ac:dyDescent="0.25">
      <c r="B35" s="78"/>
      <c r="C35" s="29"/>
      <c r="D35" s="30"/>
      <c r="E35" s="43"/>
      <c r="F35" s="31"/>
      <c r="G35" s="37"/>
    </row>
    <row r="36" spans="2:7" x14ac:dyDescent="0.25">
      <c r="B36" s="78"/>
      <c r="C36" s="11"/>
      <c r="D36" s="12"/>
      <c r="E36" s="42">
        <f>E9+1647</f>
        <v>42596</v>
      </c>
      <c r="F36" s="32" t="s">
        <v>25</v>
      </c>
      <c r="G36" s="36">
        <f>E9+1794</f>
        <v>42743</v>
      </c>
    </row>
    <row r="37" spans="2:7" ht="15.75" thickBot="1" x14ac:dyDescent="0.3">
      <c r="B37" s="79"/>
      <c r="C37" s="13"/>
      <c r="D37" s="14"/>
      <c r="E37" s="44"/>
      <c r="F37" s="33"/>
      <c r="G37" s="38"/>
    </row>
    <row r="38" spans="2:7" ht="15.75" thickTop="1" x14ac:dyDescent="0.25"/>
    <row r="39" spans="2:7" ht="15" customHeight="1" x14ac:dyDescent="0.25">
      <c r="B39" s="66" t="s">
        <v>6</v>
      </c>
      <c r="C39" s="66"/>
      <c r="D39" s="66"/>
      <c r="E39" s="66"/>
      <c r="F39" s="66"/>
      <c r="G39" s="66"/>
    </row>
    <row r="40" spans="2:7" x14ac:dyDescent="0.25">
      <c r="B40" s="66"/>
      <c r="C40" s="66"/>
      <c r="D40" s="66"/>
      <c r="E40" s="66"/>
      <c r="F40" s="66"/>
      <c r="G40" s="66"/>
    </row>
    <row r="41" spans="2:7" x14ac:dyDescent="0.25">
      <c r="B41" s="66"/>
      <c r="C41" s="66"/>
      <c r="D41" s="66"/>
      <c r="E41" s="66"/>
      <c r="F41" s="66"/>
      <c r="G41" s="66"/>
    </row>
    <row r="42" spans="2:7" x14ac:dyDescent="0.25">
      <c r="B42" s="47"/>
      <c r="C42" s="47"/>
      <c r="D42" s="47"/>
      <c r="E42" s="47"/>
      <c r="F42" s="47"/>
      <c r="G42" s="47"/>
    </row>
    <row r="43" spans="2:7" ht="15" customHeight="1" x14ac:dyDescent="0.25">
      <c r="B43" s="66" t="s">
        <v>7</v>
      </c>
      <c r="C43" s="66"/>
      <c r="D43" s="66"/>
      <c r="E43" s="66"/>
      <c r="F43" s="66"/>
      <c r="G43" s="66"/>
    </row>
    <row r="44" spans="2:7" x14ac:dyDescent="0.25">
      <c r="B44" s="66"/>
      <c r="C44" s="66"/>
      <c r="D44" s="66"/>
      <c r="E44" s="66"/>
      <c r="F44" s="66"/>
      <c r="G44" s="66"/>
    </row>
    <row r="45" spans="2:7" ht="15.75" thickBot="1" x14ac:dyDescent="0.3">
      <c r="B45" s="66"/>
      <c r="C45" s="66"/>
      <c r="D45" s="66"/>
      <c r="E45" s="66"/>
      <c r="F45" s="66"/>
      <c r="G45" s="66"/>
    </row>
    <row r="46" spans="2:7" ht="15.75" thickTop="1" x14ac:dyDescent="0.25">
      <c r="B46" s="54"/>
      <c r="C46" s="58" t="s">
        <v>11</v>
      </c>
      <c r="D46" s="59"/>
      <c r="E46" s="59"/>
      <c r="F46" s="59"/>
      <c r="G46" s="59"/>
    </row>
    <row r="47" spans="2:7" x14ac:dyDescent="0.25">
      <c r="B47" s="55"/>
      <c r="C47" s="58"/>
      <c r="D47" s="59"/>
      <c r="E47" s="59"/>
      <c r="F47" s="59"/>
      <c r="G47" s="59"/>
    </row>
    <row r="48" spans="2:7" ht="15.75" thickBot="1" x14ac:dyDescent="0.3">
      <c r="B48" s="56"/>
      <c r="C48" s="58"/>
      <c r="D48" s="59"/>
      <c r="E48" s="59"/>
      <c r="F48" s="59"/>
      <c r="G48" s="59"/>
    </row>
    <row r="49" spans="2:2" ht="15.75" thickTop="1" x14ac:dyDescent="0.25"/>
    <row r="50" spans="2:2" x14ac:dyDescent="0.25">
      <c r="B50" s="57" t="s">
        <v>15</v>
      </c>
    </row>
  </sheetData>
  <mergeCells count="16">
    <mergeCell ref="C46:G48"/>
    <mergeCell ref="I1:J1"/>
    <mergeCell ref="I2:J2"/>
    <mergeCell ref="I3:J3"/>
    <mergeCell ref="B39:G41"/>
    <mergeCell ref="B43:G45"/>
    <mergeCell ref="B6:D6"/>
    <mergeCell ref="C1:G3"/>
    <mergeCell ref="B26:B31"/>
    <mergeCell ref="B32:B37"/>
    <mergeCell ref="E6:G6"/>
    <mergeCell ref="B8:B13"/>
    <mergeCell ref="B14:B19"/>
    <mergeCell ref="B20:B25"/>
    <mergeCell ref="B5:C5"/>
    <mergeCell ref="D5:G5"/>
  </mergeCells>
  <pageMargins left="0.70866141732283472" right="0.70866141732283472" top="0.74803149606299213" bottom="0.35433070866141736" header="0.31496062992125984" footer="0.31496062992125984"/>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ocumentOwner xmlns="78fc6c61-5c65-4bfb-b2b3-d1a4cf670044">GOM</DocumentOwner>
    <DLCPolicyLabelClientValue xmlns="387b7e62-d6f7-4046-b121-beaa376de823">{_Version} DOC. UNCONTROLLED WHEN PRINTED</DLCPolicyLabelClientValue>
    <DLCPolicyLabelLock xmlns="387b7e62-d6f7-4046-b121-beaa376de823" xsi:nil="true"/>
    <Element xmlns="387b7e62-d6f7-4046-b121-beaa376de823">6</Element>
    <IssueDate xmlns="78fc6c61-5c65-4bfb-b2b3-d1a4cf670044">2016-04-30T22:00:00+00:00</IssueDate>
    <DLCPolicyLabelValue xmlns="1f9dd273-80c6-4aed-baad-2e8d365ff91c">{_Version} DOC. UNCONTROLLED WHEN PRINTED</DLCPolicyLabelValue>
  </documentManagement>
</p:properties>
</file>

<file path=customXml/item3.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0b63232a-1f98-4459-b274-5fc76240d358">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_Version</segment>
          <segment type="literal"> DOC. UNCONTROLLED WHEN PRINTED</segment>
        </label>
      </p:CustomData>
    </p:PolicyItem>
  </p:PolicyItems>
</p:Policy>
</file>

<file path=customXml/item4.xml><?xml version="1.0" encoding="utf-8"?>
<ct:contentTypeSchema xmlns:ct="http://schemas.microsoft.com/office/2006/metadata/contentType" xmlns:ma="http://schemas.microsoft.com/office/2006/metadata/properties/metaAttributes" ct:_="" ma:_="" ma:contentTypeName="Document" ma:contentTypeID="0x010100274C1B05A4822D4DB08A61CF570A6FFE" ma:contentTypeVersion="16" ma:contentTypeDescription="Create a new document." ma:contentTypeScope="" ma:versionID="9801b905d552de0d14f4a6b43ab26b07">
  <xsd:schema xmlns:xsd="http://www.w3.org/2001/XMLSchema" xmlns:xs="http://www.w3.org/2001/XMLSchema" xmlns:p="http://schemas.microsoft.com/office/2006/metadata/properties" xmlns:ns2="387b7e62-d6f7-4046-b121-beaa376de823" xmlns:ns3="1f9dd273-80c6-4aed-baad-2e8d365ff91c" xmlns:ns4="78fc6c61-5c65-4bfb-b2b3-d1a4cf670044" targetNamespace="http://schemas.microsoft.com/office/2006/metadata/properties" ma:root="true" ma:fieldsID="8c4a97fd6ced02ba2a6d767ae96f6b5e" ns2:_="" ns3:_="" ns4:_="">
    <xsd:import namespace="387b7e62-d6f7-4046-b121-beaa376de823"/>
    <xsd:import namespace="1f9dd273-80c6-4aed-baad-2e8d365ff91c"/>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2" nillable="true" ma:displayName="Label Locked" ma:description="Indicates whether the label should be updated when item properties are modified." ma:hidden="true" ma:internalName="DLCPolicyLabelLock" ma:readOnly="false">
      <xsd:simpleType>
        <xsd:restriction base="dms:Text"/>
      </xsd:simpleType>
    </xsd:element>
    <xsd:element name="Element" ma:index="15" nillable="true" ma:displayName="Element" ma:internalName="Ele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9dd273-80c6-4aed-baad-2e8d365ff91c"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C3795C-458E-4B84-8789-B2C521A01C49}">
  <ds:schemaRefs>
    <ds:schemaRef ds:uri="http://schemas.microsoft.com/sharepoint/v3/contenttype/forms"/>
  </ds:schemaRefs>
</ds:datastoreItem>
</file>

<file path=customXml/itemProps2.xml><?xml version="1.0" encoding="utf-8"?>
<ds:datastoreItem xmlns:ds="http://schemas.openxmlformats.org/officeDocument/2006/customXml" ds:itemID="{77A560D2-DFAC-444C-B32B-5AF610EC8BD8}">
  <ds:schemaRefs>
    <ds:schemaRef ds:uri="http://schemas.microsoft.com/office/2006/metadata/properties"/>
    <ds:schemaRef ds:uri="http://schemas.microsoft.com/office/infopath/2007/PartnerControls"/>
    <ds:schemaRef ds:uri="78fc6c61-5c65-4bfb-b2b3-d1a4cf670044"/>
    <ds:schemaRef ds:uri="387b7e62-d6f7-4046-b121-beaa376de823"/>
    <ds:schemaRef ds:uri="1f9dd273-80c6-4aed-baad-2e8d365ff91c"/>
  </ds:schemaRefs>
</ds:datastoreItem>
</file>

<file path=customXml/itemProps3.xml><?xml version="1.0" encoding="utf-8"?>
<ds:datastoreItem xmlns:ds="http://schemas.openxmlformats.org/officeDocument/2006/customXml" ds:itemID="{69E73191-2E62-44E9-A840-273B9E7B41E6}">
  <ds:schemaRefs>
    <ds:schemaRef ds:uri="office.server.policy"/>
  </ds:schemaRefs>
</ds:datastoreItem>
</file>

<file path=customXml/itemProps4.xml><?xml version="1.0" encoding="utf-8"?>
<ds:datastoreItem xmlns:ds="http://schemas.openxmlformats.org/officeDocument/2006/customXml" ds:itemID="{0CFC76A5-648F-43CE-BE5C-532E73B81B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1f9dd273-80c6-4aed-baad-2e8d365ff91c"/>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dc:creator>
  <cp:lastPrinted>2016-03-17T15:29:08Z</cp:lastPrinted>
  <dcterms:created xsi:type="dcterms:W3CDTF">2016-03-17T12:33:05Z</dcterms:created>
  <dcterms:modified xsi:type="dcterms:W3CDTF">2017-08-25T09:03:28Z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0x010100274C1B05A4822D4DB08A61CF570A6FFE</vt:lpwstr>
  </property>
  <property fmtid="{D5CDD505-2E9C-101B-9397-08002B2CF9AE}" pid="3" name="xd_Signature">
    <vt:bool>false</vt:bool>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TemplateUrl">
    <vt:lpwstr/>
  </property>
  <property fmtid="{D5CDD505-2E9C-101B-9397-08002B2CF9AE}" pid="8" name="ProcedureNumber">
    <vt:lpwstr>SPC-VSL-06-6006</vt:lpwstr>
  </property>
  <property fmtid="{D5CDD505-2E9C-101B-9397-08002B2CF9AE}" pid="9" name="DocumentDepartment">
    <vt:lpwstr>6000 Operations</vt:lpwstr>
  </property>
  <property fmtid="{D5CDD505-2E9C-101B-9397-08002B2CF9AE}" pid="10" name="OVMSAElement">
    <vt:lpwstr>06</vt:lpwstr>
  </property>
  <property fmtid="{D5CDD505-2E9C-101B-9397-08002B2CF9AE}" pid="11" name="DocumentLocation">
    <vt:lpwstr>VSL</vt:lpwstr>
  </property>
  <property fmtid="{D5CDD505-2E9C-101B-9397-08002B2CF9AE}" pid="12" name="DocumentType">
    <vt:lpwstr>SPC</vt:lpwstr>
  </property>
</Properties>
</file>