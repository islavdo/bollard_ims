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comments4.xml" ContentType="application/vnd.openxmlformats-officedocument.spreadsheetml.comments+xml"/>
  <Override PartName="/xl/drawings/drawing4.xml" ContentType="application/vnd.openxmlformats-officedocument.drawing+xml"/>
  <Override PartName="/xl/comments5.xml" ContentType="application/vnd.openxmlformats-officedocument.spreadsheetml.comments+xml"/>
  <Override PartName="/xl/drawings/drawing5.xml" ContentType="application/vnd.openxmlformats-officedocument.drawing+xml"/>
  <Override PartName="/xl/comments6.xml" ContentType="application/vnd.openxmlformats-officedocument.spreadsheetml.comments+xml"/>
  <Override PartName="/xl/drawings/drawing6.xml" ContentType="application/vnd.openxmlformats-officedocument.drawing+xml"/>
  <Override PartName="/xl/comments7.xml" ContentType="application/vnd.openxmlformats-officedocument.spreadsheetml.comments+xml"/>
  <Override PartName="/xl/drawings/drawing7.xml" ContentType="application/vnd.openxmlformats-officedocument.drawing+xml"/>
  <Override PartName="/xl/comments8.xml" ContentType="application/vnd.openxmlformats-officedocument.spreadsheetml.comments+xml"/>
  <Override PartName="/xl/drawings/drawing8.xml" ContentType="application/vnd.openxmlformats-officedocument.drawing+xml"/>
  <Override PartName="/xl/comments9.xml" ContentType="application/vnd.openxmlformats-officedocument.spreadsheetml.comments+xml"/>
  <Override PartName="/xl/drawings/drawing9.xml" ContentType="application/vnd.openxmlformats-officedocument.drawing+xml"/>
  <Override PartName="/xl/comments10.xml" ContentType="application/vnd.openxmlformats-officedocument.spreadsheetml.comments+xml"/>
  <Override PartName="/xl/drawings/drawing10.xml" ContentType="application/vnd.openxmlformats-officedocument.drawing+xml"/>
  <Override PartName="/xl/comments11.xml" ContentType="application/vnd.openxmlformats-officedocument.spreadsheetml.comments+xml"/>
  <Override PartName="/xl/drawings/drawing11.xml" ContentType="application/vnd.openxmlformats-officedocument.drawing+xml"/>
  <Override PartName="/xl/comments1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346" codeName="{3D1A710C-6663-3D7B-7F91-EC182F24A4BC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Z:\SMS BOLLARD\Формы SMS\Forms 04 -Technical-\"/>
    </mc:Choice>
  </mc:AlternateContent>
  <xr:revisionPtr revIDLastSave="0" documentId="13_ncr:1_{561CAECC-3C83-4372-8DAA-9A305D49E933}" xr6:coauthVersionLast="36" xr6:coauthVersionMax="36" xr10:uidLastSave="{00000000-0000-0000-0000-000000000000}"/>
  <bookViews>
    <workbookView xWindow="0" yWindow="0" windowWidth="23040" windowHeight="10545" firstSheet="1" activeTab="6" xr2:uid="{00000000-000D-0000-FFFF-FFFF00000000}"/>
  </bookViews>
  <sheets>
    <sheet name="VESSEL DATA " sheetId="1" r:id="rId1"/>
    <sheet name="INSPECTION REMARKS " sheetId="15" r:id="rId2"/>
    <sheet name="1. GENERAL VESSEL MANAGEMENT" sheetId="2" r:id="rId3"/>
    <sheet name="2. HULL" sheetId="4" r:id="rId4"/>
    <sheet name="3. SUPERSTRUCTURE – EXTERNAL" sheetId="5" r:id="rId5"/>
    <sheet name="4. DECKS" sheetId="6" r:id="rId6"/>
    <sheet name="5. DECK MACHINERY" sheetId="7" r:id="rId7"/>
    <sheet name="6. WHEELHOUSE" sheetId="8" r:id="rId8"/>
    <sheet name="7. ACCOMODATION" sheetId="9" r:id="rId9"/>
    <sheet name="8. GALLEY, LAUNDRY &amp; STORES" sheetId="10" r:id="rId10"/>
    <sheet name="9. TECHNICAL SPACES" sheetId="11" r:id="rId11"/>
    <sheet name="10. TANKS, VOIDS AND STORE SPAC" sheetId="13" r:id="rId12"/>
    <sheet name="11. SAFETY" sheetId="14" r:id="rId13"/>
  </sheets>
  <definedNames>
    <definedName name="_xlnm.Print_Titles" localSheetId="5">'4. DECKS'!$8:$8</definedName>
    <definedName name="_xlnm.Print_Titles" localSheetId="8">'7. ACCOMODATION'!$8:$8</definedName>
    <definedName name="_xlnm.Print_Titles" localSheetId="10">'9. TECHNICAL SPACES'!$8:$8</definedName>
  </definedNames>
  <calcPr calcId="191029"/>
</workbook>
</file>

<file path=xl/calcChain.xml><?xml version="1.0" encoding="utf-8"?>
<calcChain xmlns="http://schemas.openxmlformats.org/spreadsheetml/2006/main">
  <c r="H89" i="11" l="1"/>
  <c r="G89" i="11"/>
  <c r="H88" i="11"/>
  <c r="G88" i="11"/>
  <c r="H87" i="11"/>
  <c r="G87" i="11"/>
  <c r="H86" i="11"/>
  <c r="G86" i="11"/>
  <c r="H85" i="11"/>
  <c r="G85" i="11"/>
  <c r="H84" i="11"/>
  <c r="G84" i="11"/>
  <c r="H83" i="11"/>
  <c r="G83" i="11"/>
  <c r="H82" i="11"/>
  <c r="G82" i="11"/>
  <c r="H81" i="11"/>
  <c r="G81" i="11"/>
  <c r="H78" i="11"/>
  <c r="G78" i="11"/>
  <c r="H77" i="11"/>
  <c r="G77" i="11"/>
  <c r="H76" i="11"/>
  <c r="G76" i="11"/>
  <c r="H75" i="11"/>
  <c r="G75" i="11"/>
  <c r="H74" i="11"/>
  <c r="G74" i="11"/>
  <c r="H73" i="11"/>
  <c r="G73" i="11"/>
  <c r="H72" i="11"/>
  <c r="G72" i="11"/>
  <c r="H71" i="11"/>
  <c r="G71" i="11"/>
  <c r="H70" i="11"/>
  <c r="G70" i="11"/>
  <c r="H10" i="14"/>
  <c r="G10" i="14"/>
  <c r="F35" i="8"/>
  <c r="H34" i="8"/>
  <c r="G34" i="8"/>
  <c r="H33" i="8"/>
  <c r="G33" i="8"/>
  <c r="H32" i="8"/>
  <c r="G32" i="8"/>
  <c r="C2" i="14"/>
  <c r="C2" i="13"/>
  <c r="C2" i="11"/>
  <c r="C2" i="10"/>
  <c r="D29" i="1" s="1"/>
  <c r="C2" i="9"/>
  <c r="C2" i="8"/>
  <c r="C2" i="7"/>
  <c r="C2" i="6"/>
  <c r="D25" i="1" s="1"/>
  <c r="C2" i="5"/>
  <c r="C2" i="4"/>
  <c r="C2" i="2"/>
  <c r="H45" i="14"/>
  <c r="H46" i="14"/>
  <c r="H47" i="14"/>
  <c r="H48" i="14"/>
  <c r="H49" i="14"/>
  <c r="H50" i="14"/>
  <c r="H51" i="14"/>
  <c r="H52" i="14"/>
  <c r="H44" i="14"/>
  <c r="H34" i="14"/>
  <c r="H35" i="14"/>
  <c r="H36" i="14"/>
  <c r="H37" i="14"/>
  <c r="H38" i="14"/>
  <c r="H39" i="14"/>
  <c r="H40" i="14"/>
  <c r="H41" i="14"/>
  <c r="H33" i="14"/>
  <c r="H11" i="14"/>
  <c r="H12" i="14"/>
  <c r="H13" i="14"/>
  <c r="H53" i="14" s="1"/>
  <c r="H14" i="14"/>
  <c r="H15" i="14"/>
  <c r="H16" i="14"/>
  <c r="H17" i="14"/>
  <c r="H18" i="14"/>
  <c r="H19" i="14"/>
  <c r="H20" i="14"/>
  <c r="H21" i="14"/>
  <c r="H22" i="14"/>
  <c r="H23" i="14"/>
  <c r="H24" i="14"/>
  <c r="H25" i="14"/>
  <c r="H26" i="14"/>
  <c r="H27" i="14"/>
  <c r="H28" i="14"/>
  <c r="H29" i="14"/>
  <c r="H30" i="14"/>
  <c r="H9" i="14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9" i="13"/>
  <c r="H202" i="11"/>
  <c r="H203" i="11"/>
  <c r="H204" i="11"/>
  <c r="H205" i="11"/>
  <c r="H206" i="11"/>
  <c r="H207" i="11"/>
  <c r="H208" i="11"/>
  <c r="H209" i="11"/>
  <c r="H210" i="11"/>
  <c r="H201" i="11"/>
  <c r="H130" i="11"/>
  <c r="H131" i="11"/>
  <c r="H132" i="11"/>
  <c r="H133" i="11"/>
  <c r="H134" i="11"/>
  <c r="H135" i="11"/>
  <c r="H136" i="11"/>
  <c r="H137" i="11"/>
  <c r="H138" i="11"/>
  <c r="H139" i="11"/>
  <c r="H140" i="11"/>
  <c r="H141" i="11"/>
  <c r="H142" i="11"/>
  <c r="H143" i="11"/>
  <c r="H144" i="11"/>
  <c r="H145" i="11"/>
  <c r="H146" i="11"/>
  <c r="H147" i="11"/>
  <c r="H148" i="11"/>
  <c r="H149" i="11"/>
  <c r="H150" i="11"/>
  <c r="H151" i="11"/>
  <c r="H152" i="11"/>
  <c r="H153" i="11"/>
  <c r="H154" i="11"/>
  <c r="H155" i="11"/>
  <c r="H156" i="11"/>
  <c r="H157" i="11"/>
  <c r="H158" i="11"/>
  <c r="H159" i="11"/>
  <c r="H160" i="11"/>
  <c r="H161" i="11"/>
  <c r="H162" i="11"/>
  <c r="H163" i="11"/>
  <c r="H164" i="11"/>
  <c r="H165" i="11"/>
  <c r="H166" i="11"/>
  <c r="H167" i="11"/>
  <c r="H168" i="11"/>
  <c r="H169" i="11"/>
  <c r="H170" i="11"/>
  <c r="H171" i="11"/>
  <c r="H172" i="11"/>
  <c r="H173" i="11"/>
  <c r="H174" i="11"/>
  <c r="H175" i="11"/>
  <c r="H176" i="11"/>
  <c r="H177" i="11"/>
  <c r="H178" i="11"/>
  <c r="H179" i="11"/>
  <c r="H180" i="11"/>
  <c r="H181" i="11"/>
  <c r="H182" i="11"/>
  <c r="H183" i="11"/>
  <c r="H184" i="11"/>
  <c r="H185" i="11"/>
  <c r="H186" i="11"/>
  <c r="H187" i="11"/>
  <c r="H188" i="11"/>
  <c r="H189" i="11"/>
  <c r="H190" i="11"/>
  <c r="H191" i="11"/>
  <c r="H192" i="11"/>
  <c r="H193" i="11"/>
  <c r="H194" i="11"/>
  <c r="H195" i="11"/>
  <c r="H196" i="11"/>
  <c r="H197" i="11"/>
  <c r="H198" i="11"/>
  <c r="H129" i="11"/>
  <c r="H120" i="11"/>
  <c r="H121" i="11"/>
  <c r="H122" i="11"/>
  <c r="H123" i="11"/>
  <c r="H124" i="11"/>
  <c r="H125" i="11"/>
  <c r="H126" i="11"/>
  <c r="H119" i="11"/>
  <c r="H111" i="11"/>
  <c r="H112" i="11"/>
  <c r="H113" i="11"/>
  <c r="H114" i="11"/>
  <c r="H115" i="11"/>
  <c r="H116" i="11"/>
  <c r="H110" i="11"/>
  <c r="H102" i="11"/>
  <c r="H103" i="11"/>
  <c r="H104" i="11"/>
  <c r="H105" i="11"/>
  <c r="H106" i="11"/>
  <c r="H107" i="11"/>
  <c r="H101" i="11"/>
  <c r="H93" i="11"/>
  <c r="H94" i="11"/>
  <c r="H95" i="11"/>
  <c r="H96" i="11"/>
  <c r="H97" i="11"/>
  <c r="H98" i="11"/>
  <c r="H92" i="11"/>
  <c r="H60" i="11"/>
  <c r="H61" i="11"/>
  <c r="H62" i="11"/>
  <c r="H63" i="11"/>
  <c r="H64" i="11"/>
  <c r="H65" i="11"/>
  <c r="H66" i="11"/>
  <c r="H67" i="11"/>
  <c r="H59" i="11"/>
  <c r="H49" i="11"/>
  <c r="H50" i="11"/>
  <c r="H51" i="11"/>
  <c r="H52" i="11"/>
  <c r="H53" i="11"/>
  <c r="H54" i="11"/>
  <c r="H55" i="11"/>
  <c r="H56" i="11"/>
  <c r="H48" i="11"/>
  <c r="H40" i="11"/>
  <c r="H41" i="11"/>
  <c r="H42" i="11"/>
  <c r="H43" i="11"/>
  <c r="H44" i="11"/>
  <c r="H45" i="11"/>
  <c r="H39" i="11"/>
  <c r="H29" i="11"/>
  <c r="H30" i="11"/>
  <c r="H31" i="11"/>
  <c r="H32" i="11"/>
  <c r="H33" i="11"/>
  <c r="H34" i="11"/>
  <c r="H35" i="11"/>
  <c r="H36" i="11"/>
  <c r="H28" i="11"/>
  <c r="H19" i="11"/>
  <c r="H20" i="11"/>
  <c r="H21" i="11"/>
  <c r="H22" i="11"/>
  <c r="H23" i="11"/>
  <c r="H24" i="11"/>
  <c r="H25" i="11"/>
  <c r="H18" i="11"/>
  <c r="H11" i="11"/>
  <c r="H12" i="11"/>
  <c r="H13" i="11"/>
  <c r="H211" i="11" s="1"/>
  <c r="H14" i="11"/>
  <c r="H15" i="11"/>
  <c r="H10" i="11"/>
  <c r="H10" i="10"/>
  <c r="H36" i="10" s="1"/>
  <c r="H11" i="10"/>
  <c r="H12" i="10"/>
  <c r="H13" i="10"/>
  <c r="H14" i="10"/>
  <c r="H15" i="10"/>
  <c r="H16" i="10"/>
  <c r="H17" i="10"/>
  <c r="H18" i="10"/>
  <c r="H19" i="10"/>
  <c r="H20" i="10"/>
  <c r="H21" i="10"/>
  <c r="H22" i="10"/>
  <c r="H23" i="10"/>
  <c r="H24" i="10"/>
  <c r="H25" i="10"/>
  <c r="H26" i="10"/>
  <c r="H27" i="10"/>
  <c r="H28" i="10"/>
  <c r="H29" i="10"/>
  <c r="H30" i="10"/>
  <c r="H31" i="10"/>
  <c r="H32" i="10"/>
  <c r="H33" i="10"/>
  <c r="H34" i="10"/>
  <c r="H35" i="10"/>
  <c r="H9" i="10"/>
  <c r="H39" i="9"/>
  <c r="H40" i="9"/>
  <c r="H41" i="9"/>
  <c r="H42" i="9"/>
  <c r="H43" i="9"/>
  <c r="H44" i="9"/>
  <c r="H45" i="9"/>
  <c r="H46" i="9"/>
  <c r="H47" i="9"/>
  <c r="H48" i="9"/>
  <c r="H49" i="9"/>
  <c r="H38" i="9"/>
  <c r="H25" i="9"/>
  <c r="H26" i="9"/>
  <c r="H27" i="9"/>
  <c r="H28" i="9"/>
  <c r="H29" i="9"/>
  <c r="H30" i="9"/>
  <c r="H31" i="9"/>
  <c r="H32" i="9"/>
  <c r="H33" i="9"/>
  <c r="H34" i="9"/>
  <c r="H35" i="9"/>
  <c r="H24" i="9"/>
  <c r="H11" i="9"/>
  <c r="H12" i="9"/>
  <c r="H50" i="9" s="1"/>
  <c r="H13" i="9"/>
  <c r="H14" i="9"/>
  <c r="H15" i="9"/>
  <c r="H16" i="9"/>
  <c r="H17" i="9"/>
  <c r="H18" i="9"/>
  <c r="H19" i="9"/>
  <c r="H20" i="9"/>
  <c r="H21" i="9"/>
  <c r="H10" i="9"/>
  <c r="H10" i="8"/>
  <c r="H11" i="8"/>
  <c r="H35" i="8" s="1"/>
  <c r="H12" i="8"/>
  <c r="H13" i="8"/>
  <c r="H14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9" i="8"/>
  <c r="H10" i="7"/>
  <c r="H11" i="7"/>
  <c r="H12" i="7"/>
  <c r="H13" i="7"/>
  <c r="H14" i="7"/>
  <c r="H15" i="7"/>
  <c r="H16" i="7"/>
  <c r="H17" i="7"/>
  <c r="H18" i="7"/>
  <c r="H19" i="7"/>
  <c r="H20" i="7"/>
  <c r="H21" i="7"/>
  <c r="H22" i="7"/>
  <c r="H23" i="7"/>
  <c r="H24" i="7"/>
  <c r="H25" i="7"/>
  <c r="H26" i="7"/>
  <c r="H27" i="7"/>
  <c r="H9" i="7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63" i="6"/>
  <c r="H55" i="6"/>
  <c r="H56" i="6"/>
  <c r="H57" i="6"/>
  <c r="H58" i="6"/>
  <c r="H59" i="6"/>
  <c r="H54" i="6"/>
  <c r="H47" i="6"/>
  <c r="H48" i="6"/>
  <c r="H49" i="6"/>
  <c r="H50" i="6"/>
  <c r="H51" i="6"/>
  <c r="H46" i="6"/>
  <c r="H39" i="6"/>
  <c r="H40" i="6"/>
  <c r="H41" i="6"/>
  <c r="H42" i="6"/>
  <c r="H43" i="6"/>
  <c r="H38" i="6"/>
  <c r="H31" i="6"/>
  <c r="H32" i="6"/>
  <c r="H33" i="6"/>
  <c r="H34" i="6"/>
  <c r="H35" i="6"/>
  <c r="H30" i="6"/>
  <c r="H20" i="6"/>
  <c r="H21" i="6"/>
  <c r="H22" i="6"/>
  <c r="H23" i="6"/>
  <c r="H24" i="6"/>
  <c r="H25" i="6"/>
  <c r="H26" i="6"/>
  <c r="H27" i="6"/>
  <c r="H19" i="6"/>
  <c r="H11" i="6"/>
  <c r="H110" i="6" s="1"/>
  <c r="H12" i="6"/>
  <c r="H13" i="6"/>
  <c r="H14" i="6"/>
  <c r="H15" i="6"/>
  <c r="H16" i="6"/>
  <c r="H10" i="6"/>
  <c r="H10" i="5"/>
  <c r="H11" i="5"/>
  <c r="H12" i="5"/>
  <c r="H13" i="5"/>
  <c r="H14" i="5"/>
  <c r="H9" i="5"/>
  <c r="H15" i="5" s="1"/>
  <c r="H10" i="4"/>
  <c r="H11" i="4"/>
  <c r="H12" i="4"/>
  <c r="H13" i="4"/>
  <c r="H14" i="4"/>
  <c r="H15" i="4"/>
  <c r="H16" i="4"/>
  <c r="H17" i="4"/>
  <c r="H9" i="4"/>
  <c r="H10" i="2"/>
  <c r="H11" i="2"/>
  <c r="H12" i="2"/>
  <c r="H31" i="2" s="1"/>
  <c r="I22" i="1" s="1"/>
  <c r="L22" i="1" s="1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9" i="2"/>
  <c r="G45" i="14"/>
  <c r="G46" i="14"/>
  <c r="G47" i="14"/>
  <c r="G48" i="14"/>
  <c r="G49" i="14"/>
  <c r="G50" i="14"/>
  <c r="G51" i="14"/>
  <c r="G52" i="14"/>
  <c r="G34" i="14"/>
  <c r="G35" i="14"/>
  <c r="G36" i="14"/>
  <c r="G37" i="14"/>
  <c r="G38" i="14"/>
  <c r="G39" i="14"/>
  <c r="G40" i="14"/>
  <c r="G41" i="14"/>
  <c r="G11" i="14"/>
  <c r="G12" i="14"/>
  <c r="G13" i="14"/>
  <c r="G14" i="14"/>
  <c r="G15" i="14"/>
  <c r="G16" i="14"/>
  <c r="G17" i="14"/>
  <c r="G18" i="14"/>
  <c r="G19" i="14"/>
  <c r="G20" i="14"/>
  <c r="G21" i="14"/>
  <c r="G22" i="14"/>
  <c r="G23" i="14"/>
  <c r="G24" i="14"/>
  <c r="G25" i="14"/>
  <c r="G26" i="14"/>
  <c r="G27" i="14"/>
  <c r="G28" i="14"/>
  <c r="G29" i="14"/>
  <c r="G30" i="14"/>
  <c r="G10" i="13"/>
  <c r="G11" i="13"/>
  <c r="G12" i="13"/>
  <c r="G13" i="13"/>
  <c r="G14" i="13"/>
  <c r="G15" i="13"/>
  <c r="G16" i="13"/>
  <c r="G17" i="13"/>
  <c r="G18" i="13"/>
  <c r="G19" i="13"/>
  <c r="G20" i="13"/>
  <c r="G21" i="13"/>
  <c r="G22" i="13"/>
  <c r="G23" i="13"/>
  <c r="G24" i="13"/>
  <c r="G202" i="11"/>
  <c r="G203" i="11"/>
  <c r="G204" i="11"/>
  <c r="G205" i="11"/>
  <c r="G206" i="11"/>
  <c r="G207" i="11"/>
  <c r="G208" i="11"/>
  <c r="G209" i="11"/>
  <c r="G210" i="11"/>
  <c r="G201" i="11"/>
  <c r="G130" i="11"/>
  <c r="G131" i="11"/>
  <c r="G132" i="11"/>
  <c r="G133" i="11"/>
  <c r="G134" i="11"/>
  <c r="G135" i="11"/>
  <c r="G136" i="11"/>
  <c r="G137" i="11"/>
  <c r="G138" i="11"/>
  <c r="G139" i="11"/>
  <c r="G140" i="11"/>
  <c r="G141" i="11"/>
  <c r="G142" i="11"/>
  <c r="G143" i="11"/>
  <c r="G144" i="11"/>
  <c r="G145" i="11"/>
  <c r="G146" i="11"/>
  <c r="G147" i="11"/>
  <c r="G148" i="11"/>
  <c r="G149" i="11"/>
  <c r="G150" i="11"/>
  <c r="G151" i="11"/>
  <c r="G152" i="11"/>
  <c r="G153" i="11"/>
  <c r="G154" i="11"/>
  <c r="G155" i="11"/>
  <c r="G156" i="11"/>
  <c r="G157" i="11"/>
  <c r="G158" i="11"/>
  <c r="G159" i="11"/>
  <c r="G160" i="11"/>
  <c r="G161" i="11"/>
  <c r="G162" i="11"/>
  <c r="G163" i="11"/>
  <c r="G164" i="11"/>
  <c r="G165" i="11"/>
  <c r="G166" i="11"/>
  <c r="G167" i="11"/>
  <c r="G168" i="11"/>
  <c r="G169" i="11"/>
  <c r="G170" i="11"/>
  <c r="G171" i="11"/>
  <c r="G172" i="11"/>
  <c r="G173" i="11"/>
  <c r="G174" i="11"/>
  <c r="G175" i="11"/>
  <c r="G176" i="11"/>
  <c r="G177" i="11"/>
  <c r="G178" i="11"/>
  <c r="G179" i="11"/>
  <c r="G180" i="11"/>
  <c r="G181" i="11"/>
  <c r="G182" i="11"/>
  <c r="G183" i="11"/>
  <c r="G184" i="11"/>
  <c r="G185" i="11"/>
  <c r="G186" i="11"/>
  <c r="G187" i="11"/>
  <c r="G188" i="11"/>
  <c r="G189" i="11"/>
  <c r="G190" i="11"/>
  <c r="G191" i="11"/>
  <c r="G192" i="11"/>
  <c r="G193" i="11"/>
  <c r="G194" i="11"/>
  <c r="G195" i="11"/>
  <c r="G196" i="11"/>
  <c r="G197" i="11"/>
  <c r="G198" i="11"/>
  <c r="G120" i="11"/>
  <c r="G121" i="11"/>
  <c r="G122" i="11"/>
  <c r="G123" i="11"/>
  <c r="G124" i="11"/>
  <c r="G125" i="11"/>
  <c r="G126" i="11"/>
  <c r="G111" i="11"/>
  <c r="G112" i="11"/>
  <c r="G113" i="11"/>
  <c r="G114" i="11"/>
  <c r="G115" i="11"/>
  <c r="G116" i="11"/>
  <c r="G102" i="11"/>
  <c r="G103" i="11"/>
  <c r="G104" i="11"/>
  <c r="G105" i="11"/>
  <c r="G106" i="11"/>
  <c r="G107" i="11"/>
  <c r="G93" i="11"/>
  <c r="G94" i="11"/>
  <c r="G95" i="11"/>
  <c r="G96" i="11"/>
  <c r="G97" i="11"/>
  <c r="G98" i="11"/>
  <c r="G60" i="11"/>
  <c r="G61" i="11"/>
  <c r="G62" i="11"/>
  <c r="G63" i="11"/>
  <c r="G64" i="11"/>
  <c r="G65" i="11"/>
  <c r="G66" i="11"/>
  <c r="G67" i="11"/>
  <c r="G49" i="11"/>
  <c r="G50" i="11"/>
  <c r="G51" i="11"/>
  <c r="G52" i="11"/>
  <c r="G53" i="11"/>
  <c r="G54" i="11"/>
  <c r="G55" i="11"/>
  <c r="G56" i="11"/>
  <c r="G40" i="11"/>
  <c r="G41" i="11"/>
  <c r="G42" i="11"/>
  <c r="G43" i="11"/>
  <c r="G44" i="11"/>
  <c r="G45" i="11"/>
  <c r="G29" i="11"/>
  <c r="G30" i="11"/>
  <c r="G31" i="11"/>
  <c r="G32" i="11"/>
  <c r="G33" i="11"/>
  <c r="G34" i="11"/>
  <c r="G35" i="11"/>
  <c r="G36" i="11"/>
  <c r="G19" i="11"/>
  <c r="G20" i="11"/>
  <c r="G21" i="11"/>
  <c r="G22" i="11"/>
  <c r="G23" i="11"/>
  <c r="G24" i="11"/>
  <c r="G25" i="11"/>
  <c r="G11" i="11"/>
  <c r="G211" i="11" s="1"/>
  <c r="G12" i="11"/>
  <c r="G13" i="11"/>
  <c r="G14" i="11"/>
  <c r="G15" i="11"/>
  <c r="G39" i="9"/>
  <c r="G40" i="9"/>
  <c r="G41" i="9"/>
  <c r="G42" i="9"/>
  <c r="G43" i="9"/>
  <c r="G44" i="9"/>
  <c r="G45" i="9"/>
  <c r="G46" i="9"/>
  <c r="G47" i="9"/>
  <c r="G48" i="9"/>
  <c r="G49" i="9"/>
  <c r="G25" i="9"/>
  <c r="G26" i="9"/>
  <c r="G27" i="9"/>
  <c r="G28" i="9"/>
  <c r="G29" i="9"/>
  <c r="G30" i="9"/>
  <c r="G31" i="9"/>
  <c r="G32" i="9"/>
  <c r="G33" i="9"/>
  <c r="G34" i="9"/>
  <c r="G35" i="9"/>
  <c r="G11" i="9"/>
  <c r="G12" i="9"/>
  <c r="G13" i="9"/>
  <c r="G14" i="9"/>
  <c r="G15" i="9"/>
  <c r="G16" i="9"/>
  <c r="G17" i="9"/>
  <c r="G18" i="9"/>
  <c r="G19" i="9"/>
  <c r="G20" i="9"/>
  <c r="G21" i="9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26" i="7"/>
  <c r="G27" i="7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55" i="6"/>
  <c r="G56" i="6"/>
  <c r="G57" i="6"/>
  <c r="G58" i="6"/>
  <c r="G59" i="6"/>
  <c r="G47" i="6"/>
  <c r="G48" i="6"/>
  <c r="G49" i="6"/>
  <c r="G50" i="6"/>
  <c r="G51" i="6"/>
  <c r="G39" i="6"/>
  <c r="G40" i="6"/>
  <c r="G41" i="6"/>
  <c r="G42" i="6"/>
  <c r="G43" i="6"/>
  <c r="G31" i="6"/>
  <c r="G32" i="6"/>
  <c r="G33" i="6"/>
  <c r="G34" i="6"/>
  <c r="G35" i="6"/>
  <c r="G20" i="6"/>
  <c r="G21" i="6"/>
  <c r="G22" i="6"/>
  <c r="G23" i="6"/>
  <c r="G24" i="6"/>
  <c r="G25" i="6"/>
  <c r="G26" i="6"/>
  <c r="G27" i="6"/>
  <c r="G11" i="6"/>
  <c r="G12" i="6"/>
  <c r="G13" i="6"/>
  <c r="G14" i="6"/>
  <c r="G15" i="6"/>
  <c r="G16" i="6"/>
  <c r="G44" i="14"/>
  <c r="G33" i="14"/>
  <c r="G9" i="14"/>
  <c r="G9" i="13"/>
  <c r="G129" i="11"/>
  <c r="G119" i="11"/>
  <c r="G110" i="11"/>
  <c r="G101" i="11"/>
  <c r="G92" i="11"/>
  <c r="G59" i="11"/>
  <c r="G48" i="11"/>
  <c r="G39" i="11"/>
  <c r="G28" i="11"/>
  <c r="G18" i="11"/>
  <c r="G10" i="11"/>
  <c r="G38" i="9"/>
  <c r="G24" i="9"/>
  <c r="G10" i="9"/>
  <c r="G50" i="9" s="1"/>
  <c r="G10" i="8"/>
  <c r="G11" i="8"/>
  <c r="G12" i="8"/>
  <c r="G13" i="8"/>
  <c r="G14" i="8"/>
  <c r="G15" i="8"/>
  <c r="G16" i="8"/>
  <c r="G17" i="8"/>
  <c r="G18" i="8"/>
  <c r="G19" i="8"/>
  <c r="G20" i="8"/>
  <c r="G21" i="8"/>
  <c r="G22" i="8"/>
  <c r="G23" i="8"/>
  <c r="G24" i="8"/>
  <c r="G25" i="8"/>
  <c r="G26" i="8"/>
  <c r="G27" i="8"/>
  <c r="G28" i="8"/>
  <c r="G29" i="8"/>
  <c r="G30" i="8"/>
  <c r="G31" i="8"/>
  <c r="G9" i="8"/>
  <c r="G9" i="7"/>
  <c r="G28" i="7" s="1"/>
  <c r="G63" i="6"/>
  <c r="G54" i="6"/>
  <c r="G46" i="6"/>
  <c r="G38" i="6"/>
  <c r="G30" i="6"/>
  <c r="G19" i="6"/>
  <c r="G10" i="6"/>
  <c r="G10" i="5"/>
  <c r="G15" i="5" s="1"/>
  <c r="G11" i="5"/>
  <c r="G12" i="5"/>
  <c r="G13" i="5"/>
  <c r="G14" i="5"/>
  <c r="G9" i="5"/>
  <c r="G10" i="4"/>
  <c r="G11" i="4"/>
  <c r="G12" i="4"/>
  <c r="G13" i="4"/>
  <c r="G14" i="4"/>
  <c r="G15" i="4"/>
  <c r="G16" i="4"/>
  <c r="G17" i="4"/>
  <c r="G9" i="4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9" i="2"/>
  <c r="G10" i="10"/>
  <c r="G11" i="10"/>
  <c r="G12" i="10"/>
  <c r="G13" i="10"/>
  <c r="G36" i="10" s="1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5" i="10"/>
  <c r="G9" i="10"/>
  <c r="F36" i="10"/>
  <c r="G31" i="2"/>
  <c r="C5" i="8"/>
  <c r="G27" i="1"/>
  <c r="H27" i="1" s="1"/>
  <c r="C4" i="8"/>
  <c r="F27" i="1"/>
  <c r="C3" i="8"/>
  <c r="D27" i="1"/>
  <c r="E5" i="8"/>
  <c r="E27" i="1"/>
  <c r="F53" i="14"/>
  <c r="F25" i="13"/>
  <c r="F211" i="11"/>
  <c r="F50" i="9"/>
  <c r="F28" i="7"/>
  <c r="F110" i="6"/>
  <c r="F15" i="5"/>
  <c r="H25" i="13"/>
  <c r="H28" i="7"/>
  <c r="I26" i="1" s="1"/>
  <c r="L26" i="1" s="1"/>
  <c r="F18" i="4"/>
  <c r="F31" i="2"/>
  <c r="H18" i="4"/>
  <c r="D30" i="1"/>
  <c r="C5" i="14"/>
  <c r="G32" i="1" s="1"/>
  <c r="C4" i="14"/>
  <c r="F32" i="1" s="1"/>
  <c r="C3" i="14"/>
  <c r="E32" i="1" s="1"/>
  <c r="D32" i="1"/>
  <c r="C5" i="13"/>
  <c r="G31" i="1"/>
  <c r="C4" i="13"/>
  <c r="F31" i="1"/>
  <c r="C3" i="13"/>
  <c r="E31" i="1"/>
  <c r="D31" i="1"/>
  <c r="C5" i="11"/>
  <c r="G30" i="1" s="1"/>
  <c r="C4" i="11"/>
  <c r="F30" i="1" s="1"/>
  <c r="C3" i="11"/>
  <c r="E30" i="1" s="1"/>
  <c r="C5" i="10"/>
  <c r="G29" i="1" s="1"/>
  <c r="C4" i="10"/>
  <c r="E5" i="10" s="1"/>
  <c r="C3" i="10"/>
  <c r="E29" i="1"/>
  <c r="C5" i="9"/>
  <c r="G28" i="1" s="1"/>
  <c r="H28" i="1" s="1"/>
  <c r="C4" i="9"/>
  <c r="F28" i="1" s="1"/>
  <c r="C3" i="9"/>
  <c r="E28" i="1" s="1"/>
  <c r="D28" i="1"/>
  <c r="C5" i="7"/>
  <c r="G26" i="1" s="1"/>
  <c r="H26" i="1" s="1"/>
  <c r="C4" i="7"/>
  <c r="F26" i="1" s="1"/>
  <c r="C3" i="7"/>
  <c r="E26" i="1" s="1"/>
  <c r="D26" i="1"/>
  <c r="E5" i="13"/>
  <c r="E5" i="9"/>
  <c r="C5" i="6"/>
  <c r="G25" i="1" s="1"/>
  <c r="C4" i="6"/>
  <c r="F25" i="1" s="1"/>
  <c r="C3" i="6"/>
  <c r="E25" i="1" s="1"/>
  <c r="C5" i="5"/>
  <c r="G24" i="1" s="1"/>
  <c r="C4" i="5"/>
  <c r="F24" i="1" s="1"/>
  <c r="C3" i="5"/>
  <c r="E24" i="1"/>
  <c r="D24" i="1"/>
  <c r="C5" i="4"/>
  <c r="G23" i="1" s="1"/>
  <c r="H23" i="1" s="1"/>
  <c r="C4" i="4"/>
  <c r="F23" i="1" s="1"/>
  <c r="C3" i="4"/>
  <c r="E23" i="1" s="1"/>
  <c r="D23" i="1"/>
  <c r="D22" i="1"/>
  <c r="C5" i="2"/>
  <c r="G22" i="1" s="1"/>
  <c r="C4" i="2"/>
  <c r="F22" i="1" s="1"/>
  <c r="C3" i="2"/>
  <c r="E22" i="1" s="1"/>
  <c r="E5" i="4"/>
  <c r="H30" i="1" l="1"/>
  <c r="H31" i="1"/>
  <c r="D33" i="1"/>
  <c r="I24" i="1"/>
  <c r="L24" i="1" s="1"/>
  <c r="I29" i="1"/>
  <c r="L29" i="1" s="1"/>
  <c r="I30" i="1"/>
  <c r="L30" i="1" s="1"/>
  <c r="G53" i="14"/>
  <c r="I32" i="1" s="1"/>
  <c r="L32" i="1" s="1"/>
  <c r="E5" i="6"/>
  <c r="E5" i="14"/>
  <c r="H29" i="1"/>
  <c r="G18" i="4"/>
  <c r="I23" i="1" s="1"/>
  <c r="L23" i="1" s="1"/>
  <c r="G35" i="8"/>
  <c r="I27" i="1" s="1"/>
  <c r="L27" i="1" s="1"/>
  <c r="G25" i="13"/>
  <c r="I31" i="1" s="1"/>
  <c r="L31" i="1" s="1"/>
  <c r="G110" i="6"/>
  <c r="I25" i="1" s="1"/>
  <c r="L25" i="1" s="1"/>
  <c r="H25" i="1"/>
  <c r="H24" i="1"/>
  <c r="E5" i="7"/>
  <c r="F29" i="1"/>
  <c r="F33" i="1" s="1"/>
  <c r="H32" i="1"/>
  <c r="I28" i="1"/>
  <c r="L28" i="1" s="1"/>
  <c r="E33" i="1"/>
  <c r="H22" i="1"/>
  <c r="G33" i="1"/>
  <c r="E5" i="2"/>
  <c r="E5" i="5"/>
  <c r="E5" i="11"/>
  <c r="L33" i="1" l="1"/>
  <c r="J22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Remco Berkhof</author>
  </authors>
  <commentList>
    <comment ref="B8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Enter Y if job needs to be added to MARAD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54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Enter M if job needs to be added to MARAD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Remco Berkhof</author>
  </authors>
  <commentList>
    <comment ref="C8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Double click for change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8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Double click for change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8" authorId="0" shapeId="0" xr:uid="{00000000-0006-0000-0200-000003000000}">
      <text>
        <r>
          <rPr>
            <b/>
            <sz val="9"/>
            <color indexed="81"/>
            <rFont val="Tahoma"/>
            <family val="2"/>
          </rPr>
          <t>Double click for change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8" authorId="0" shapeId="0" xr:uid="{00000000-0006-0000-0200-000004000000}">
      <text>
        <r>
          <rPr>
            <b/>
            <sz val="9"/>
            <color indexed="81"/>
            <rFont val="Tahoma"/>
            <family val="2"/>
          </rPr>
          <t>Enter Y if job needs to be added to MARAD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Remco Berkhof</author>
  </authors>
  <commentList>
    <comment ref="C8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Double click for change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8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Double click for change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8" authorId="0" shapeId="0" xr:uid="{00000000-0006-0000-0300-000003000000}">
      <text>
        <r>
          <rPr>
            <b/>
            <sz val="9"/>
            <color indexed="81"/>
            <rFont val="Tahoma"/>
            <family val="2"/>
          </rPr>
          <t>Double click for change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8" authorId="0" shapeId="0" xr:uid="{00000000-0006-0000-0300-000004000000}">
      <text>
        <r>
          <rPr>
            <b/>
            <sz val="9"/>
            <color indexed="81"/>
            <rFont val="Tahoma"/>
            <family val="2"/>
          </rPr>
          <t>Enter Y if job needs to be added to MARAD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Remco Berkhof</author>
  </authors>
  <commentList>
    <comment ref="C8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Double click for change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8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Double click for change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8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>Double click for change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8" authorId="0" shapeId="0" xr:uid="{00000000-0006-0000-0400-000004000000}">
      <text>
        <r>
          <rPr>
            <b/>
            <sz val="9"/>
            <color indexed="81"/>
            <rFont val="Tahoma"/>
            <family val="2"/>
          </rPr>
          <t>Enter Y if job needs to be added to MARAD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Remco Berkhof</author>
  </authors>
  <commentList>
    <comment ref="C8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Double click for change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8" authorId="0" shapeId="0" xr:uid="{00000000-0006-0000-0500-000002000000}">
      <text>
        <r>
          <rPr>
            <b/>
            <sz val="9"/>
            <color indexed="81"/>
            <rFont val="Tahoma"/>
            <family val="2"/>
          </rPr>
          <t>Double click for change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8" authorId="0" shapeId="0" xr:uid="{00000000-0006-0000-0500-000003000000}">
      <text>
        <r>
          <rPr>
            <b/>
            <sz val="9"/>
            <color indexed="81"/>
            <rFont val="Tahoma"/>
            <family val="2"/>
          </rPr>
          <t>Double click for change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8" authorId="0" shapeId="0" xr:uid="{00000000-0006-0000-0500-000004000000}">
      <text>
        <r>
          <rPr>
            <b/>
            <sz val="9"/>
            <color indexed="81"/>
            <rFont val="Tahoma"/>
            <family val="2"/>
          </rPr>
          <t>Enter Y if job needs to be added to MARAD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Remco Berkhof</author>
  </authors>
  <commentList>
    <comment ref="C8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Double click for change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8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Double click for change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8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>Double click for change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8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>Enter Y if job needs to be added to MARAD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Remco Berkhof</author>
  </authors>
  <commentList>
    <comment ref="C8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Double click for change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8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Double click for change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8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>RDouble click for change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8" authorId="0" shapeId="0" xr:uid="{00000000-0006-0000-0700-000004000000}">
      <text>
        <r>
          <rPr>
            <b/>
            <sz val="9"/>
            <color indexed="81"/>
            <rFont val="Tahoma"/>
            <family val="2"/>
          </rPr>
          <t>Enter Y if job needs to be added to MARAD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Remco Berkhof</author>
  </authors>
  <commentList>
    <comment ref="C8" authorId="0" shapeId="0" xr:uid="{00000000-0006-0000-0800-000001000000}">
      <text>
        <r>
          <rPr>
            <b/>
            <sz val="9"/>
            <color indexed="81"/>
            <rFont val="Tahoma"/>
            <family val="2"/>
          </rPr>
          <t>Double click for change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8" authorId="0" shapeId="0" xr:uid="{00000000-0006-0000-0800-000002000000}">
      <text>
        <r>
          <rPr>
            <b/>
            <sz val="9"/>
            <color indexed="81"/>
            <rFont val="Tahoma"/>
            <family val="2"/>
          </rPr>
          <t>Double click for change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8" authorId="0" shapeId="0" xr:uid="{00000000-0006-0000-0800-000003000000}">
      <text>
        <r>
          <rPr>
            <b/>
            <sz val="9"/>
            <color indexed="81"/>
            <rFont val="Tahoma"/>
            <family val="2"/>
          </rPr>
          <t>Double click for change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8" authorId="0" shapeId="0" xr:uid="{00000000-0006-0000-0800-000004000000}">
      <text>
        <r>
          <rPr>
            <b/>
            <sz val="9"/>
            <color indexed="81"/>
            <rFont val="Tahoma"/>
            <family val="2"/>
          </rPr>
          <t>Enter Y if job needs to be added to MARAD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Remco Berkhof</author>
  </authors>
  <commentList>
    <comment ref="C8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Double click for change</t>
        </r>
      </text>
    </comment>
    <comment ref="D8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Double click for change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8" authorId="0" shapeId="0" xr:uid="{00000000-0006-0000-0900-000003000000}">
      <text>
        <r>
          <rPr>
            <b/>
            <sz val="9"/>
            <color indexed="81"/>
            <rFont val="Tahoma"/>
            <family val="2"/>
          </rPr>
          <t>Double click for change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8" authorId="0" shapeId="0" xr:uid="{00000000-0006-0000-0900-000004000000}">
      <text>
        <r>
          <rPr>
            <b/>
            <sz val="9"/>
            <color indexed="81"/>
            <rFont val="Tahoma"/>
            <family val="2"/>
          </rPr>
          <t>Enter Y if job needs to be added to MARAD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Remco Berkhof</author>
  </authors>
  <commentList>
    <comment ref="C8" authorId="0" shapeId="0" xr:uid="{00000000-0006-0000-0A00-000001000000}">
      <text>
        <r>
          <rPr>
            <b/>
            <sz val="9"/>
            <color indexed="81"/>
            <rFont val="Tahoma"/>
            <family val="2"/>
          </rPr>
          <t>Double click for change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8" authorId="0" shapeId="0" xr:uid="{00000000-0006-0000-0A00-000002000000}">
      <text>
        <r>
          <rPr>
            <b/>
            <sz val="9"/>
            <color indexed="81"/>
            <rFont val="Tahoma"/>
            <family val="2"/>
          </rPr>
          <t>Double click for change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8" authorId="0" shapeId="0" xr:uid="{00000000-0006-0000-0A00-000003000000}">
      <text>
        <r>
          <rPr>
            <b/>
            <sz val="9"/>
            <color indexed="81"/>
            <rFont val="Tahoma"/>
            <family val="2"/>
          </rPr>
          <t>Double click for change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8" authorId="0" shapeId="0" xr:uid="{00000000-0006-0000-0A00-000004000000}">
      <text>
        <r>
          <rPr>
            <b/>
            <sz val="9"/>
            <color indexed="81"/>
            <rFont val="Tahoma"/>
            <family val="2"/>
          </rPr>
          <t>Enter Y if job needs to be added to MARAD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Remco Berkhof</author>
  </authors>
  <commentList>
    <comment ref="C8" authorId="0" shapeId="0" xr:uid="{00000000-0006-0000-0B00-000001000000}">
      <text>
        <r>
          <rPr>
            <b/>
            <sz val="9"/>
            <color indexed="81"/>
            <rFont val="Tahoma"/>
            <family val="2"/>
          </rPr>
          <t>Double click for change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8" authorId="0" shapeId="0" xr:uid="{00000000-0006-0000-0B00-000002000000}">
      <text>
        <r>
          <rPr>
            <b/>
            <sz val="9"/>
            <color indexed="81"/>
            <rFont val="Tahoma"/>
            <family val="2"/>
          </rPr>
          <t>Double click for change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8" authorId="0" shapeId="0" xr:uid="{00000000-0006-0000-0B00-000003000000}">
      <text>
        <r>
          <rPr>
            <b/>
            <sz val="9"/>
            <color indexed="81"/>
            <rFont val="Tahoma"/>
            <family val="2"/>
          </rPr>
          <t>Double click for change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8" authorId="0" shapeId="0" xr:uid="{00000000-0006-0000-0B00-000004000000}">
      <text>
        <r>
          <rPr>
            <b/>
            <sz val="9"/>
            <color indexed="81"/>
            <rFont val="Tahoma"/>
            <family val="2"/>
          </rPr>
          <t>Enter Y if job needs to be added to MARAD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Remco Berkhof</author>
  </authors>
  <commentList>
    <comment ref="C8" authorId="0" shapeId="0" xr:uid="{00000000-0006-0000-0C00-000001000000}">
      <text>
        <r>
          <rPr>
            <b/>
            <sz val="9"/>
            <color indexed="81"/>
            <rFont val="Tahoma"/>
            <family val="2"/>
          </rPr>
          <t>Double click for change</t>
        </r>
      </text>
    </comment>
    <comment ref="D8" authorId="0" shapeId="0" xr:uid="{00000000-0006-0000-0C00-000002000000}">
      <text>
        <r>
          <rPr>
            <b/>
            <sz val="9"/>
            <color indexed="81"/>
            <rFont val="Tahoma"/>
            <family val="2"/>
          </rPr>
          <t>Double click for change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8" authorId="0" shapeId="0" xr:uid="{00000000-0006-0000-0C00-000003000000}">
      <text>
        <r>
          <rPr>
            <b/>
            <sz val="9"/>
            <color indexed="81"/>
            <rFont val="Tahoma"/>
            <family val="2"/>
          </rPr>
          <t>Double click for change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8" authorId="0" shapeId="0" xr:uid="{00000000-0006-0000-0C00-000004000000}">
      <text>
        <r>
          <rPr>
            <b/>
            <sz val="9"/>
            <color indexed="81"/>
            <rFont val="Tahoma"/>
            <family val="2"/>
          </rPr>
          <t>Enter Y if job needs to be added to MARAD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<sst xmlns="http://schemas.openxmlformats.org/spreadsheetml/2006/main" count="1791" uniqueCount="1769">
  <si>
    <r>
      <rPr>
        <sz val="10"/>
        <color indexed="8"/>
        <rFont val="Calibri"/>
        <family val="2"/>
      </rPr>
      <t>Is the S.W. Hydrophore System in good working condition? – operational test / Гидрофорная система сточных вод в исправном рабочем состоянии? – рабочее испытание</t>
    </r>
  </si>
  <si>
    <r>
      <rPr>
        <sz val="10"/>
        <color indexed="8"/>
        <rFont val="Calibri"/>
        <family val="2"/>
      </rPr>
      <t>Are the F.O. Transfer pumps and drain lines and valves in good working condition? – operational test / Топливные насосы, дренажные линии и клапаны в исправном рабочем состоянии? – рабочее испытание</t>
    </r>
  </si>
  <si>
    <r>
      <rPr>
        <sz val="10"/>
        <color indexed="8"/>
        <rFont val="Calibri"/>
        <family val="2"/>
      </rPr>
      <t>Are the FO Purifiers in good working condition? – operational test / Топливные сепараторы в исправном рабочем состоянии? – рабочее испытание</t>
    </r>
  </si>
  <si>
    <r>
      <rPr>
        <sz val="10"/>
        <color indexed="8"/>
        <rFont val="Calibri"/>
        <family val="2"/>
      </rPr>
      <t xml:space="preserve">Is the FO Emergency Stop in good working condition? – operational test / Аварийный останов топливной системы в исправном рабочем состоянии? – рабочее испытание  </t>
    </r>
  </si>
  <si>
    <r>
      <rPr>
        <sz val="10"/>
        <color indexed="8"/>
        <rFont val="Calibri"/>
        <family val="2"/>
      </rPr>
      <t xml:space="preserve">Are the Quick closing valves in good working condition? – operational test / Быстрозапорные клапаны в исправном рабочем состоянии? – рабочее испытание  </t>
    </r>
  </si>
  <si>
    <r>
      <rPr>
        <sz val="10"/>
        <color indexed="8"/>
        <rFont val="Calibri"/>
        <family val="2"/>
      </rPr>
      <t xml:space="preserve">Are the Seawater cooling pumps in good working condition? – operational test / Насосы охлаждения морской воды в исправном рабочем состоянии? – рабочее испытание </t>
    </r>
  </si>
  <si>
    <r>
      <rPr>
        <sz val="10"/>
        <color indexed="8"/>
        <rFont val="Calibri"/>
        <family val="2"/>
      </rPr>
      <t xml:space="preserve">Are the Seawater cooling pipework and valves in good working condition? – operational test / Сеть трубопроводов и клапаны морской воды в исправном рабочем состоянии? – рабочее испытание </t>
    </r>
  </si>
  <si>
    <r>
      <rPr>
        <sz val="10"/>
        <color indexed="8"/>
        <rFont val="Calibri"/>
        <family val="2"/>
      </rPr>
      <t xml:space="preserve">Are the Fresh water cooling pumps in good working condition? – operational test / Насосы охлаждения пресной воды в исправном рабочем состоянии? – рабочее испытание </t>
    </r>
  </si>
  <si>
    <r>
      <rPr>
        <sz val="10"/>
        <color indexed="8"/>
        <rFont val="Calibri"/>
        <family val="2"/>
      </rPr>
      <t xml:space="preserve">Is the Fresh water cooling pipework and valves  in good working condition? – operational test / Сеть трубопроводов и клапаны пресной воды в исправном рабочем состоянии? – рабочее испытание </t>
    </r>
  </si>
  <si>
    <r>
      <rPr>
        <sz val="10"/>
        <color indexed="8"/>
        <rFont val="Calibri"/>
        <family val="2"/>
      </rPr>
      <t xml:space="preserve">Are the Air intakes and ventilation system in good working condition? – operational test / Систем забора воздуха и вентиляции в исправном рабочем состоянии? – рабочие испытания </t>
    </r>
  </si>
  <si>
    <r>
      <rPr>
        <sz val="10"/>
        <color indexed="8"/>
        <rFont val="Calibri"/>
        <family val="2"/>
      </rPr>
      <t>Is the CPP plant &amp; hydraulics in good condition? – operational test / Электроустановка и гидравлика в исправном состоянии? -  рабочее испытание</t>
    </r>
  </si>
  <si>
    <r>
      <rPr>
        <sz val="10"/>
        <color indexed="8"/>
        <rFont val="Calibri"/>
        <family val="2"/>
      </rPr>
      <t>Are the L.O. transfer pumps and drain systems in good working condition? – operational test / Насосы перекачки, дренажные линии смазочного масла в исправном рабочем состоянии? – рабочее испытание</t>
    </r>
  </si>
  <si>
    <r>
      <rPr>
        <sz val="10"/>
        <color indexed="8"/>
        <rFont val="Calibri"/>
        <family val="2"/>
      </rPr>
      <t>Are the L.O. Purifiers in good working condition? – operational test / Сепараторы смазочного масла в исправном рабочем состоянии? – рабочее испытание</t>
    </r>
  </si>
  <si>
    <r>
      <rPr>
        <sz val="10"/>
        <color indexed="8"/>
        <rFont val="Calibri"/>
        <family val="2"/>
      </rPr>
      <t xml:space="preserve">Is the Oily water Separator in good working condition? – operational test 15ppm alarm / Сепаратор нефтесодержащей воды в исправном рабочем состоянии? – рабочее испытание сигнализации при 15част./млн </t>
    </r>
  </si>
  <si>
    <r>
      <rPr>
        <sz val="10"/>
        <color indexed="8"/>
        <rFont val="Calibri"/>
        <family val="2"/>
      </rPr>
      <t>Is the Sewage Treatment plant in good working condition? – operational test / Установка очистки сточных вод в исправном рабочем состоянии? – рабочее испытание</t>
    </r>
  </si>
  <si>
    <r>
      <rPr>
        <sz val="10"/>
        <color indexed="8"/>
        <rFont val="Calibri"/>
        <family val="2"/>
      </rPr>
      <t>Is the Water Maker in good working condition? – operational test if possible / Опреснитель воды в исправном рабочем состоянии? – рабочее испытание</t>
    </r>
  </si>
  <si>
    <r>
      <rPr>
        <sz val="10"/>
        <color indexed="8"/>
        <rFont val="Calibri"/>
        <family val="2"/>
      </rPr>
      <t>Is the Dispersant pump in good working condition? - operational test / Насос диспергатора в исправном рабочем состоянии? – рабочее испытание</t>
    </r>
  </si>
  <si>
    <r>
      <rPr>
        <sz val="10"/>
        <color indexed="8"/>
        <rFont val="Calibri"/>
        <family val="2"/>
      </rPr>
      <t>Do the Bilge alarms work? – operational test / Сигнализация в трюмах работает? – рабочее испытание</t>
    </r>
  </si>
  <si>
    <r>
      <rPr>
        <sz val="10"/>
        <color indexed="8"/>
        <rFont val="Calibri"/>
        <family val="2"/>
      </rPr>
      <t>Remote Stops - Transfer Pumps - operational test / Дистанционные остановы насосов перекачки - рабочее испытание</t>
    </r>
  </si>
  <si>
    <r>
      <rPr>
        <sz val="10"/>
        <color indexed="8"/>
        <rFont val="Calibri"/>
        <family val="2"/>
      </rPr>
      <t>Remote Stops – Fans - operational test / Дистанционные остановы вентиляторов - рабочее испытание</t>
    </r>
  </si>
  <si>
    <r>
      <rPr>
        <sz val="10"/>
        <color indexed="8"/>
        <rFont val="Calibri"/>
        <family val="2"/>
      </rPr>
      <t xml:space="preserve">Fire Dampers - operational test / Пожарные заслонки - рабочее испытание                    </t>
    </r>
  </si>
  <si>
    <r>
      <rPr>
        <sz val="10"/>
        <color indexed="8"/>
        <rFont val="Calibri"/>
        <family val="2"/>
      </rPr>
      <t xml:space="preserve">Are the FI-FI pumps and step up gearboxes in good working condition? – operational test / Насосы пожаротушения и ускорительные передачи в исправном рабочем состоянии? – рабочее испытание </t>
    </r>
  </si>
  <si>
    <r>
      <rPr>
        <sz val="10"/>
        <color indexed="8"/>
        <rFont val="Calibri"/>
        <family val="2"/>
      </rPr>
      <t>Is the Emergency Lighting in good working condition? – operational test / Аварийное освещение в исправном состоянии? -  рабочее испытание</t>
    </r>
  </si>
  <si>
    <r>
      <rPr>
        <sz val="10"/>
        <color indexed="8"/>
        <rFont val="Calibri"/>
        <family val="2"/>
      </rPr>
      <t>Is the Steering gear in good working condition? – operational test / Рулевое устройство в исправном рабочем состоянии? – рабочее испытание</t>
    </r>
  </si>
  <si>
    <r>
      <rPr>
        <sz val="10"/>
        <color indexed="8"/>
        <rFont val="Calibri"/>
        <family val="2"/>
      </rPr>
      <t>Are the Thrusters and components in good working condition? – operational test / Подруливающие устройства с компонентами в исправном рабочем состоянии? – рабочие испытания</t>
    </r>
  </si>
  <si>
    <r>
      <rPr>
        <sz val="10"/>
        <color indexed="8"/>
        <rFont val="Calibri"/>
        <family val="2"/>
      </rPr>
      <t>Is the Instrumentation in good working condition? – operational test / Приборы в исправном рабочем состоянии? – рабочее испытание</t>
    </r>
  </si>
  <si>
    <r>
      <rPr>
        <sz val="10"/>
        <color indexed="8"/>
        <rFont val="Calibri"/>
        <family val="2"/>
      </rPr>
      <t>Life rings – check amount, condition and markings / Спасательные круги, проверить кол-во, состояние и маркировку</t>
    </r>
  </si>
  <si>
    <r>
      <rPr>
        <sz val="10"/>
        <color indexed="8"/>
        <rFont val="Calibri"/>
        <family val="2"/>
      </rPr>
      <t xml:space="preserve">EPIRB’s – operational test, check last inspection date / Аварийные радиобуи – рабочее испытание, проверить дату последнего техосмотра </t>
    </r>
  </si>
  <si>
    <r>
      <rPr>
        <sz val="10"/>
        <color indexed="8"/>
        <rFont val="Calibri"/>
        <family val="2"/>
      </rPr>
      <t>Life rafts – external visual inspection including hydrostatic releases, check last inspection date / Спасательные плоты – наружный визуальный осмотр, включая у-ва гидростатической отдачи, проверить дату последнего техосмотра</t>
    </r>
  </si>
  <si>
    <r>
      <rPr>
        <sz val="10"/>
        <color indexed="8"/>
        <rFont val="Calibri"/>
        <family val="2"/>
      </rPr>
      <t xml:space="preserve">SART – operational test,  check last inspection date / Автоматический передатчик для поиска и спасения – рабочее испытание, проверить дату последнего техосмотра </t>
    </r>
  </si>
  <si>
    <r>
      <rPr>
        <sz val="10"/>
        <color indexed="8"/>
        <rFont val="Calibri"/>
        <family val="2"/>
      </rPr>
      <t>Day signals, check completeness and condition / Несветящие знаки, проверить комплектность и состояние</t>
    </r>
  </si>
  <si>
    <r>
      <rPr>
        <sz val="10"/>
        <color indexed="8"/>
        <rFont val="Calibri"/>
        <family val="2"/>
      </rPr>
      <t xml:space="preserve">First Aid boxes and equipment – check completeness, condition and last inspection date / Коробки и оборудование первой помощи проверить комплектность, состояние и дату последнего техосмотра </t>
    </r>
  </si>
  <si>
    <r>
      <rPr>
        <sz val="10"/>
        <color indexed="8"/>
        <rFont val="Calibri"/>
        <family val="2"/>
      </rPr>
      <t xml:space="preserve">Fire Control Plan – check, must be up to date, record certificate and completeness by random check / План борьбы с пожаром – проверить, актуальное состояние, регистрация сертификатов и комплектности выборочной проверкой </t>
    </r>
  </si>
  <si>
    <r>
      <rPr>
        <sz val="10"/>
        <color indexed="8"/>
        <rFont val="Calibri"/>
        <family val="2"/>
      </rPr>
      <t>Safety Posters – check, must be up to date and in good condition / Проверка плакатов по ТБ, актуальность и надлежащее состояние</t>
    </r>
  </si>
  <si>
    <r>
      <rPr>
        <sz val="10"/>
        <color indexed="8"/>
        <rFont val="Calibri"/>
        <family val="2"/>
      </rPr>
      <t>IMO signs, check completeness and condition / Знаки IMO, проверить комплектность и состояние</t>
    </r>
  </si>
  <si>
    <r>
      <rPr>
        <sz val="10"/>
        <color indexed="8"/>
        <rFont val="Calibri"/>
        <family val="2"/>
      </rPr>
      <t xml:space="preserve">Portable extinguishers check condition and last inspection date / Портативные огнетушители - проверить комплектность, состояние и дату последнего техосмотра  </t>
    </r>
  </si>
  <si>
    <r>
      <t xml:space="preserve">An </t>
    </r>
    <r>
      <rPr>
        <b/>
        <sz val="11"/>
        <color indexed="10"/>
        <rFont val="Calibri"/>
        <family val="2"/>
      </rPr>
      <t>Enclosed Space Entry Permit</t>
    </r>
    <r>
      <rPr>
        <sz val="11"/>
        <color indexed="10"/>
        <rFont val="Calibri"/>
        <family val="2"/>
      </rPr>
      <t xml:space="preserve"> </t>
    </r>
    <r>
      <rPr>
        <i/>
        <sz val="11"/>
        <color indexed="10"/>
        <rFont val="Calibri"/>
        <family val="2"/>
      </rPr>
      <t>shall</t>
    </r>
    <r>
      <rPr>
        <sz val="11"/>
        <color indexed="10"/>
        <rFont val="Calibri"/>
        <family val="2"/>
      </rPr>
      <t xml:space="preserve"> be used, for each tank separately, before entering (See PTW Procedure) / Для </t>
    </r>
    <r>
      <rPr>
        <b/>
        <sz val="11"/>
        <color indexed="10"/>
        <rFont val="Calibri"/>
        <family val="2"/>
        <charset val="204"/>
      </rPr>
      <t>входа в закрытое помещение</t>
    </r>
    <r>
      <rPr>
        <sz val="11"/>
        <color indexed="10"/>
        <rFont val="Calibri"/>
        <family val="2"/>
      </rPr>
      <t xml:space="preserve"> </t>
    </r>
    <r>
      <rPr>
        <b/>
        <i/>
        <sz val="11"/>
        <color indexed="10"/>
        <rFont val="Calibri"/>
        <family val="2"/>
      </rPr>
      <t>должен</t>
    </r>
    <r>
      <rPr>
        <b/>
        <sz val="11"/>
        <color indexed="10"/>
        <rFont val="Calibri"/>
        <family val="2"/>
      </rPr>
      <t xml:space="preserve"> </t>
    </r>
    <r>
      <rPr>
        <sz val="11"/>
        <color indexed="10"/>
        <rFont val="Calibri"/>
        <family val="2"/>
      </rPr>
      <t>использоваться отдельный Наряд-допуск на выполнение работ в замкнутых пространствах</t>
    </r>
    <r>
      <rPr>
        <i/>
        <sz val="11"/>
        <color indexed="10"/>
        <rFont val="Calibri"/>
        <family val="2"/>
      </rPr>
      <t xml:space="preserve"> </t>
    </r>
    <r>
      <rPr>
        <sz val="11"/>
        <color indexed="10"/>
        <rFont val="Calibri"/>
        <family val="2"/>
      </rPr>
      <t>(См. Процедуру НД)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</si>
  <si>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</si>
  <si>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181/182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</si>
  <si>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</si>
  <si>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</si>
  <si>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</si>
  <si>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</si>
  <si>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 xml:space="preserve"> 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</si>
  <si>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</si>
  <si>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</si>
  <si>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</si>
  <si>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</si>
  <si>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</si>
  <si>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</si>
  <si>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</si>
  <si>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</si>
  <si>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</si>
  <si>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</si>
  <si>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871/872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</si>
  <si>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</si>
  <si>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</si>
  <si>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</si>
  <si>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</si>
  <si>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571/572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</si>
  <si>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</si>
  <si>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</si>
  <si>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</si>
  <si>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</si>
  <si>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</si>
  <si>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</si>
  <si>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</si>
  <si>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</si>
  <si>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Is the paintwork above the floor plates in good condition? / Красочное покрытие над настилом пола в хорошем состоянии?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</si>
  <si>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</si>
  <si>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</si>
  <si>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Is the paintwork under the floor plates in good condition? / Красочное покрытие под настилом пола в хорошем состоянии?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</si>
  <si>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</si>
  <si>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</si>
  <si>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</si>
  <si>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</si>
  <si>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</si>
  <si>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</si>
  <si>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Are the Watertight / Fire doors including seals in good condition? / Герметичные/пожарные двери, включая уплотнения, в исправном состоянии?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</si>
  <si>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</si>
  <si>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</si>
  <si>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</si>
  <si>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</si>
  <si>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</si>
  <si>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</si>
  <si>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</si>
  <si>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</si>
  <si>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</si>
  <si>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</si>
  <si>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821/822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</si>
  <si>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</si>
  <si>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</si>
  <si>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</si>
  <si>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</si>
  <si>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</si>
  <si>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</si>
  <si>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</si>
  <si>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</si>
  <si>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</si>
  <si>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</si>
  <si>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Is the general condition of the engine good – no leaks? / Общее состояние двигателя хорошее – протечек нет?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</si>
  <si>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</si>
  <si>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</si>
  <si>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801/803</t>
    </r>
  </si>
  <si>
    <r>
      <rPr>
        <sz val="10"/>
        <color indexed="8"/>
        <rFont val="Calibri"/>
        <family val="2"/>
      </rPr>
      <t xml:space="preserve">Are the fuel pumps and lines in good working condition? – operational test / Топливные насосы и топливопроводы в исправном рабочем состоянии? – рабочее испытание 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</si>
  <si>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</si>
  <si>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</si>
  <si>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 xml:space="preserve">Is the lubrication system in good working condition? / Система смазки в исправном рабочем состоянии?  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</si>
  <si>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</si>
  <si>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</si>
  <si>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821/822</t>
    </r>
  </si>
  <si>
    <r>
      <rPr>
        <sz val="10"/>
        <color indexed="8"/>
        <rFont val="Calibri"/>
        <family val="2"/>
      </rPr>
      <t xml:space="preserve">Is the HT cooling system in good working condition? / Высокотемпературная система охлаждения в исправном рабочем состоянии?  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</si>
  <si>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</si>
  <si>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</si>
  <si>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821/822</t>
    </r>
  </si>
  <si>
    <r>
      <rPr>
        <sz val="10"/>
        <color indexed="8"/>
        <rFont val="Calibri"/>
        <family val="2"/>
      </rPr>
      <t xml:space="preserve">Is the LT cooling system in good working condition? / Низкотемпературная система охлаждения в исправном рабочем состоянии?  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</si>
  <si>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</si>
  <si>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</si>
  <si>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Are the local panel gauges and instrumentation in good working condition? / Манометры и приборы локальных пультов в исправном рабочем состоянии?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</si>
  <si>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</si>
  <si>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</si>
  <si>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Are the flexible couplings in good condition? / Упругие муфты в исправном состоянии?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</si>
  <si>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</si>
  <si>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</si>
  <si>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</si>
  <si>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</si>
  <si>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522.001/ 532.001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</si>
  <si>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</si>
  <si>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</si>
  <si>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Is the general condition of the engine good – no leaks? / Общее состояние двигателя хорошее – протечек нет?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</si>
  <si>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</si>
  <si>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</si>
  <si>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801/803</t>
    </r>
  </si>
  <si>
    <r>
      <rPr>
        <sz val="10"/>
        <color indexed="8"/>
        <rFont val="Calibri"/>
        <family val="2"/>
      </rPr>
      <t xml:space="preserve">Are the fuel pumps and lines in good working condition? – operational test / Топливные насосы и топливопроводы в исправном рабочем состоянии? – рабочее испытание 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</si>
  <si>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</si>
  <si>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</si>
  <si>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 xml:space="preserve">Is the lubrication system in good working condition? / Система смазки в исправном рабочем состоянии?  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</si>
  <si>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</si>
  <si>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</si>
  <si>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821/822</t>
    </r>
  </si>
  <si>
    <r>
      <rPr>
        <sz val="10"/>
        <color indexed="8"/>
        <rFont val="Calibri"/>
        <family val="2"/>
      </rPr>
      <t xml:space="preserve">Is the HT cooling system in good working condition? / Высокотемпературная система охлаждения в исправном рабочем состоянии?  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</si>
  <si>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</si>
  <si>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</si>
  <si>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821/822</t>
    </r>
  </si>
  <si>
    <r>
      <rPr>
        <sz val="10"/>
        <color indexed="8"/>
        <rFont val="Calibri"/>
        <family val="2"/>
      </rPr>
      <t xml:space="preserve">Is the LT cooling system in good working condition? / Низкотемпературная система охлаждения в исправном рабочем состоянии?  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</si>
  <si>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</si>
  <si>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</si>
  <si>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Are the local panel gauges and instrumentation in good working condition? / Манометры и приборы локальных пультов в исправном рабочем состоянии?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</si>
  <si>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</si>
  <si>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</si>
  <si>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Are the flexible couplings in good condition? / Упругие муфты в исправном состоянии?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</si>
  <si>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</si>
  <si>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</si>
  <si>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</si>
  <si>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</si>
  <si>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522.001/ 532.001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</si>
  <si>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</si>
  <si>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</si>
  <si>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Is the general condition of the engine good – no leaks? / Общее состояние двигателя хорошее – протечек нет?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</si>
  <si>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</si>
  <si>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</si>
  <si>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801/803</t>
    </r>
  </si>
  <si>
    <r>
      <rPr>
        <sz val="10"/>
        <color indexed="8"/>
        <rFont val="Calibri"/>
        <family val="2"/>
      </rPr>
      <t xml:space="preserve">Are the fuel pumps and lines in good working condition? – operational test / Топливные насосы и топливопроводы в исправном рабочем состоянии? – рабочее испытание 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</si>
  <si>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</si>
  <si>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</si>
  <si>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 xml:space="preserve">Is the lubrication system in good working condition? / Система смазки в исправном рабочем состоянии?  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</si>
  <si>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</si>
  <si>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</si>
  <si>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821/822</t>
    </r>
  </si>
  <si>
    <r>
      <rPr>
        <sz val="10"/>
        <color indexed="8"/>
        <rFont val="Calibri"/>
        <family val="2"/>
      </rPr>
      <t xml:space="preserve">Is the HT cooling system in good working condition? / Высокотемпературная система охлаждения в исправном рабочем состоянии?  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</si>
  <si>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</si>
  <si>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</si>
  <si>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821/822</t>
    </r>
  </si>
  <si>
    <r>
      <rPr>
        <sz val="10"/>
        <color indexed="8"/>
        <rFont val="Calibri"/>
        <family val="2"/>
      </rPr>
      <t xml:space="preserve">Is the LT cooling system in good working condition? / Низкотемпературная система охлаждения в исправном рабочем состоянии?  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</si>
  <si>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</si>
  <si>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</si>
  <si>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Are the local panel gauges and instrumentation in good working condition? / Манометры и приборы локальных пультов в исправном рабочем состоянии?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</si>
  <si>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</si>
  <si>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</si>
  <si>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Are the flexible couplings in good condition? / Упругие муфты в исправном состоянии?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</si>
  <si>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</si>
  <si>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</si>
  <si>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Are the Clutches in good working condition? - operational test / Кулачные муфты в исправном рабочем состоянии? - рабочее испытание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</si>
  <si>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</si>
  <si>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</si>
  <si>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522.001/ 532.001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</si>
  <si>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</si>
  <si>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</si>
  <si>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Is the general condition of the engine good – no leaks? / Общее состояние двигателя хорошее – протечек нет?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</si>
  <si>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</si>
  <si>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</si>
  <si>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801/803</t>
    </r>
  </si>
  <si>
    <r>
      <rPr>
        <sz val="10"/>
        <color indexed="8"/>
        <rFont val="Calibri"/>
        <family val="2"/>
      </rPr>
      <t xml:space="preserve">Are the fuel pumps and lines in good working condition? – operational test / Топливные насосы и топливопроводы в исправном рабочем состоянии? – рабочее испытание 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</si>
  <si>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</si>
  <si>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</si>
  <si>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 xml:space="preserve">Is the lubrication system in good working condition? / Система смазки в исправном рабочем состоянии?  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</si>
  <si>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</si>
  <si>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</si>
  <si>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821/822</t>
    </r>
  </si>
  <si>
    <r>
      <rPr>
        <sz val="10"/>
        <color indexed="8"/>
        <rFont val="Calibri"/>
        <family val="2"/>
      </rPr>
      <t xml:space="preserve">Is the HT cooling system in good working condition? / Высокотемпературная система охлаждения в исправном рабочем состоянии?  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</si>
  <si>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</si>
  <si>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</si>
  <si>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821/822</t>
    </r>
  </si>
  <si>
    <r>
      <rPr>
        <sz val="10"/>
        <color indexed="8"/>
        <rFont val="Calibri"/>
        <family val="2"/>
      </rPr>
      <t xml:space="preserve">Is the LT cooling system in good working condition? / Низкотемпературная система охлаждения в исправном рабочем состоянии?  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</si>
  <si>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</si>
  <si>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</si>
  <si>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</si>
  <si>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</si>
  <si>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Are the flexible couplings in good condition? / Упругие муфты в исправном состоянии?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</si>
  <si>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</si>
  <si>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</si>
  <si>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Is the general condition of the engine good – no leaks? / Общее состояние двигателя хорошее – протечек нет?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</si>
  <si>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</si>
  <si>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</si>
  <si>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801/803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</si>
  <si>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</si>
  <si>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</si>
  <si>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Is the MMS up to date / Система MMS актуализирована?</t>
    </r>
  </si>
  <si>
    <r>
      <rPr>
        <sz val="10"/>
        <color indexed="8"/>
        <rFont val="Calibri"/>
        <family val="2"/>
      </rPr>
      <t>Are the vessel archives (e.g. Drawings and Instruction manuals) complete and up to date and properly stowed? / Архивы судна (чертежи и руководства по эксплуатации) укомплектованы, актуализированы и уложены надлежащим образом?</t>
    </r>
  </si>
  <si>
    <r>
      <rPr>
        <sz val="10"/>
        <color indexed="8"/>
        <rFont val="Calibri"/>
        <family val="2"/>
      </rPr>
      <t>Is the certificate file in order and up to date? / Файл сертификатов в порядке и актуальном состоянии?</t>
    </r>
  </si>
  <si>
    <r>
      <rPr>
        <sz val="10"/>
        <color indexed="8"/>
        <rFont val="Calibri"/>
        <family val="2"/>
      </rPr>
      <t>Does the vessel comply with the minimum safe manning certificate? / Судно соответствует минимальным требованиям безопасности в части укомплектования?</t>
    </r>
  </si>
  <si>
    <r>
      <rPr>
        <sz val="10"/>
        <color indexed="8"/>
        <rFont val="Calibri"/>
        <family val="2"/>
      </rPr>
      <t xml:space="preserve">Are all crew endorsements and certificates on board? / Все визирования и сертификаты экипажа имеются на борту? </t>
    </r>
  </si>
  <si>
    <r>
      <rPr>
        <sz val="10"/>
        <color indexed="8"/>
        <rFont val="Calibri"/>
        <family val="2"/>
      </rPr>
      <t>Is the Drills record up to date as in MMS? / Журнал учений в актуальном состоянии?</t>
    </r>
  </si>
  <si>
    <r>
      <rPr>
        <b/>
        <sz val="11"/>
        <color indexed="8"/>
        <rFont val="Calibri"/>
        <family val="2"/>
      </rPr>
      <t>Y/Да</t>
    </r>
  </si>
  <si>
    <r>
      <rPr>
        <b/>
        <sz val="11"/>
        <color indexed="8"/>
        <rFont val="Calibri"/>
        <family val="2"/>
      </rPr>
      <t>Comments / Замечания</t>
    </r>
  </si>
  <si>
    <r>
      <rPr>
        <sz val="10"/>
        <color indexed="8"/>
        <rFont val="Calibri"/>
        <family val="2"/>
      </rPr>
      <t>Is the Hull plating in good condition? / Обшивка корпуса в хорошем состоянии?</t>
    </r>
  </si>
  <si>
    <r>
      <rPr>
        <sz val="10"/>
        <color indexed="8"/>
        <rFont val="Calibri"/>
        <family val="2"/>
      </rPr>
      <t>Are the Tyre fenders in good condition? / Пневматические кранцы в исправном состоянии?</t>
    </r>
  </si>
  <si>
    <r>
      <rPr>
        <sz val="10"/>
        <color indexed="8"/>
        <rFont val="Calibri"/>
        <family val="2"/>
      </rPr>
      <t>Are the D fenders in good condition? / D-кранцы в исправном состоянии?</t>
    </r>
  </si>
  <si>
    <r>
      <rPr>
        <sz val="10"/>
        <color indexed="8"/>
        <rFont val="Calibri"/>
        <family val="2"/>
      </rPr>
      <t>Are the Block fenders in good condition? / Блок-кранцы в исправном состоянии?</t>
    </r>
  </si>
  <si>
    <r>
      <rPr>
        <sz val="10"/>
        <color indexed="8"/>
        <rFont val="Calibri"/>
        <family val="2"/>
      </rPr>
      <t>Are the Cylindrical fenders in good condition? / Цилиндрические кранцы в исправном состоянии?</t>
    </r>
  </si>
  <si>
    <r>
      <rPr>
        <sz val="10"/>
        <color indexed="8"/>
        <rFont val="Calibri"/>
        <family val="2"/>
      </rPr>
      <t>Are the Anchor pockets in good condition? / Якорные ниши в исправном состоянии?</t>
    </r>
  </si>
  <si>
    <r>
      <rPr>
        <sz val="10"/>
        <color indexed="8"/>
        <rFont val="Calibri"/>
        <family val="2"/>
      </rPr>
      <t>Are the Surfer landing platforms in good condition? / Переходные платформы типа «Серфер» в исправном состоянии?</t>
    </r>
  </si>
  <si>
    <r>
      <rPr>
        <sz val="10"/>
        <color indexed="8"/>
        <rFont val="Calibri"/>
        <family val="2"/>
      </rPr>
      <t>Is the paintwork above the waterline including markings in good condition? / Красочное покрытие выше ватерлинии, включая отметки, в хорошем состоянии?</t>
    </r>
  </si>
  <si>
    <r>
      <rPr>
        <sz val="10"/>
        <color indexed="8"/>
        <rFont val="Calibri"/>
        <family val="2"/>
      </rPr>
      <t>Is the paintwork below the waterline in good condition? / Красочное покрытие ниже ватерлинии в хорошем состоянии?</t>
    </r>
  </si>
  <si>
    <r>
      <rPr>
        <b/>
        <sz val="16"/>
        <color indexed="8"/>
        <rFont val="Calibri"/>
        <family val="2"/>
      </rPr>
      <t xml:space="preserve">1. </t>
    </r>
    <r>
      <rPr>
        <b/>
        <sz val="16"/>
        <color indexed="8"/>
        <rFont val="Calibri"/>
        <family val="2"/>
      </rPr>
      <t>GENERAL VESSEL MANAGEMENT / ОБЩЕЕ УПРАВЛЕНИЕ СУДНОМ</t>
    </r>
  </si>
  <si>
    <t xml:space="preserve">No of entries / Кол-во записей: </t>
  </si>
  <si>
    <t xml:space="preserve">No./Нет Yes/Да: </t>
  </si>
  <si>
    <t xml:space="preserve">No./Нет No/Нет: </t>
  </si>
  <si>
    <t>No./Нет N.A./НД:</t>
  </si>
  <si>
    <r>
      <rPr>
        <b/>
        <sz val="11"/>
        <color indexed="8"/>
        <rFont val="Calibri"/>
        <family val="2"/>
      </rPr>
      <t>N/Нет</t>
    </r>
  </si>
  <si>
    <r>
      <rPr>
        <sz val="10"/>
        <color indexed="8"/>
        <rFont val="Calibri"/>
        <family val="2"/>
      </rPr>
      <t xml:space="preserve"> </t>
    </r>
  </si>
  <si>
    <r>
      <rPr>
        <sz val="11"/>
        <color indexed="23"/>
        <rFont val="Calibri"/>
        <family val="2"/>
      </rPr>
      <t>Vessel / Судно</t>
    </r>
  </si>
  <si>
    <r>
      <rPr>
        <sz val="11"/>
        <color indexed="23"/>
        <rFont val="Calibri"/>
        <family val="2"/>
      </rPr>
      <t>IMO no. / № IMO</t>
    </r>
  </si>
  <si>
    <r>
      <rPr>
        <sz val="11"/>
        <color indexed="23"/>
        <rFont val="Calibri"/>
        <family val="2"/>
      </rPr>
      <t>Place / Место</t>
    </r>
  </si>
  <si>
    <r>
      <rPr>
        <sz val="11"/>
        <color indexed="23"/>
        <rFont val="Calibri"/>
        <family val="2"/>
      </rPr>
      <t>Date / Дата</t>
    </r>
  </si>
  <si>
    <r>
      <rPr>
        <sz val="11"/>
        <color indexed="23"/>
        <rFont val="Calibri"/>
        <family val="2"/>
      </rPr>
      <t>Inspector / Инспектор</t>
    </r>
  </si>
  <si>
    <r>
      <rPr>
        <sz val="11"/>
        <color indexed="23"/>
        <rFont val="Calibri"/>
        <family val="2"/>
      </rPr>
      <t>Name master / Капитан Ф.И.О.</t>
    </r>
  </si>
  <si>
    <r>
      <rPr>
        <sz val="11"/>
        <color indexed="23"/>
        <rFont val="Calibri"/>
        <family val="2"/>
      </rPr>
      <t>Name C/E / Ст.мех.Ф.И.О.</t>
    </r>
  </si>
  <si>
    <r>
      <rPr>
        <b/>
        <sz val="20"/>
        <color indexed="8"/>
        <rFont val="Calibri"/>
        <family val="2"/>
      </rPr>
      <t>Results / Результаты</t>
    </r>
  </si>
  <si>
    <r>
      <rPr>
        <b/>
        <sz val="16"/>
        <color indexed="8"/>
        <rFont val="Calibri"/>
        <family val="2"/>
      </rPr>
      <t xml:space="preserve">2. </t>
    </r>
    <r>
      <rPr>
        <b/>
        <sz val="16"/>
        <color indexed="8"/>
        <rFont val="Calibri"/>
        <family val="2"/>
      </rPr>
      <t>HULL / КОРПУС</t>
    </r>
  </si>
  <si>
    <r>
      <rPr>
        <b/>
        <sz val="16"/>
        <color indexed="8"/>
        <rFont val="Calibri"/>
        <family val="2"/>
      </rPr>
      <t xml:space="preserve">3. </t>
    </r>
    <r>
      <rPr>
        <b/>
        <sz val="16"/>
        <color indexed="8"/>
        <rFont val="Calibri"/>
        <family val="2"/>
      </rPr>
      <t>SUPERSTRUCTURE - EXTERNAL / НАДСТРОЙКА - НАРУЖНАЯ ЧАСТЬ</t>
    </r>
  </si>
  <si>
    <r>
      <rPr>
        <sz val="10"/>
        <color indexed="8"/>
        <rFont val="Calibri"/>
        <family val="2"/>
      </rPr>
      <t>Is the Superstructure clean? / Надстройка чистая?</t>
    </r>
  </si>
  <si>
    <r>
      <rPr>
        <sz val="10"/>
        <color indexed="8"/>
        <rFont val="Calibri"/>
        <family val="2"/>
      </rPr>
      <t>Is the Superstructure paintwork in good condition? / Красочное покрытие надстройки в хорошем состоянии?</t>
    </r>
  </si>
  <si>
    <r>
      <rPr>
        <sz val="10"/>
        <color indexed="8"/>
        <rFont val="Calibri"/>
        <family val="2"/>
      </rPr>
      <t>Is the lighting in good condition? / Освещение в исправном состоянии?</t>
    </r>
  </si>
  <si>
    <r>
      <rPr>
        <b/>
        <sz val="10"/>
        <color indexed="8"/>
        <rFont val="Calibri"/>
        <family val="2"/>
      </rPr>
      <t xml:space="preserve">4A. </t>
    </r>
    <r>
      <rPr>
        <b/>
        <sz val="10"/>
        <color indexed="8"/>
        <rFont val="Calibri"/>
        <family val="2"/>
      </rPr>
      <t xml:space="preserve">MAST PLATFORM including Navigation Light Mast / МАЧТОВАЯ ПЛАТФОРМА, включая мачту ходовых огней </t>
    </r>
  </si>
  <si>
    <r>
      <rPr>
        <sz val="10"/>
        <color indexed="8"/>
        <rFont val="Calibri"/>
        <family val="2"/>
      </rPr>
      <t>Is the deck neat and tidy? / Палуба содержится в порядке и чистоте?</t>
    </r>
  </si>
  <si>
    <r>
      <rPr>
        <sz val="10"/>
        <color indexed="8"/>
        <rFont val="Calibri"/>
        <family val="2"/>
      </rPr>
      <t>Is the deck clean? / Палуба чистая?</t>
    </r>
  </si>
  <si>
    <r>
      <rPr>
        <sz val="10"/>
        <color indexed="8"/>
        <rFont val="Calibri"/>
        <family val="2"/>
      </rPr>
      <t>Is the paintwork of the deck in good condition? / Красочное покрытие палубы в хорошем состоянии?</t>
    </r>
  </si>
  <si>
    <r>
      <rPr>
        <sz val="10"/>
        <color indexed="8"/>
        <rFont val="Calibri"/>
        <family val="2"/>
      </rPr>
      <t>Are the railings in good condition? / Леерное ограждение в исправном состоянии?</t>
    </r>
  </si>
  <si>
    <r>
      <rPr>
        <sz val="10"/>
        <color indexed="8"/>
        <rFont val="Calibri"/>
        <family val="2"/>
      </rPr>
      <t>Are the gratings in good condition? / Решетчатые настилы в исправном состоянии?</t>
    </r>
  </si>
  <si>
    <r>
      <rPr>
        <b/>
        <sz val="10"/>
        <color indexed="8"/>
        <rFont val="Calibri"/>
        <family val="2"/>
      </rPr>
      <t xml:space="preserve">4B. </t>
    </r>
    <r>
      <rPr>
        <b/>
        <sz val="10"/>
        <color indexed="8"/>
        <rFont val="Calibri"/>
        <family val="2"/>
      </rPr>
      <t xml:space="preserve">MONKEY ISLAND/WHEELHOUSE TOP DECK / ВЕРХНИЙ МОСТИК/ВЕРХНЯЯ ПАЛУБА РУБКИ </t>
    </r>
  </si>
  <si>
    <r>
      <rPr>
        <b/>
        <sz val="10"/>
        <color indexed="8"/>
        <rFont val="Calibri"/>
        <family val="2"/>
      </rPr>
      <t xml:space="preserve">4C. </t>
    </r>
    <r>
      <rPr>
        <b/>
        <sz val="10"/>
        <color indexed="8"/>
        <rFont val="Calibri"/>
        <family val="2"/>
      </rPr>
      <t>WHEELHOUSE DECK / РУЛЕВАЯ РУБКА</t>
    </r>
  </si>
  <si>
    <r>
      <rPr>
        <b/>
        <sz val="10"/>
        <color indexed="8"/>
        <rFont val="Calibri"/>
        <family val="2"/>
      </rPr>
      <t xml:space="preserve">4D. </t>
    </r>
    <r>
      <rPr>
        <b/>
        <sz val="10"/>
        <color indexed="8"/>
        <rFont val="Calibri"/>
        <family val="2"/>
      </rPr>
      <t>BELOW WHEELHOUSE DECK / НИЖНЯЯ ПАЛУБА РУЛЕВОЙ РУБКИ</t>
    </r>
  </si>
  <si>
    <r>
      <rPr>
        <b/>
        <sz val="10"/>
        <color indexed="8"/>
        <rFont val="Calibri"/>
        <family val="2"/>
      </rPr>
      <t xml:space="preserve">4E. </t>
    </r>
    <r>
      <rPr>
        <b/>
        <sz val="10"/>
        <color indexed="8"/>
        <rFont val="Calibri"/>
        <family val="2"/>
      </rPr>
      <t>FORECASTLE DECK / ПАЛУБА ПОЛУБАКА</t>
    </r>
  </si>
  <si>
    <r>
      <rPr>
        <b/>
        <sz val="10"/>
        <color indexed="8"/>
        <rFont val="Calibri"/>
        <family val="2"/>
      </rPr>
      <t xml:space="preserve">4F. </t>
    </r>
    <r>
      <rPr>
        <b/>
        <sz val="10"/>
        <color indexed="8"/>
        <rFont val="Calibri"/>
        <family val="2"/>
      </rPr>
      <t>MAIN DECK / ГЛАВНАЯ ПАЛУБА</t>
    </r>
  </si>
  <si>
    <r>
      <rPr>
        <b/>
        <sz val="10"/>
        <color indexed="8"/>
        <rFont val="Calibri"/>
        <family val="2"/>
      </rPr>
      <t xml:space="preserve">4G. </t>
    </r>
    <r>
      <rPr>
        <b/>
        <sz val="10"/>
        <color indexed="8"/>
        <rFont val="Calibri"/>
        <family val="2"/>
      </rPr>
      <t xml:space="preserve">DECKS OUTFITTING &amp; EQUIPMENT / ОСНАСТКА И ОБОРУДОВАНИЕ ПАЛУБЫ  </t>
    </r>
  </si>
  <si>
    <r>
      <rPr>
        <b/>
        <sz val="10"/>
        <color indexed="8"/>
        <rFont val="Calibri"/>
        <family val="2"/>
      </rPr>
      <t>Is the below in good condition / Низ в хорошем состоянии?</t>
    </r>
  </si>
  <si>
    <r>
      <rPr>
        <sz val="10"/>
        <color indexed="8"/>
        <rFont val="Calibri"/>
        <family val="2"/>
      </rPr>
      <t xml:space="preserve">Gangway and net / Трап и сеть </t>
    </r>
  </si>
  <si>
    <r>
      <rPr>
        <sz val="10"/>
        <color indexed="8"/>
        <rFont val="Calibri"/>
        <family val="2"/>
      </rPr>
      <t xml:space="preserve">Deck lighting / Освещение палубы </t>
    </r>
  </si>
  <si>
    <r>
      <rPr>
        <sz val="10"/>
        <color indexed="8"/>
        <rFont val="Calibri"/>
        <family val="2"/>
      </rPr>
      <t xml:space="preserve">Mooring ropes / Швартовы </t>
    </r>
  </si>
  <si>
    <r>
      <rPr>
        <sz val="10"/>
        <color indexed="8"/>
        <rFont val="Calibri"/>
        <family val="2"/>
      </rPr>
      <t xml:space="preserve">Steering room vent mushrooms / Грибовидные вентиляционные головки румпельного отделения </t>
    </r>
  </si>
  <si>
    <r>
      <rPr>
        <sz val="10"/>
        <color indexed="8"/>
        <rFont val="Calibri"/>
        <family val="2"/>
      </rPr>
      <t>Steering room fan / Вентилятор румпельного отделения</t>
    </r>
  </si>
  <si>
    <r>
      <rPr>
        <sz val="10"/>
        <color indexed="8"/>
        <rFont val="Calibri"/>
        <family val="2"/>
      </rPr>
      <t xml:space="preserve">Bulwarks / Фальшборты </t>
    </r>
  </si>
  <si>
    <r>
      <rPr>
        <sz val="10"/>
        <color indexed="8"/>
        <rFont val="Calibri"/>
        <family val="2"/>
      </rPr>
      <t>Crash rails / Привальные брусья</t>
    </r>
  </si>
  <si>
    <r>
      <rPr>
        <sz val="10"/>
        <color indexed="8"/>
        <rFont val="Calibri"/>
        <family val="2"/>
      </rPr>
      <t xml:space="preserve">Rescue Zone doors / Дверцы спасательной зоны </t>
    </r>
  </si>
  <si>
    <r>
      <rPr>
        <sz val="10"/>
        <color indexed="8"/>
        <rFont val="Calibri"/>
        <family val="2"/>
      </rPr>
      <t>Escape hatches including seals / Аварийные люки с уплотнениями</t>
    </r>
  </si>
  <si>
    <r>
      <rPr>
        <sz val="10"/>
        <color indexed="8"/>
        <rFont val="Calibri"/>
        <family val="2"/>
      </rPr>
      <t>Fire lines / Пожарные линии</t>
    </r>
  </si>
  <si>
    <r>
      <rPr>
        <sz val="10"/>
        <color indexed="8"/>
        <rFont val="Calibri"/>
        <family val="2"/>
      </rPr>
      <t xml:space="preserve">Fire flaps/ mushrooms  including seals / Пожарные клапаны/грибовидные крышки, включая уплотнения </t>
    </r>
  </si>
  <si>
    <r>
      <rPr>
        <sz val="10"/>
        <color indexed="8"/>
        <rFont val="Calibri"/>
        <family val="2"/>
      </rPr>
      <t>Hoses (condition, boxes and fittings) / Шланги (состояние, ящики и арматура)</t>
    </r>
  </si>
  <si>
    <r>
      <rPr>
        <sz val="10"/>
        <color indexed="8"/>
        <rFont val="Calibri"/>
        <family val="2"/>
      </rPr>
      <t>Nozzles (Dual purpose type) / Форсунки (двойного назначения)</t>
    </r>
  </si>
  <si>
    <r>
      <rPr>
        <sz val="10"/>
        <color indexed="8"/>
        <rFont val="Calibri"/>
        <family val="2"/>
      </rPr>
      <t xml:space="preserve">Thruster covers &amp; engine room hatches / Крышки подруливающих устройств и люки машинного отделения  </t>
    </r>
  </si>
  <si>
    <r>
      <rPr>
        <sz val="10"/>
        <color indexed="8"/>
        <rFont val="Calibri"/>
        <family val="2"/>
      </rPr>
      <t>Deck plating / Палубный стальной настил</t>
    </r>
  </si>
  <si>
    <r>
      <rPr>
        <sz val="10"/>
        <color indexed="8"/>
        <rFont val="Calibri"/>
        <family val="2"/>
      </rPr>
      <t xml:space="preserve">Deck cladding  (wood) / Облицовка палубы (деревянная) </t>
    </r>
  </si>
  <si>
    <r>
      <rPr>
        <sz val="10"/>
        <color indexed="8"/>
        <rFont val="Calibri"/>
        <family val="2"/>
      </rPr>
      <t>Deck lashing points / Места такелажного крепления на палубе</t>
    </r>
  </si>
  <si>
    <r>
      <rPr>
        <sz val="10"/>
        <color indexed="8"/>
        <rFont val="Calibri"/>
        <family val="2"/>
      </rPr>
      <t>Stairways, walkways and ladders / Лестничные пролеты, проходы и лестницы</t>
    </r>
  </si>
  <si>
    <r>
      <rPr>
        <sz val="10"/>
        <color indexed="8"/>
        <rFont val="Calibri"/>
        <family val="2"/>
      </rPr>
      <t>A/C AHU room / Помещение системы кондиционирования и воздушного отопления</t>
    </r>
  </si>
  <si>
    <r>
      <rPr>
        <sz val="10"/>
        <color indexed="8"/>
        <rFont val="Calibri"/>
        <family val="2"/>
      </rPr>
      <t>Power Pack room / Помещение силового агрегата</t>
    </r>
  </si>
  <si>
    <r>
      <rPr>
        <sz val="10"/>
        <color indexed="8"/>
        <rFont val="Calibri"/>
        <family val="2"/>
      </rPr>
      <t xml:space="preserve">Mooring bits / Швартовные кнехты </t>
    </r>
  </si>
  <si>
    <r>
      <rPr>
        <sz val="10"/>
        <color indexed="8"/>
        <rFont val="Calibri"/>
        <family val="2"/>
      </rPr>
      <t>Anchor chain &amp; Anchors / Якорные цепи и якори</t>
    </r>
  </si>
  <si>
    <r>
      <rPr>
        <sz val="10"/>
        <color indexed="8"/>
        <rFont val="Calibri"/>
        <family val="2"/>
      </rPr>
      <t>Air/water connections / Соединители для воздуха/воды</t>
    </r>
  </si>
  <si>
    <r>
      <rPr>
        <sz val="10"/>
        <color indexed="8"/>
        <rFont val="Calibri"/>
        <family val="2"/>
      </rPr>
      <t xml:space="preserve">Strops, slings, shackles and chain blocks / Ремни, стропы, скобы и цепные блоки </t>
    </r>
  </si>
  <si>
    <r>
      <rPr>
        <sz val="10"/>
        <color indexed="8"/>
        <rFont val="Calibri"/>
        <family val="2"/>
      </rPr>
      <t xml:space="preserve">Deck lashing equipment / Места такелажного крепления на палубе  </t>
    </r>
  </si>
  <si>
    <r>
      <rPr>
        <sz val="10"/>
        <color indexed="8"/>
        <rFont val="Calibri"/>
        <family val="2"/>
      </rPr>
      <t>Spark Arrestors / Искрогасители</t>
    </r>
  </si>
  <si>
    <r>
      <rPr>
        <sz val="10"/>
        <color indexed="8"/>
        <rFont val="Calibri"/>
        <family val="2"/>
      </rPr>
      <t>Portholes and windows / Иллюминаторы и окна</t>
    </r>
  </si>
  <si>
    <r>
      <rPr>
        <sz val="10"/>
        <color indexed="8"/>
        <rFont val="Calibri"/>
        <family val="2"/>
      </rPr>
      <t>Navigation lights and NUC lights / Навигационные и аварийные огни</t>
    </r>
  </si>
  <si>
    <r>
      <rPr>
        <sz val="10"/>
        <color indexed="8"/>
        <rFont val="Calibri"/>
        <family val="2"/>
      </rPr>
      <t xml:space="preserve">Radar scanners / Сканирующие устройства РЛС  </t>
    </r>
  </si>
  <si>
    <r>
      <rPr>
        <sz val="10"/>
        <color indexed="8"/>
        <rFont val="Calibri"/>
        <family val="2"/>
      </rPr>
      <t>Communications antennae / Антенны систем связи</t>
    </r>
  </si>
  <si>
    <r>
      <rPr>
        <sz val="10"/>
        <color indexed="8"/>
        <rFont val="Calibri"/>
        <family val="2"/>
      </rPr>
      <t>International shore connection / Переходное соединение международного образца</t>
    </r>
  </si>
  <si>
    <r>
      <rPr>
        <sz val="10"/>
        <color indexed="8"/>
        <rFont val="Calibri"/>
        <family val="2"/>
      </rPr>
      <t>Goosenecks / Вентиляционные гуськи</t>
    </r>
  </si>
  <si>
    <r>
      <rPr>
        <sz val="10"/>
        <color indexed="8"/>
        <rFont val="Calibri"/>
        <family val="2"/>
      </rPr>
      <t>Life ring holders / Держатели спасательных кругов</t>
    </r>
  </si>
  <si>
    <r>
      <rPr>
        <sz val="10"/>
        <color indexed="8"/>
        <rFont val="Calibri"/>
        <family val="2"/>
      </rPr>
      <t>EPIRB holders / Держатель судового аварийного радиобуя</t>
    </r>
  </si>
  <si>
    <r>
      <rPr>
        <sz val="10"/>
        <color indexed="8"/>
        <rFont val="Calibri"/>
        <family val="2"/>
      </rPr>
      <t>Life raft cradles / Рама спасательного плота</t>
    </r>
  </si>
  <si>
    <r>
      <rPr>
        <sz val="10"/>
        <color indexed="8"/>
        <rFont val="Calibri"/>
        <family val="2"/>
      </rPr>
      <t>Scuppers / Шпигаты</t>
    </r>
  </si>
  <si>
    <r>
      <rPr>
        <b/>
        <sz val="16"/>
        <color indexed="8"/>
        <rFont val="Calibri"/>
        <family val="2"/>
      </rPr>
      <t xml:space="preserve">4. </t>
    </r>
    <r>
      <rPr>
        <b/>
        <sz val="16"/>
        <color indexed="8"/>
        <rFont val="Calibri"/>
        <family val="2"/>
      </rPr>
      <t>DECKS / ПАЛУБЫ</t>
    </r>
  </si>
  <si>
    <r>
      <rPr>
        <sz val="11"/>
        <rFont val="Calibri"/>
        <family val="2"/>
      </rPr>
      <t>q</t>
    </r>
  </si>
  <si>
    <r>
      <rPr>
        <b/>
        <sz val="16"/>
        <color indexed="8"/>
        <rFont val="Calibri"/>
        <family val="2"/>
      </rPr>
      <t xml:space="preserve">5. </t>
    </r>
    <r>
      <rPr>
        <b/>
        <sz val="16"/>
        <color indexed="8"/>
        <rFont val="Calibri"/>
        <family val="2"/>
      </rPr>
      <t>DECK MACHINERY / ПАЛУБНЫЕ МЕХАНИЗМЫ</t>
    </r>
  </si>
  <si>
    <r>
      <rPr>
        <sz val="10"/>
        <color indexed="8"/>
        <rFont val="Calibri"/>
        <family val="2"/>
      </rPr>
      <t>Anchors – lower and raise / Якори – спуск и подъем</t>
    </r>
  </si>
  <si>
    <r>
      <rPr>
        <sz val="10"/>
        <color indexed="8"/>
        <rFont val="Calibri"/>
        <family val="2"/>
      </rPr>
      <t xml:space="preserve">Towing Wire – visual check / Буксирный трос – визуальный осмотр  </t>
    </r>
  </si>
  <si>
    <r>
      <rPr>
        <sz val="10"/>
        <color indexed="8"/>
        <rFont val="Calibri"/>
        <family val="2"/>
      </rPr>
      <t>Anchor Handling Wire – visual check / Трос заводки якоря – визуальный осмотр</t>
    </r>
  </si>
  <si>
    <r>
      <rPr>
        <sz val="10"/>
        <color indexed="8"/>
        <rFont val="Calibri"/>
        <family val="2"/>
      </rPr>
      <t>Tugger Winch Wires – visual check / Тросы палубных лебедок – визуальный осмотр</t>
    </r>
  </si>
  <si>
    <r>
      <rPr>
        <sz val="10"/>
        <color indexed="8"/>
        <rFont val="Calibri"/>
        <family val="2"/>
      </rPr>
      <t xml:space="preserve">Gob eye – visual check / Проушины оттяжки – визуальный осмотр </t>
    </r>
  </si>
  <si>
    <r>
      <rPr>
        <sz val="10"/>
        <color indexed="8"/>
        <rFont val="Calibri"/>
        <family val="2"/>
      </rPr>
      <t>Is the Stern roller in good condition and moveable? / Кормовой роульс в исправном состоянии?</t>
    </r>
  </si>
  <si>
    <r>
      <rPr>
        <b/>
        <sz val="16"/>
        <color indexed="8"/>
        <rFont val="Calibri"/>
        <family val="2"/>
      </rPr>
      <t xml:space="preserve">6. </t>
    </r>
    <r>
      <rPr>
        <b/>
        <sz val="16"/>
        <color indexed="8"/>
        <rFont val="Calibri"/>
        <family val="2"/>
      </rPr>
      <t>WHEELHOUSE / РУЛЕВАЯ РУБКА</t>
    </r>
  </si>
  <si>
    <r>
      <rPr>
        <sz val="10"/>
        <color indexed="8"/>
        <rFont val="Calibri"/>
        <family val="2"/>
      </rPr>
      <t>Is the Wheelhouse neat and tidy? / Рулевая рубка содержится в порядке и чистоте?</t>
    </r>
  </si>
  <si>
    <r>
      <rPr>
        <sz val="10"/>
        <color indexed="8"/>
        <rFont val="Calibri"/>
        <family val="2"/>
      </rPr>
      <t>Is it clean? / Она чистая?</t>
    </r>
  </si>
  <si>
    <r>
      <rPr>
        <sz val="10"/>
        <color indexed="8"/>
        <rFont val="Calibri"/>
        <family val="2"/>
      </rPr>
      <t>Is the paintwork in good condition? / Красочное покрытие в хорошем состоянии?</t>
    </r>
  </si>
  <si>
    <r>
      <rPr>
        <sz val="10"/>
        <color indexed="8"/>
        <rFont val="Calibri"/>
        <family val="2"/>
      </rPr>
      <t>Are the walls and flooring in good condition? / Стены и пол в исправном состоянии?</t>
    </r>
  </si>
  <si>
    <r>
      <rPr>
        <sz val="10"/>
        <color indexed="8"/>
        <rFont val="Calibri"/>
        <family val="2"/>
      </rPr>
      <t>Is the wheelhouse lighting in good working condition? / Освещение рулевой рубки в исправном состоянии?</t>
    </r>
  </si>
  <si>
    <r>
      <rPr>
        <sz val="10"/>
        <color indexed="8"/>
        <rFont val="Calibri"/>
        <family val="2"/>
      </rPr>
      <t>Is the wheelhouse furniture in good condition? / Мебель рулевой рубки в исправном состоянии?</t>
    </r>
  </si>
  <si>
    <r>
      <rPr>
        <sz val="10"/>
        <color indexed="8"/>
        <rFont val="Calibri"/>
        <family val="2"/>
      </rPr>
      <t>Is the general condition good? / Общее состояние исправное?</t>
    </r>
  </si>
  <si>
    <r>
      <rPr>
        <sz val="10"/>
        <color indexed="8"/>
        <rFont val="Calibri"/>
        <family val="2"/>
      </rPr>
      <t>Is the magnetic compass in good working condition? / Магнитный компас в исправном рабочем состоянии?</t>
    </r>
  </si>
  <si>
    <r>
      <rPr>
        <sz val="10"/>
        <color indexed="8"/>
        <rFont val="Calibri"/>
        <family val="2"/>
      </rPr>
      <t>Is the deviation card available and up to date? – (max 2 years old) / Таблица девиации имеется и в актуальном состоянии? – (не более 2 лет давности)</t>
    </r>
  </si>
  <si>
    <r>
      <rPr>
        <b/>
        <sz val="16"/>
        <color indexed="8"/>
        <rFont val="Calibri"/>
        <family val="2"/>
      </rPr>
      <t xml:space="preserve">7. </t>
    </r>
    <r>
      <rPr>
        <b/>
        <sz val="16"/>
        <color indexed="8"/>
        <rFont val="Calibri"/>
        <family val="2"/>
      </rPr>
      <t xml:space="preserve">ACCOMODATION &amp; PUBLIC PLACES / ЖИЛЫЕ ПОМЕЩЕНИЯ И МЕСТА ОБЩЕГО ПОЛЬЗОВАНИЯ </t>
    </r>
  </si>
  <si>
    <r>
      <rPr>
        <b/>
        <sz val="10"/>
        <color indexed="8"/>
        <rFont val="Calibri"/>
        <family val="2"/>
      </rPr>
      <t xml:space="preserve">Accommodation Level 1 / Жилой блок уровня 1 </t>
    </r>
  </si>
  <si>
    <r>
      <rPr>
        <sz val="10"/>
        <color indexed="8"/>
        <rFont val="Arial"/>
        <family val="2"/>
      </rPr>
      <t xml:space="preserve">Is the accommodation neat and tidy? / Жилые помещения содержится в порядке и чистоте? </t>
    </r>
  </si>
  <si>
    <r>
      <rPr>
        <sz val="10"/>
        <color indexed="8"/>
        <rFont val="Arial"/>
        <family val="2"/>
      </rPr>
      <t>Is the accommodation clean? / Каюты чистые?</t>
    </r>
  </si>
  <si>
    <r>
      <rPr>
        <sz val="10"/>
        <color indexed="8"/>
        <rFont val="Arial"/>
        <family val="2"/>
      </rPr>
      <t>Are all floor and wall coverings in good condition? / Покрытие стен и пола в исправном состоянии?</t>
    </r>
  </si>
  <si>
    <r>
      <rPr>
        <sz val="10"/>
        <color indexed="8"/>
        <rFont val="Arial"/>
        <family val="2"/>
      </rPr>
      <t>Do all cabins/public spaces have lights in good working condition? / Во всех каютах/местах общего пользования исправное освещение?</t>
    </r>
  </si>
  <si>
    <r>
      <rPr>
        <sz val="10"/>
        <color indexed="8"/>
        <rFont val="Arial"/>
        <family val="2"/>
      </rPr>
      <t>Is all cabin/public spaces furniture in good condition? / Во всех каютах/местах общего пользования мебель в исправном состоянии?</t>
    </r>
  </si>
  <si>
    <r>
      <rPr>
        <sz val="10"/>
        <color indexed="8"/>
        <rFont val="Arial"/>
        <family val="2"/>
      </rPr>
      <t>Are all showers including fittings in good condition? / Все души, включая фитинги, в исправном состоянии?</t>
    </r>
  </si>
  <si>
    <r>
      <rPr>
        <sz val="10"/>
        <color indexed="8"/>
        <rFont val="Arial"/>
        <family val="2"/>
      </rPr>
      <t>Are all toilets working correctly and in good condition? / Все туалеты работают исправно и в хорошем состоянии?</t>
    </r>
  </si>
  <si>
    <r>
      <rPr>
        <sz val="10"/>
        <color indexed="8"/>
        <rFont val="Arial"/>
        <family val="2"/>
      </rPr>
      <t>Are all drains in good condition and running freely? / Все сливы в исправном состоянии и не засорены?</t>
    </r>
  </si>
  <si>
    <r>
      <rPr>
        <sz val="10"/>
        <color indexed="8"/>
        <rFont val="Arial"/>
        <family val="2"/>
      </rPr>
      <t>Are Portholes and windows in good condition? / Иллюминаторы и окна в исправном состоянии?</t>
    </r>
  </si>
  <si>
    <r>
      <rPr>
        <sz val="10"/>
        <color indexed="8"/>
        <rFont val="Arial"/>
        <family val="2"/>
      </rPr>
      <t>Is the cabin ventilation in good condition? / Вентиляция в каютах в исправном состоянии?</t>
    </r>
  </si>
  <si>
    <r>
      <rPr>
        <sz val="10"/>
        <color indexed="8"/>
        <rFont val="Arial"/>
        <family val="2"/>
      </rPr>
      <t>Are all doors, hooks and door locks in good condition? / Все двери, крючки и дверные замки в исправном состоянии?</t>
    </r>
  </si>
  <si>
    <r>
      <rPr>
        <b/>
        <sz val="10"/>
        <color indexed="8"/>
        <rFont val="Calibri"/>
        <family val="2"/>
      </rPr>
      <t xml:space="preserve">Accommodation Level 2 / Жилой блок уровня 2 </t>
    </r>
  </si>
  <si>
    <r>
      <rPr>
        <b/>
        <sz val="10"/>
        <color indexed="8"/>
        <rFont val="Calibri"/>
        <family val="2"/>
      </rPr>
      <t xml:space="preserve">Accommodation Level 3 / Жилой блок уровня 3 </t>
    </r>
  </si>
  <si>
    <r>
      <rPr>
        <b/>
        <sz val="16"/>
        <color indexed="8"/>
        <rFont val="Calibri"/>
        <family val="2"/>
      </rPr>
      <t xml:space="preserve">8. </t>
    </r>
    <r>
      <rPr>
        <b/>
        <sz val="16"/>
        <color indexed="8"/>
        <rFont val="Calibri"/>
        <family val="2"/>
      </rPr>
      <t>GALLEY, LAUNDRY &amp; STORES / КАМБУЗ, ПРАЧЕЧНАЯ И КЛАДОВЫЕ</t>
    </r>
  </si>
  <si>
    <r>
      <rPr>
        <sz val="10"/>
        <color indexed="8"/>
        <rFont val="Arial"/>
        <family val="2"/>
      </rPr>
      <t>Is the galley neat and tidy? / Камбуз содержится в порядке и чистоте?</t>
    </r>
  </si>
  <si>
    <r>
      <rPr>
        <sz val="10"/>
        <color indexed="8"/>
        <rFont val="Arial"/>
        <family val="2"/>
      </rPr>
      <t>Is the galley clean? / Камбуз чистый?</t>
    </r>
  </si>
  <si>
    <r>
      <rPr>
        <sz val="10"/>
        <color indexed="8"/>
        <rFont val="Arial"/>
        <family val="2"/>
      </rPr>
      <t>Is the galley floor and wall covering in good condition? / Покрытие стен и пола камбуза в исправном состоянии?</t>
    </r>
  </si>
  <si>
    <r>
      <rPr>
        <sz val="10"/>
        <color indexed="8"/>
        <rFont val="Arial"/>
        <family val="2"/>
      </rPr>
      <t>Is the galley lighting in good working condition? / Освещение камбуза в исправном состоянии?</t>
    </r>
  </si>
  <si>
    <r>
      <rPr>
        <sz val="10"/>
        <color indexed="8"/>
        <rFont val="Arial"/>
        <family val="2"/>
      </rPr>
      <t>Is the galley equipment in good working condition? / Оборудование камбуза в исправном рабочем состоянии?</t>
    </r>
  </si>
  <si>
    <r>
      <rPr>
        <sz val="10"/>
        <color indexed="8"/>
        <rFont val="Arial"/>
        <family val="2"/>
      </rPr>
      <t>Are the sinks, taps and drains in good condition? / Раковины, краны и сливы в исправном состоянии?</t>
    </r>
  </si>
  <si>
    <r>
      <rPr>
        <sz val="10"/>
        <color indexed="8"/>
        <rFont val="Arial"/>
        <family val="2"/>
      </rPr>
      <t>Is the galley ventilation in good working condition? / Вентиляция камбуза в исправном рабочем состоянии?</t>
    </r>
  </si>
  <si>
    <r>
      <rPr>
        <sz val="10"/>
        <color indexed="8"/>
        <rFont val="Arial"/>
        <family val="2"/>
      </rPr>
      <t>Are all freezers, fridges and storerooms clean? / Все морозильные камеры, холодильники и кладовые чистые?</t>
    </r>
  </si>
  <si>
    <r>
      <rPr>
        <sz val="10"/>
        <color indexed="8"/>
        <rFont val="Arial"/>
        <family val="2"/>
      </rPr>
      <t>Is fumigation up to date? / Срок дезинсекции окуриванием не истек?</t>
    </r>
  </si>
  <si>
    <r>
      <rPr>
        <sz val="10"/>
        <color indexed="8"/>
        <rFont val="Arial"/>
        <family val="2"/>
      </rPr>
      <t>Is the mess room neat and tidy? / Столовая убрана и в порядке?</t>
    </r>
  </si>
  <si>
    <r>
      <rPr>
        <sz val="10"/>
        <color indexed="8"/>
        <rFont val="Arial"/>
        <family val="2"/>
      </rPr>
      <t>Is the mess room clean? / Столовая чистая?</t>
    </r>
  </si>
  <si>
    <r>
      <rPr>
        <sz val="10"/>
        <color indexed="8"/>
        <rFont val="Arial"/>
        <family val="2"/>
      </rPr>
      <t>Is the mess room paintwork in good condition? / Красочное покрытие столовой в хорошем состоянии?</t>
    </r>
  </si>
  <si>
    <r>
      <rPr>
        <sz val="10"/>
        <color indexed="8"/>
        <rFont val="Arial"/>
        <family val="2"/>
      </rPr>
      <t>Is the mess room floor and wall covering in good condition? / Покрытие стен и пола столовой в исправном состоянии?</t>
    </r>
  </si>
  <si>
    <r>
      <rPr>
        <sz val="10"/>
        <color indexed="8"/>
        <rFont val="Arial"/>
        <family val="2"/>
      </rPr>
      <t>Is the mess room lighting in good working condition? / Освещение столовой в исправном рабочем состоянии?</t>
    </r>
  </si>
  <si>
    <r>
      <rPr>
        <sz val="10"/>
        <color indexed="8"/>
        <rFont val="Arial"/>
        <family val="2"/>
      </rPr>
      <t>Is the mess room furniture in good condition? / Мебель столовой в исправном состоянии?</t>
    </r>
  </si>
  <si>
    <r>
      <rPr>
        <sz val="10"/>
        <color indexed="8"/>
        <rFont val="Arial"/>
        <family val="2"/>
      </rPr>
      <t>Is the mess room ventilation in good working order? / Вентиляция столовой в исправном рабочем состоянии?</t>
    </r>
  </si>
  <si>
    <r>
      <rPr>
        <sz val="10"/>
        <color indexed="8"/>
        <rFont val="Arial"/>
        <family val="2"/>
      </rPr>
      <t>Are the doors and locks in good condition? / Двери и замки в исправном состоянии?</t>
    </r>
  </si>
  <si>
    <r>
      <rPr>
        <sz val="10"/>
        <color indexed="8"/>
        <rFont val="Arial"/>
        <family val="2"/>
      </rPr>
      <t>Is the laundry room neat and tidy? / Прачечная убрана и в порядке?</t>
    </r>
  </si>
  <si>
    <r>
      <rPr>
        <sz val="10"/>
        <color indexed="8"/>
        <rFont val="Arial"/>
        <family val="2"/>
      </rPr>
      <t>Is the laundry room clean? / Прачечная чистая?</t>
    </r>
  </si>
  <si>
    <r>
      <rPr>
        <sz val="10"/>
        <color indexed="8"/>
        <rFont val="Arial"/>
        <family val="2"/>
      </rPr>
      <t>Is the laundry room paintwork in good condition? / Красочное покрытие прачечной в хорошем состоянии?</t>
    </r>
  </si>
  <si>
    <r>
      <rPr>
        <sz val="10"/>
        <color indexed="8"/>
        <rFont val="Arial"/>
        <family val="2"/>
      </rPr>
      <t>Is the laundry room floor and wall covering in good condition? / Покрытие стен и пола столовой в исправном состоянии?</t>
    </r>
  </si>
  <si>
    <r>
      <rPr>
        <sz val="10"/>
        <color indexed="8"/>
        <rFont val="Arial"/>
        <family val="2"/>
      </rPr>
      <t>Is the laundry room lighting in good working condition? / Освещение прачечной в исправном рабочем состоянии?</t>
    </r>
  </si>
  <si>
    <r>
      <rPr>
        <sz val="10"/>
        <color indexed="8"/>
        <rFont val="Arial"/>
        <family val="2"/>
      </rPr>
      <t>Is the laundry room equipment in good working order? / Оборудование прачечной в исправном рабочем состоянии?</t>
    </r>
  </si>
  <si>
    <r>
      <rPr>
        <sz val="10"/>
        <color indexed="8"/>
        <rFont val="Arial"/>
        <family val="2"/>
      </rPr>
      <t>Is the laundry room furniture in good condition? / Мебель прачечной в исправном состоянии?</t>
    </r>
  </si>
  <si>
    <r>
      <rPr>
        <sz val="10"/>
        <color indexed="8"/>
        <rFont val="Arial"/>
        <family val="2"/>
      </rPr>
      <t>Is the laundry room ventilation in good working order? / Вентиляция прачечной в исправном рабочем состоянии?</t>
    </r>
  </si>
  <si>
    <r>
      <rPr>
        <b/>
        <sz val="16"/>
        <color indexed="8"/>
        <rFont val="Calibri"/>
        <family val="2"/>
      </rPr>
      <t xml:space="preserve">9. </t>
    </r>
    <r>
      <rPr>
        <b/>
        <sz val="16"/>
        <color indexed="8"/>
        <rFont val="Calibri"/>
        <family val="2"/>
      </rPr>
      <t>TECHNICAL SPACES / ТЕХНИЧЕСКИЕ ПОМЕЩЕНИЯ</t>
    </r>
  </si>
  <si>
    <r>
      <rPr>
        <b/>
        <sz val="10"/>
        <color indexed="8"/>
        <rFont val="Calibri"/>
        <family val="2"/>
      </rPr>
      <t>Engine Control Room / Центральный пуль управления</t>
    </r>
  </si>
  <si>
    <r>
      <rPr>
        <sz val="10"/>
        <color indexed="8"/>
        <rFont val="Calibri"/>
        <family val="2"/>
      </rPr>
      <t>Is the Control room neat and tidy? / ЦПУ убран и в порядке?</t>
    </r>
  </si>
  <si>
    <r>
      <rPr>
        <sz val="10"/>
        <color indexed="8"/>
        <rFont val="Calibri"/>
        <family val="2"/>
      </rPr>
      <t>Is the Control room clean? / ЦПУ чистый?</t>
    </r>
  </si>
  <si>
    <r>
      <rPr>
        <sz val="10"/>
        <color indexed="8"/>
        <rFont val="Calibri"/>
        <family val="2"/>
      </rPr>
      <t>Is the Control room paintwork in good condition? / Красочное покрытие ЦПУ в хорошем состоянии?</t>
    </r>
  </si>
  <si>
    <r>
      <rPr>
        <sz val="10"/>
        <color indexed="8"/>
        <rFont val="Calibri"/>
        <family val="2"/>
      </rPr>
      <t>Is the Control room floor and wall covering in good condition? / Покрытие стен и пола ЦПУ в исправном состоянии?</t>
    </r>
  </si>
  <si>
    <r>
      <rPr>
        <sz val="10"/>
        <color indexed="8"/>
        <rFont val="Calibri"/>
        <family val="2"/>
      </rPr>
      <t>Is the Control room lighting in good condition? / Освещение ЦПУ в исправном состоянии?</t>
    </r>
  </si>
  <si>
    <r>
      <rPr>
        <b/>
        <sz val="10"/>
        <color indexed="8"/>
        <rFont val="Calibri"/>
        <family val="2"/>
      </rPr>
      <t>Workshop / Мастерская</t>
    </r>
  </si>
  <si>
    <r>
      <rPr>
        <sz val="10"/>
        <color indexed="8"/>
        <rFont val="Calibri"/>
        <family val="2"/>
      </rPr>
      <t>Is the workshop neat and tidy? / Мастерская содержится в порядке и чистоте?</t>
    </r>
  </si>
  <si>
    <r>
      <rPr>
        <sz val="10"/>
        <color indexed="8"/>
        <rFont val="Calibri"/>
        <family val="2"/>
      </rPr>
      <t>Is the workshop clean? / Мастерская чистая?</t>
    </r>
  </si>
  <si>
    <r>
      <rPr>
        <sz val="10"/>
        <color indexed="8"/>
        <rFont val="Calibri"/>
        <family val="2"/>
      </rPr>
      <t>Is the workshop paintwork in good condition? / Красочное покрытие мастерской в хорошем состоянии?</t>
    </r>
  </si>
  <si>
    <r>
      <rPr>
        <sz val="10"/>
        <color indexed="8"/>
        <rFont val="Calibri"/>
        <family val="2"/>
      </rPr>
      <t>Is the workshop floor and wall covering in good condition? / Покрытие стен и пола мастерской в исправном состоянии?</t>
    </r>
  </si>
  <si>
    <r>
      <rPr>
        <sz val="10"/>
        <color indexed="8"/>
        <rFont val="Calibri"/>
        <family val="2"/>
      </rPr>
      <t>Is the workshop lighting in good condition? / Освещение мастерской в исправном состоянии?</t>
    </r>
  </si>
  <si>
    <r>
      <rPr>
        <sz val="10"/>
        <color indexed="8"/>
        <rFont val="Calibri"/>
        <family val="2"/>
      </rPr>
      <t>Are the workshop tools stowed correctly? / Правильно уложены инструменты в мастерской?</t>
    </r>
  </si>
  <si>
    <r>
      <rPr>
        <sz val="10"/>
        <color indexed="8"/>
        <rFont val="Calibri"/>
        <family val="2"/>
      </rPr>
      <t>Is the workshop Fire door in good condition? / Пожарная дверь мастерской в исправном состоянии?</t>
    </r>
  </si>
  <si>
    <r>
      <rPr>
        <b/>
        <sz val="10"/>
        <color indexed="8"/>
        <rFont val="Calibri"/>
        <family val="2"/>
      </rPr>
      <t xml:space="preserve">Bow Thruster Room / Помещение носового подруливающего устройства </t>
    </r>
  </si>
  <si>
    <r>
      <rPr>
        <sz val="10"/>
        <color indexed="8"/>
        <rFont val="Calibri"/>
        <family val="2"/>
      </rPr>
      <t>Is the BT room neat and tidy? / Помещение НПУ убрано и в порядке?</t>
    </r>
  </si>
  <si>
    <r>
      <rPr>
        <sz val="10"/>
        <color indexed="8"/>
        <rFont val="Calibri"/>
        <family val="2"/>
      </rPr>
      <t>Is the BT room clean? / Помещение НПУ чистое?</t>
    </r>
  </si>
  <si>
    <r>
      <rPr>
        <sz val="10"/>
        <color indexed="8"/>
        <rFont val="Calibri"/>
        <family val="2"/>
      </rPr>
      <t>Is the BT room paintwork in good condition? / Красочное покрытие помещения НПУ в хорошем состоянии?</t>
    </r>
  </si>
  <si>
    <r>
      <rPr>
        <sz val="10"/>
        <color indexed="8"/>
        <rFont val="Calibri"/>
        <family val="2"/>
      </rPr>
      <t>Is the paintwork above the floor plates in good condition? / Красочное покрытие над настилом пола в хорошем состоянии?</t>
    </r>
  </si>
  <si>
    <r>
      <rPr>
        <sz val="10"/>
        <color indexed="8"/>
        <rFont val="Calibri"/>
        <family val="2"/>
      </rPr>
      <t>Is the paintwork under the floor plates in good condition? / Красочное покрытие под настилом пола в хорошем состоянии?</t>
    </r>
  </si>
  <si>
    <r>
      <rPr>
        <sz val="10"/>
        <color indexed="8"/>
        <rFont val="Calibri"/>
        <family val="2"/>
      </rPr>
      <t>Is the BT room lighting in good condition? / Освещение помещения НПУ в исправном состоянии?</t>
    </r>
  </si>
  <si>
    <r>
      <rPr>
        <sz val="10"/>
        <color indexed="8"/>
        <rFont val="Calibri"/>
        <family val="2"/>
      </rPr>
      <t>Is the watertight/Fire door in good condition? / Герметичная/пожарная дверь мастерской в исправном состоянии?</t>
    </r>
  </si>
  <si>
    <r>
      <rPr>
        <b/>
        <sz val="10"/>
        <color indexed="8"/>
        <rFont val="Calibri"/>
        <family val="2"/>
      </rPr>
      <t>Engine Room / Маш.отделение</t>
    </r>
  </si>
  <si>
    <r>
      <rPr>
        <sz val="10"/>
        <color indexed="8"/>
        <rFont val="Calibri"/>
        <family val="2"/>
      </rPr>
      <t>Is the Engine room neat and tidy? / Маш.отделение убрано и в порядке?</t>
    </r>
  </si>
  <si>
    <r>
      <rPr>
        <sz val="10"/>
        <color indexed="8"/>
        <rFont val="Calibri"/>
        <family val="2"/>
      </rPr>
      <t>Is the Engine room clean? / Маш.отделение убрано и в порядке?</t>
    </r>
  </si>
  <si>
    <r>
      <rPr>
        <sz val="10"/>
        <color indexed="8"/>
        <rFont val="Calibri"/>
        <family val="2"/>
      </rPr>
      <t>Is the Engine room lighting in good working order? / Освещение маш.отделения в исправном рабочем состоянии?</t>
    </r>
  </si>
  <si>
    <r>
      <rPr>
        <sz val="10"/>
        <color indexed="8"/>
        <rFont val="Calibri"/>
        <family val="2"/>
      </rPr>
      <t>Is the general condition of the engine good – no leaks? / Общее состояние двигателя хорошее – протечек нет?</t>
    </r>
  </si>
  <si>
    <r>
      <rPr>
        <sz val="10"/>
        <color indexed="8"/>
        <rFont val="Calibri"/>
        <family val="2"/>
      </rPr>
      <t xml:space="preserve">Is the lubrication system in good working condition? / Система смазки в исправном рабочем состоянии?  </t>
    </r>
  </si>
  <si>
    <r>
      <rPr>
        <sz val="10"/>
        <color indexed="8"/>
        <rFont val="Calibri"/>
        <family val="2"/>
      </rPr>
      <t xml:space="preserve">Is the HT cooling system in good working condition? / Высокотемпературная система охлаждения в исправном рабочем состоянии?  </t>
    </r>
  </si>
  <si>
    <r>
      <rPr>
        <sz val="10"/>
        <color indexed="8"/>
        <rFont val="Calibri"/>
        <family val="2"/>
      </rPr>
      <t xml:space="preserve">Is the LT cooling system in good working condition? / Низкотемпературная система охлаждения в исправном рабочем состоянии?  </t>
    </r>
  </si>
  <si>
    <r>
      <rPr>
        <sz val="10"/>
        <color indexed="8"/>
        <rFont val="Calibri"/>
        <family val="2"/>
      </rPr>
      <t>Are the local panel gauges and instrumentation in good working condition? / Манометры и приборы локальных пультов в исправном рабочем состоянии?</t>
    </r>
  </si>
  <si>
    <r>
      <rPr>
        <sz val="10"/>
        <color indexed="8"/>
        <rFont val="Calibri"/>
        <family val="2"/>
      </rPr>
      <t>Are the flexible couplings in good condition? / Упругие муфты в исправном состоянии?</t>
    </r>
  </si>
  <si>
    <r>
      <rPr>
        <sz val="10"/>
        <color indexed="8"/>
        <rFont val="Calibri"/>
        <family val="2"/>
      </rPr>
      <t>Are the local panel gauges and instrumentation in good working condition? / Манометры и приборы локальных пультов в исправном рабочем состоянии?</t>
    </r>
  </si>
  <si>
    <r>
      <rPr>
        <b/>
        <sz val="10"/>
        <color indexed="8"/>
        <rFont val="Calibri"/>
        <family val="2"/>
      </rPr>
      <t>Gen. set 3 / Генераторная установка 3</t>
    </r>
  </si>
  <si>
    <r>
      <rPr>
        <b/>
        <sz val="10"/>
        <color indexed="8"/>
        <rFont val="Calibri"/>
        <family val="2"/>
      </rPr>
      <t>Emergency/Harbor Generator / Аварийный/стояночный генератор</t>
    </r>
  </si>
  <si>
    <r>
      <rPr>
        <sz val="10"/>
        <color indexed="8"/>
        <rFont val="Calibri"/>
        <family val="2"/>
      </rPr>
      <t>Is the cooling system in good working condition? / Система охлаждения в исправном рабочем состоянии?</t>
    </r>
  </si>
  <si>
    <r>
      <rPr>
        <sz val="10"/>
        <color indexed="8"/>
        <rFont val="Calibri"/>
        <family val="2"/>
      </rPr>
      <t>Are the shaft generators flexible couplings in good condition? / Упругие муфты валогенераторов в исправном состоянии?</t>
    </r>
  </si>
  <si>
    <r>
      <rPr>
        <b/>
        <sz val="10"/>
        <color indexed="8"/>
        <rFont val="Calibri"/>
        <family val="2"/>
      </rPr>
      <t>Are the following machinery components in good working condition / Следующие компоненты оборудования в исправном рабочем состоянии:</t>
    </r>
  </si>
  <si>
    <r>
      <rPr>
        <sz val="10"/>
        <color indexed="8"/>
        <rFont val="Calibri"/>
        <family val="2"/>
      </rPr>
      <t xml:space="preserve"> Are the Air system safety valves and service valves in good condition – no leaks / Предохранительные и рабочие клапаны воздушной системы в исправном состоянии – протечек нет</t>
    </r>
  </si>
  <si>
    <r>
      <rPr>
        <sz val="10"/>
        <color indexed="8"/>
        <rFont val="Calibri"/>
        <family val="2"/>
      </rPr>
      <t>Air system piping – no leaks / Трубопроводы воздушной системы – протечек нет</t>
    </r>
  </si>
  <si>
    <r>
      <rPr>
        <sz val="10"/>
        <color indexed="8"/>
        <rFont val="Calibri"/>
        <family val="2"/>
      </rPr>
      <t xml:space="preserve">AC Condensers / Конденсаторы системы кондиционирования воздуха </t>
    </r>
  </si>
  <si>
    <r>
      <rPr>
        <sz val="10"/>
        <color indexed="8"/>
        <rFont val="Calibri"/>
        <family val="2"/>
      </rPr>
      <t>AC Evaporators / Испарители системы кондиционирования воздуха</t>
    </r>
  </si>
  <si>
    <r>
      <rPr>
        <sz val="10"/>
        <color indexed="8"/>
        <rFont val="Calibri"/>
        <family val="2"/>
      </rPr>
      <t xml:space="preserve">AC piping / Трубная обвязка системы кондиционирования воздуха </t>
    </r>
  </si>
  <si>
    <r>
      <rPr>
        <sz val="10"/>
        <color indexed="8"/>
        <rFont val="Calibri"/>
        <family val="2"/>
      </rPr>
      <t>Air Handling Unit / Установка подготовки воздуха</t>
    </r>
  </si>
  <si>
    <r>
      <rPr>
        <sz val="10"/>
        <color indexed="8"/>
        <rFont val="Calibri"/>
        <family val="2"/>
      </rPr>
      <t xml:space="preserve">Is the Cargo fuel Meter in good working condition and is the calibration in date? / Грузовой расходомер в исправном рабочем состоянии и с должным сроком калибровки? </t>
    </r>
  </si>
  <si>
    <r>
      <rPr>
        <sz val="10"/>
        <color indexed="8"/>
        <rFont val="Calibri"/>
        <family val="2"/>
      </rPr>
      <t>Is the Cargo Fuel pump in good working condition? / Грузовой топливный насос в исправном рабочем состоянии?</t>
    </r>
  </si>
  <si>
    <r>
      <rPr>
        <sz val="10"/>
        <color indexed="8"/>
        <rFont val="Calibri"/>
        <family val="2"/>
      </rPr>
      <t>Are the Exhaust systems in good condition? – no leaks / Выхлопные системы в исправном состоянии? – протечек нет</t>
    </r>
  </si>
  <si>
    <r>
      <rPr>
        <sz val="10"/>
        <color indexed="8"/>
        <rFont val="Calibri"/>
        <family val="2"/>
      </rPr>
      <t>Are the Propeller Shafts and bearings in good condition – greased? / Гребные валы и подшипники в исправном состоянии - смазаны?</t>
    </r>
  </si>
  <si>
    <r>
      <rPr>
        <sz val="10"/>
        <color indexed="8"/>
        <rFont val="Calibri"/>
        <family val="2"/>
      </rPr>
      <t>Is the L.O. pipework in good condition? – no leaks / Сеть трубопроводов смазки в исправном состоянии? – протечек нет</t>
    </r>
  </si>
  <si>
    <r>
      <rPr>
        <sz val="10"/>
        <color indexed="8"/>
        <rFont val="Calibri"/>
        <family val="2"/>
      </rPr>
      <t>Are all Rotating Equipment Guards in place and in good condition? / Все ограждения вращающегося оборудования в наличии и в хорошем состоянии?</t>
    </r>
  </si>
  <si>
    <r>
      <rPr>
        <sz val="10"/>
        <color indexed="8"/>
        <rFont val="Calibri"/>
        <family val="2"/>
      </rPr>
      <t>Are the Bilge’s clean? / Трюмы чистые?</t>
    </r>
  </si>
  <si>
    <r>
      <rPr>
        <sz val="10"/>
        <color indexed="8"/>
        <rFont val="Calibri"/>
        <family val="2"/>
      </rPr>
      <t>Are all Valves and pipes colour coded correctly? / Все клапаны и трубы снабжены правильной цветовой маркировкой?</t>
    </r>
  </si>
  <si>
    <r>
      <rPr>
        <sz val="10"/>
        <color indexed="8"/>
        <rFont val="Calibri"/>
        <family val="2"/>
      </rPr>
      <t>Are E/R operating procedures available? / Процедуры работы аварийной службы в наличии?</t>
    </r>
  </si>
  <si>
    <r>
      <rPr>
        <sz val="10"/>
        <color indexed="8"/>
        <rFont val="Calibri"/>
        <family val="2"/>
      </rPr>
      <t>Are all Fire Hydrants including keys and spanners in good condition? / Все пожарные гидранты, включая ключи и гаечные ключи, в хорошем состоянии?</t>
    </r>
  </si>
  <si>
    <r>
      <rPr>
        <sz val="10"/>
        <color indexed="8"/>
        <rFont val="Calibri"/>
        <family val="2"/>
      </rPr>
      <t xml:space="preserve">Fire Boxes / Пожарные ящики </t>
    </r>
  </si>
  <si>
    <r>
      <rPr>
        <sz val="10"/>
        <color indexed="8"/>
        <rFont val="Calibri"/>
        <family val="2"/>
      </rPr>
      <t>Are all Escape routes free? / Все пути эвакуации свободны?</t>
    </r>
  </si>
  <si>
    <r>
      <rPr>
        <sz val="10"/>
        <color indexed="8"/>
        <rFont val="Calibri"/>
        <family val="2"/>
      </rPr>
      <t>Is the Electrical Ship / Shore Connection in good condition? / Соединение для приема электроэнергии на корабль с берега в хорошем состоянии?</t>
    </r>
  </si>
  <si>
    <r>
      <rPr>
        <sz val="10"/>
        <color indexed="8"/>
        <rFont val="Calibri"/>
        <family val="2"/>
      </rPr>
      <t>Are all Switchboards in good working condition? / Все распред.устройства в исправном рабочем состоянии?</t>
    </r>
  </si>
  <si>
    <r>
      <rPr>
        <sz val="10"/>
        <color indexed="8"/>
        <rFont val="Calibri"/>
        <family val="2"/>
      </rPr>
      <t>Are all Distribution boards in good working condition? / Все распред.щиты в исправном рабочем состоянии?</t>
    </r>
  </si>
  <si>
    <r>
      <rPr>
        <sz val="10"/>
        <color indexed="8"/>
        <rFont val="Calibri"/>
        <family val="2"/>
      </rPr>
      <t>Are all Battery chargers in good working condition? / Все зарядные устройства батарей в исправном рабочем состоянии?</t>
    </r>
  </si>
  <si>
    <r>
      <rPr>
        <sz val="10"/>
        <color indexed="8"/>
        <rFont val="Calibri"/>
        <family val="2"/>
      </rPr>
      <t>Are all Transformers in good working condition? / Все трансформаторы в исправном рабочем состоянии?</t>
    </r>
  </si>
  <si>
    <r>
      <rPr>
        <sz val="10"/>
        <color indexed="8"/>
        <rFont val="Calibri"/>
        <family val="2"/>
      </rPr>
      <t>Earth fault measurement 380/415 Volt / Измерение замыкания на землю 380/415 вольт</t>
    </r>
  </si>
  <si>
    <r>
      <rPr>
        <sz val="10"/>
        <color indexed="8"/>
        <rFont val="Calibri"/>
        <family val="2"/>
      </rPr>
      <t>Earth fault measurement 220 Volt / Измерение замыкания на землю 220 вольт</t>
    </r>
  </si>
  <si>
    <r>
      <rPr>
        <sz val="10"/>
        <color indexed="8"/>
        <rFont val="Calibri"/>
        <family val="2"/>
      </rPr>
      <t>Earth fault measurement 24 Volt / Измерение замыкания на землю 24 вольт</t>
    </r>
  </si>
  <si>
    <r>
      <rPr>
        <sz val="10"/>
        <color indexed="8"/>
        <rFont val="Calibri"/>
        <family val="2"/>
      </rPr>
      <t>Is the Impressed current system in good working condition? / Система наложенного тока в исправном рабочем состоянии?</t>
    </r>
  </si>
  <si>
    <r>
      <rPr>
        <sz val="10"/>
        <color indexed="8"/>
        <rFont val="Calibri"/>
        <family val="2"/>
      </rPr>
      <t>Is the Anti fouling system in good working condition? / Система защиты от обрастания в исправном рабочем состоянии?</t>
    </r>
  </si>
  <si>
    <r>
      <rPr>
        <sz val="10"/>
        <color indexed="8"/>
        <rFont val="Calibri"/>
        <family val="2"/>
      </rPr>
      <t xml:space="preserve">Is the Cathodic protection in good working condition? / Система катодной ЭХЗ защиты в исправном рабочем состоянии? </t>
    </r>
  </si>
  <si>
    <r>
      <rPr>
        <b/>
        <sz val="10"/>
        <color indexed="8"/>
        <rFont val="Calibri"/>
        <family val="2"/>
      </rPr>
      <t>Steering Gear Room / Румпельное отделение</t>
    </r>
  </si>
  <si>
    <r>
      <rPr>
        <sz val="10"/>
        <color indexed="8"/>
        <rFont val="Calibri"/>
        <family val="2"/>
      </rPr>
      <t>Is the Steering gear room neat and tidy? / Румпельное отделение убрано и в порядке?</t>
    </r>
  </si>
  <si>
    <r>
      <rPr>
        <sz val="10"/>
        <color indexed="8"/>
        <rFont val="Calibri"/>
        <family val="2"/>
      </rPr>
      <t>Is the Steering gear room clean? / Румпельное отделение чистое?</t>
    </r>
  </si>
  <si>
    <r>
      <rPr>
        <sz val="10"/>
        <color indexed="8"/>
        <rFont val="Calibri"/>
        <family val="2"/>
      </rPr>
      <t>Is the Steering plant room paintwork above the floor plates in good condition? / Красочное покрытие в румпельном помещении над настилом пола в хорошем состоянии?</t>
    </r>
  </si>
  <si>
    <r>
      <rPr>
        <sz val="10"/>
        <color indexed="8"/>
        <rFont val="Calibri"/>
        <family val="2"/>
      </rPr>
      <t>Is the Steering gear room paintwork below the floor plates in good condition? / Красочное покрытие в румпельном помещении под настилом пола в хорошем состоянии?</t>
    </r>
  </si>
  <si>
    <r>
      <rPr>
        <sz val="10"/>
        <color indexed="8"/>
        <rFont val="Calibri"/>
        <family val="2"/>
      </rPr>
      <t>Is the Steering gear room lighting in good condition? / Освещение румпельного помещения в исправном состоянии?</t>
    </r>
  </si>
  <si>
    <r>
      <rPr>
        <sz val="10"/>
        <color indexed="8"/>
        <rFont val="Calibri"/>
        <family val="2"/>
      </rPr>
      <t>Are the watertight/Fire doors in good condition? / Герметичные/пожарные двери в исправном состоянии?</t>
    </r>
  </si>
  <si>
    <r>
      <rPr>
        <sz val="10"/>
        <color indexed="8"/>
        <rFont val="Calibri"/>
        <family val="2"/>
      </rPr>
      <t xml:space="preserve">Are the Emergency escapes in good condition? / Пути аварийной эвакуации в хорошем состоянии? </t>
    </r>
  </si>
  <si>
    <r>
      <rPr>
        <sz val="10"/>
        <color indexed="8"/>
        <rFont val="Calibri"/>
        <family val="2"/>
      </rPr>
      <t>Are Rubber mats in front of switchboards available? / Имеются резиновые коврики перед распред.щитами?</t>
    </r>
  </si>
  <si>
    <r>
      <rPr>
        <b/>
        <sz val="16"/>
        <color indexed="8"/>
        <rFont val="Calibri"/>
        <family val="2"/>
      </rPr>
      <t xml:space="preserve">10. </t>
    </r>
    <r>
      <rPr>
        <b/>
        <sz val="16"/>
        <color indexed="8"/>
        <rFont val="Calibri"/>
        <family val="2"/>
      </rPr>
      <t>TANKS, VOIDS AND STORE SPACES / ТАНКИ, ПУСТЫЕ ОТСЕКИ И ХРАНИЛИЩА</t>
    </r>
  </si>
  <si>
    <r>
      <rPr>
        <sz val="10"/>
        <color indexed="8"/>
        <rFont val="Calibri"/>
        <family val="2"/>
      </rPr>
      <t xml:space="preserve">Chain lockers – open and inspect when possible / Канатные ящики – открыть и осмотреть по возможности </t>
    </r>
  </si>
  <si>
    <r>
      <rPr>
        <sz val="10"/>
        <color indexed="8"/>
        <rFont val="Calibri"/>
        <family val="2"/>
      </rPr>
      <t xml:space="preserve">Ballast tanks – open and inspect when possible / Балластные танки – открыть и осмотреть по возможности </t>
    </r>
  </si>
  <si>
    <r>
      <rPr>
        <sz val="10"/>
        <color indexed="8"/>
        <rFont val="Calibri"/>
        <family val="2"/>
      </rPr>
      <t xml:space="preserve">Fresh Water tanks – open and inspect when possible / Танки пресной воды – открыть и осмотреть по возможности  </t>
    </r>
  </si>
  <si>
    <r>
      <rPr>
        <sz val="10"/>
        <color indexed="8"/>
        <rFont val="Calibri"/>
        <family val="2"/>
      </rPr>
      <t xml:space="preserve">Fuel tanks – open and inspect when possible / Топливные танки – открыть и осмотреть по возможности   </t>
    </r>
  </si>
  <si>
    <r>
      <rPr>
        <sz val="10"/>
        <color indexed="8"/>
        <rFont val="Calibri"/>
        <family val="2"/>
      </rPr>
      <t xml:space="preserve">Lub. oil tanks – open and inspect when possible / Танки смазочного масла – открыть и осмотреть по возможности  </t>
    </r>
  </si>
  <si>
    <r>
      <rPr>
        <sz val="10"/>
        <color indexed="8"/>
        <rFont val="Calibri"/>
        <family val="2"/>
      </rPr>
      <t xml:space="preserve">Voids/Cofferdams – open and inspect when possible / Пустые отсеки/коффердамы – открыть и осмотреть по возможности </t>
    </r>
  </si>
  <si>
    <r>
      <rPr>
        <sz val="10"/>
        <color indexed="8"/>
        <rFont val="Calibri"/>
        <family val="2"/>
      </rPr>
      <t>Store rooms – inspect / Кладовые помещения - осмотреть</t>
    </r>
  </si>
  <si>
    <r>
      <rPr>
        <b/>
        <sz val="16"/>
        <color indexed="8"/>
        <rFont val="Calibri"/>
        <family val="2"/>
      </rPr>
      <t xml:space="preserve">11. </t>
    </r>
    <r>
      <rPr>
        <b/>
        <sz val="16"/>
        <color indexed="8"/>
        <rFont val="Calibri"/>
        <family val="2"/>
      </rPr>
      <t>SAFETY / БЕЗОПАСНОСТЬ</t>
    </r>
  </si>
  <si>
    <r>
      <rPr>
        <sz val="10"/>
        <color indexed="8"/>
        <rFont val="Calibri"/>
        <family val="2"/>
      </rPr>
      <t>Emergency / Contingency plans – check, must be up to date / Планы аварийного реагирования – проверить, актуальное состояние</t>
    </r>
  </si>
  <si>
    <r>
      <rPr>
        <sz val="10"/>
        <color indexed="8"/>
        <rFont val="Calibri"/>
        <family val="2"/>
      </rPr>
      <t>Muster Lists check, must be up to date / Проверка расписания по постам, актуальное состояние</t>
    </r>
  </si>
  <si>
    <r>
      <rPr>
        <sz val="10"/>
        <color indexed="8"/>
        <rFont val="Calibri"/>
        <family val="2"/>
      </rPr>
      <t>Operation and Warning signs in place – check, must be up to date / Установка операционных и предупредительных знаков – проверить, актуальное состояние</t>
    </r>
  </si>
  <si>
    <r>
      <rPr>
        <sz val="10"/>
        <color indexed="8"/>
        <rFont val="Calibri"/>
        <family val="2"/>
      </rPr>
      <t>H2S Alarm – operational test / Сигнализация H2S – рабочее испытание</t>
    </r>
  </si>
  <si>
    <r>
      <rPr>
        <sz val="10"/>
        <color indexed="8"/>
        <rFont val="Calibri"/>
        <family val="2"/>
      </rPr>
      <t>FIFI monitors – operational test / Лафетные стволы – рабочее испытание</t>
    </r>
  </si>
  <si>
    <r>
      <rPr>
        <b/>
        <sz val="10"/>
        <color indexed="8"/>
        <rFont val="Calibri"/>
        <family val="2"/>
      </rPr>
      <t>Fireman’s Outfits including / Пожарные костюмы, включая:</t>
    </r>
  </si>
  <si>
    <r>
      <rPr>
        <sz val="10"/>
        <color indexed="8"/>
        <rFont val="Calibri"/>
        <family val="2"/>
      </rPr>
      <t>Spare Cylinder for above (30 min) – check / Запасной цилиндр для в.у.(30 мин) – проверить</t>
    </r>
  </si>
  <si>
    <r>
      <rPr>
        <sz val="10"/>
        <color indexed="8"/>
        <rFont val="Calibri"/>
        <family val="2"/>
      </rPr>
      <t>Fireproof 50 feet lifeline (att. To B.A.) – check / Пожаростойкий 50-фут.сигнальный конец (креп.к дых.апп.) – проверить</t>
    </r>
  </si>
  <si>
    <r>
      <rPr>
        <sz val="10"/>
        <color indexed="8"/>
        <rFont val="Calibri"/>
        <family val="2"/>
      </rPr>
      <t>Fireman’s Suit – check / Пожарный костюм – проверить</t>
    </r>
  </si>
  <si>
    <r>
      <rPr>
        <sz val="10"/>
        <color indexed="8"/>
        <rFont val="Calibri"/>
        <family val="2"/>
      </rPr>
      <t>Rigid Helmet with Visor – check / Каска с козырьком – проверить</t>
    </r>
  </si>
  <si>
    <r>
      <rPr>
        <sz val="10"/>
        <color indexed="8"/>
        <rFont val="Calibri"/>
        <family val="2"/>
      </rPr>
      <t>Non Conducting Rubber Gloves – check / Непроводящие резиновые перчатки – проверить</t>
    </r>
  </si>
  <si>
    <r>
      <rPr>
        <sz val="10"/>
        <color indexed="8"/>
        <rFont val="Calibri"/>
        <family val="2"/>
      </rPr>
      <t>Boots – check / Обувь – проверить</t>
    </r>
  </si>
  <si>
    <r>
      <rPr>
        <sz val="10"/>
        <color indexed="8"/>
        <rFont val="Calibri"/>
        <family val="2"/>
      </rPr>
      <t>Fire Axe – check / Пожарный топор – проверить</t>
    </r>
  </si>
  <si>
    <r>
      <rPr>
        <sz val="10"/>
        <color indexed="8"/>
        <rFont val="Calibri"/>
        <family val="2"/>
      </rPr>
      <t>Cylinders Hydro test date – check / Срок гидроиспытаний цилиндров – проверить</t>
    </r>
  </si>
  <si>
    <r>
      <rPr>
        <sz val="10"/>
        <color indexed="8"/>
        <rFont val="Calibri"/>
        <family val="2"/>
      </rPr>
      <t>Posted Operating Instructions – check / Вывешенные инструкции по эксплуатации -  проверить</t>
    </r>
  </si>
  <si>
    <r>
      <rPr>
        <sz val="10"/>
        <color indexed="8"/>
        <rFont val="Calibri"/>
        <family val="2"/>
      </rPr>
      <t>Release Mechanism labeled correctly – check / Спусковые механизмы помечены правильно – проверить</t>
    </r>
  </si>
  <si>
    <r>
      <rPr>
        <sz val="10"/>
        <color indexed="8"/>
        <rFont val="Calibri"/>
        <family val="2"/>
      </rPr>
      <t>Alarm operates prior to release – check / Срабатывание сигнализации до спускового мех-ма – проверить</t>
    </r>
  </si>
  <si>
    <r>
      <rPr>
        <sz val="10"/>
        <color indexed="8"/>
        <rFont val="Calibri"/>
        <family val="2"/>
      </rPr>
      <t>SOPEP equipment – check / Оборудование SOPEP – проверить</t>
    </r>
  </si>
  <si>
    <t>1.</t>
  </si>
  <si>
    <t>2.</t>
  </si>
  <si>
    <t>HULL / КОРПУС</t>
  </si>
  <si>
    <t>GENERAL VESSEL MANAGEMENT / ОБЩЕЕ УПРАВЛЕНИЕ СУДНОМ</t>
  </si>
  <si>
    <t>3.</t>
  </si>
  <si>
    <t>4.</t>
  </si>
  <si>
    <t>DECKS / ПАЛУБЫ</t>
  </si>
  <si>
    <t>SUPERSTRUCTURE - EXTERNAL / НАДСТРОЙКА - НАРУЖНАЯ ЧАСТЬ</t>
  </si>
  <si>
    <t>5.</t>
  </si>
  <si>
    <t>DECK MACHINERY / ПАЛУБНЫЕ МЕХАНИЗМЫ</t>
  </si>
  <si>
    <t>WHEELHOUSE / РУЛЕВАЯ РУБКА</t>
  </si>
  <si>
    <t>6.</t>
  </si>
  <si>
    <r>
      <rPr>
        <b/>
        <sz val="11"/>
        <color indexed="8"/>
        <rFont val="Calibri"/>
        <family val="2"/>
      </rPr>
      <t>% Compliance / % соответствия</t>
    </r>
  </si>
  <si>
    <t>7.</t>
  </si>
  <si>
    <t>8.</t>
  </si>
  <si>
    <t>9.</t>
  </si>
  <si>
    <t>10.</t>
  </si>
  <si>
    <t>11.</t>
  </si>
  <si>
    <t>ACCOMODATION / ЖИЛЫЕ ПОМЕЩЕНИЯ</t>
  </si>
  <si>
    <t>GALLEY, LAUNDRY &amp; STORES / КАМБУЗ, ПРАЧЕЧНАЯ И КЛАДОВЫЕ</t>
  </si>
  <si>
    <t>TECHNICAL SPACES / ТЕХНИЧЕСКИЕ ПОМЕЩЕНИЯ</t>
  </si>
  <si>
    <t>TANKS, VOIDS &amp; STORE SPACES / ТАНКИ, ПУСТЫЕ ОТСЕКИ И ХРАНИЛИЩА</t>
  </si>
  <si>
    <t>SAFETY / БЕЗОПАСНОСТЬ</t>
  </si>
  <si>
    <r>
      <rPr>
        <b/>
        <sz val="11"/>
        <color indexed="8"/>
        <rFont val="Calibri"/>
        <family val="2"/>
      </rPr>
      <t xml:space="preserve">General conclusion / Общее заключение: </t>
    </r>
  </si>
  <si>
    <r>
      <rPr>
        <b/>
        <sz val="11"/>
        <color indexed="8"/>
        <rFont val="Calibri"/>
        <family val="2"/>
      </rPr>
      <t>No. Checks / К-во проверок</t>
    </r>
  </si>
  <si>
    <r>
      <rPr>
        <b/>
        <sz val="11"/>
        <color indexed="8"/>
        <rFont val="Calibri"/>
        <family val="2"/>
      </rPr>
      <t xml:space="preserve">Total / Итого: </t>
    </r>
  </si>
  <si>
    <r>
      <rPr>
        <b/>
        <sz val="11"/>
        <color indexed="8"/>
        <rFont val="Calibri"/>
        <family val="2"/>
      </rPr>
      <t>Eq. Code / Код оборуд.</t>
    </r>
  </si>
  <si>
    <r>
      <rPr>
        <sz val="10"/>
        <color indexed="8"/>
        <rFont val="Calibri"/>
        <family val="2"/>
      </rPr>
      <t>102.030</t>
    </r>
  </si>
  <si>
    <r>
      <rPr>
        <sz val="10"/>
        <color indexed="8"/>
        <rFont val="Calibri"/>
        <family val="2"/>
      </rPr>
      <t>102.035</t>
    </r>
  </si>
  <si>
    <r>
      <rPr>
        <sz val="10"/>
        <color indexed="8"/>
        <rFont val="Calibri"/>
        <family val="2"/>
      </rPr>
      <t>102.040</t>
    </r>
  </si>
  <si>
    <r>
      <rPr>
        <sz val="10"/>
        <color indexed="8"/>
        <rFont val="Calibri"/>
        <family val="2"/>
      </rPr>
      <t>164</t>
    </r>
  </si>
  <si>
    <r>
      <rPr>
        <sz val="10"/>
        <color indexed="8"/>
        <rFont val="Calibri"/>
        <family val="2"/>
      </rPr>
      <t>Are the external doors and windows in good condition? / Внешние двери и окна в исправном состоянии?</t>
    </r>
  </si>
  <si>
    <r>
      <rPr>
        <sz val="10"/>
        <color indexed="8"/>
        <rFont val="Calibri"/>
        <family val="2"/>
      </rPr>
      <t>Save – alls (leak trace) / Ловушки (обнаружение утечки)</t>
    </r>
  </si>
  <si>
    <r>
      <rPr>
        <sz val="10"/>
        <color indexed="8"/>
        <rFont val="Calibri"/>
        <family val="2"/>
      </rPr>
      <t>Mooring Ropes – visual check / Швартовы – визуальный осмотр</t>
    </r>
  </si>
  <si>
    <r>
      <rPr>
        <sz val="10"/>
        <color indexed="8"/>
        <rFont val="Calibri"/>
        <family val="2"/>
      </rPr>
      <t>Fire hydrants – operational test / Пожарные гидранты – функциональное испытание</t>
    </r>
  </si>
  <si>
    <r>
      <rPr>
        <sz val="10"/>
        <color indexed="8"/>
        <rFont val="Calibri"/>
        <family val="2"/>
      </rPr>
      <t>Is the workshop equipment in good condition? - operational test / Оборудование мастерской в исправном состоянии? -  рабочее испытание</t>
    </r>
  </si>
  <si>
    <r>
      <rPr>
        <sz val="10"/>
        <color indexed="8"/>
        <rFont val="Calibri"/>
        <family val="2"/>
      </rPr>
      <t>Is the Bow thruster in good working condition? – operational test / Носовое подруливающее устройство в исправном рабочем состоянии? - рабочее испытание</t>
    </r>
  </si>
  <si>
    <r>
      <rPr>
        <sz val="10"/>
        <color indexed="8"/>
        <rFont val="Calibri"/>
        <family val="2"/>
      </rPr>
      <t>Is the Bow thruster Engine in good working condition? – operational test / Двигатель носового подруливающего устройства в исправном рабочем состоянии? – рабочее испытание</t>
    </r>
  </si>
  <si>
    <r>
      <rPr>
        <sz val="10"/>
        <color indexed="8"/>
        <rFont val="Calibri"/>
        <family val="2"/>
      </rPr>
      <t>Is the Emergency lighting in good condition? - operational test / Аварийное освещение в исправном состоянии? -  рабочее испытание</t>
    </r>
  </si>
  <si>
    <r>
      <rPr>
        <sz val="10"/>
        <color indexed="8"/>
        <rFont val="Calibri"/>
        <family val="2"/>
      </rPr>
      <t xml:space="preserve">Are the fuel pumps and lines in good working condition? – operational test / Топливные насосы и топливопроводы в исправном рабочем состоянии? – рабочее испытание </t>
    </r>
  </si>
  <si>
    <r>
      <rPr>
        <sz val="10"/>
        <color indexed="8"/>
        <rFont val="Calibri"/>
        <family val="2"/>
      </rPr>
      <t xml:space="preserve">Are the fuel pumps and lines in good working condition ?– operational test / Топливные насосы и топливопроводы в исправном рабочем состоянии? – рабочее испытание </t>
    </r>
  </si>
  <si>
    <r>
      <rPr>
        <sz val="10"/>
        <color indexed="8"/>
        <rFont val="Calibri"/>
        <family val="2"/>
      </rPr>
      <t>Are the Shaft Generators in good working condition?– operational test / Валогенераторы в исправном рабочем состоянии? - рабочее испытание</t>
    </r>
  </si>
  <si>
    <r>
      <rPr>
        <sz val="10"/>
        <color indexed="8"/>
        <rFont val="Calibri"/>
        <family val="2"/>
      </rPr>
      <t>Are the AC Compressors in good working condition? – operational test / Компрессоры кондиционирования воздуха в исправном рабочем состоянии? – рабочее испытание</t>
    </r>
  </si>
  <si>
    <r>
      <rPr>
        <sz val="10"/>
        <color indexed="8"/>
        <rFont val="Calibri"/>
        <family val="2"/>
      </rPr>
      <t>Are the Automation systems in good working condition? – operational test / Системы автоматики в исправном рабочем состоянии? – рабочие испытания</t>
    </r>
  </si>
  <si>
    <r>
      <rPr>
        <sz val="10"/>
        <color indexed="8"/>
        <rFont val="Calibri"/>
        <family val="2"/>
      </rPr>
      <t xml:space="preserve">Is the Bilge Pump(s) in good working condition? – operational test / Насосы откачки трюмных вод в исправном рабочем состоянии? – рабочее испытание                             </t>
    </r>
  </si>
  <si>
    <r>
      <rPr>
        <sz val="10"/>
        <color indexed="8"/>
        <rFont val="Calibri"/>
        <family val="2"/>
      </rPr>
      <t>Is the Ballast Pump(s) in good working condition? – operational test / Балластные насосы в исправном рабочем состоянии? – рабочее испытание</t>
    </r>
  </si>
  <si>
    <r>
      <rPr>
        <sz val="10"/>
        <color indexed="8"/>
        <rFont val="Calibri"/>
        <family val="2"/>
      </rPr>
      <t xml:space="preserve">Is the G/Service pump   in good working condition? – operational test / Насос общего назначения в исправном рабочем состоянии? – рабочее испытание                   </t>
    </r>
  </si>
  <si>
    <r>
      <rPr>
        <sz val="10"/>
        <color indexed="8"/>
        <rFont val="Calibri"/>
        <family val="2"/>
      </rPr>
      <t>Is the Fire Pump in good working condition? – operational test / Пожарный насос в исправном рабочем состоянии? – рабочее испытание</t>
    </r>
  </si>
  <si>
    <r>
      <rPr>
        <sz val="10"/>
        <color indexed="8"/>
        <rFont val="Calibri"/>
        <family val="2"/>
      </rPr>
      <t>Are the Mud-pumps in good working condition? – operational test / Шлам-насосы в исправном рабочем состоянии? – рабочие испытания</t>
    </r>
  </si>
  <si>
    <r>
      <rPr>
        <sz val="10"/>
        <color indexed="8"/>
        <rFont val="Calibri"/>
        <family val="2"/>
      </rPr>
      <t>Is the Mud mixing system in good working condition? – operational test / Система перемешивания шлама в исправном рабочем состоянии? – рабочее испытание</t>
    </r>
  </si>
  <si>
    <r>
      <rPr>
        <sz val="10"/>
        <color indexed="8"/>
        <rFont val="Calibri"/>
        <family val="2"/>
      </rPr>
      <t xml:space="preserve">Is the F.W. Transfer Pump in good working condition? – operational test / Насос перекачки пожарной воды в исправном рабочем состоянии? – рабочее испытание </t>
    </r>
  </si>
  <si>
    <r>
      <rPr>
        <sz val="10"/>
        <color indexed="8"/>
        <rFont val="Calibri"/>
        <family val="2"/>
      </rPr>
      <t>Is the F.W. Hydrophore System in good working condition? – operational test / Гидрофорная система в исправном рабочем состоянии? – рабочее испытание</t>
    </r>
  </si>
  <si>
    <r>
      <rPr>
        <sz val="10"/>
        <color indexed="8"/>
        <rFont val="Calibri"/>
        <family val="2"/>
      </rPr>
      <t xml:space="preserve">Is the lubrication system in good working condition? / Система смазки в исправном рабочем состоянии?  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</si>
  <si>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</si>
  <si>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</si>
  <si>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821/822</t>
    </r>
  </si>
  <si>
    <r>
      <rPr>
        <sz val="10"/>
        <color indexed="8"/>
        <rFont val="Calibri"/>
        <family val="2"/>
      </rPr>
      <t xml:space="preserve">Is the HT cooling system in good working condition? / Высокотемпературная система охлаждения в исправном рабочем состоянии?  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</si>
  <si>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</si>
  <si>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</si>
  <si>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821/822</t>
    </r>
  </si>
  <si>
    <r>
      <rPr>
        <sz val="10"/>
        <color indexed="8"/>
        <rFont val="Calibri"/>
        <family val="2"/>
      </rPr>
      <t xml:space="preserve">Is the LT cooling system in good working condition? / Низкотемпературная система охлаждения в исправном рабочем состоянии?  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</si>
  <si>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</si>
  <si>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</si>
  <si>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Are the local panel gauges and instrumentation in good working condition? / Манометры и приборы локальных пультов в исправном рабочем состоянии?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</si>
  <si>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</si>
  <si>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</si>
  <si>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Are the flexible couplings in good condition? / Упругие муфты в исправном состоянии?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</si>
  <si>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</si>
  <si>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</si>
  <si>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Is the general condition of the engine good – no leaks? / Общее состояние двигателя хорошее – протечек нет?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</si>
  <si>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</si>
  <si>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</si>
  <si>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801/803</t>
    </r>
  </si>
  <si>
    <r>
      <rPr>
        <sz val="10"/>
        <color indexed="8"/>
        <rFont val="Calibri"/>
        <family val="2"/>
      </rPr>
      <t xml:space="preserve">Are the fuel pumps and lines in good working condition? – operational test / Топливные насосы и топливопроводы в исправном рабочем состоянии? – рабочее испытание 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</si>
  <si>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</si>
  <si>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</si>
  <si>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 xml:space="preserve">Is the lubrication system in good working condition? / Система смазки в исправном рабочем состоянии?  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</si>
  <si>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</si>
  <si>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</si>
  <si>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821/822</t>
    </r>
  </si>
  <si>
    <r>
      <rPr>
        <sz val="10"/>
        <color indexed="8"/>
        <rFont val="Calibri"/>
        <family val="2"/>
      </rPr>
      <t xml:space="preserve">Is the HT cooling system in good working condition? / Высокотемпературная система охлаждения в исправном рабочем состоянии?  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</si>
  <si>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</si>
  <si>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</si>
  <si>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821/822</t>
    </r>
  </si>
  <si>
    <r>
      <rPr>
        <sz val="10"/>
        <color indexed="8"/>
        <rFont val="Calibri"/>
        <family val="2"/>
      </rPr>
      <t xml:space="preserve">Is the LT cooling system in good working condition? / Низкотемпературная система охлаждения в исправном рабочем состоянии?  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</si>
  <si>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</si>
  <si>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</si>
  <si>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Are the local panel gauges and instrumentation in good working condition? / Манометры и приборы локальных пультов в исправном рабочем состоянии?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</si>
  <si>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</si>
  <si>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</si>
  <si>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Are the flexible couplings in good condition? / Упругие муфты в исправном состоянии?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</si>
  <si>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</si>
  <si>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</si>
  <si>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Is the general condition of the engine good – no leaks? / Общее состояние двигателя хорошее – протечек нет?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</si>
  <si>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</si>
  <si>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</si>
  <si>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801/803</t>
    </r>
  </si>
  <si>
    <r>
      <rPr>
        <sz val="10"/>
        <color indexed="8"/>
        <rFont val="Calibri"/>
        <family val="2"/>
      </rPr>
      <t xml:space="preserve">Are the fuel pumps and lines in good working condition? – operational test / Топливные насосы и топливопроводы в исправном рабочем состоянии? – рабочее испытание 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</si>
  <si>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</si>
  <si>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</si>
  <si>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 xml:space="preserve">Is the lubrication system in good working condition? / Система смазки в исправном рабочем состоянии?  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</si>
  <si>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</si>
  <si>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</si>
  <si>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821/822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</si>
  <si>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</si>
  <si>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</si>
  <si>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Are the local panel gauges and instrumentation in good working condition? / Манометры и приборы локальных пультов в исправном рабочем состоянии?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</si>
  <si>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</si>
  <si>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</si>
  <si>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Are the flexible couplings in good condition? / Упругие муфты в исправном состоянии?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</si>
  <si>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</si>
  <si>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</si>
  <si>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</si>
  <si>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</si>
  <si>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</si>
  <si>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</si>
  <si>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</si>
  <si>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</si>
  <si>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</si>
  <si>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</si>
  <si>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831.010/ 832.010/ 833.008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</si>
  <si>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</si>
  <si>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</si>
  <si>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</si>
  <si>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</si>
  <si>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</si>
  <si>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</si>
  <si>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</si>
  <si>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</si>
  <si>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</si>
  <si>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</si>
  <si>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</si>
  <si>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</si>
  <si>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</si>
  <si>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</si>
  <si>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</si>
  <si>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</si>
  <si>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</si>
  <si>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</si>
  <si>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</si>
  <si>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</si>
  <si>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</si>
  <si>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</si>
  <si>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</si>
  <si>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</si>
  <si>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</si>
  <si>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</si>
  <si>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</si>
  <si>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</si>
  <si>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</si>
  <si>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</si>
  <si>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</si>
  <si>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</si>
  <si>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</si>
  <si>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</si>
  <si>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</si>
  <si>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</si>
  <si>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</si>
  <si>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</si>
  <si>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</si>
  <si>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</si>
  <si>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</si>
  <si>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</si>
  <si>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</si>
  <si>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</si>
  <si>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</si>
  <si>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</si>
  <si>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</si>
  <si>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</si>
  <si>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</si>
  <si>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</si>
  <si>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</si>
  <si>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</si>
  <si>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</si>
  <si>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</si>
  <si>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</si>
  <si>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</si>
  <si>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</si>
  <si>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</si>
  <si>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</si>
  <si>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</si>
  <si>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</si>
  <si>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</si>
  <si>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</si>
  <si>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</si>
  <si>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</si>
  <si>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</si>
  <si>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</si>
  <si>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</si>
  <si>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</si>
  <si>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</si>
  <si>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</si>
  <si>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</si>
  <si>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</si>
  <si>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</si>
  <si>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</si>
  <si>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</si>
  <si>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</si>
  <si>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</si>
  <si>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</si>
  <si>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</si>
  <si>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</si>
  <si>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</si>
  <si>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</si>
  <si>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</si>
  <si>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</si>
  <si>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</si>
  <si>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</si>
  <si>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</si>
  <si>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</si>
  <si>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</si>
  <si>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</si>
  <si>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</si>
  <si>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</si>
  <si>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</si>
  <si>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</si>
  <si>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</si>
  <si>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</si>
  <si>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</si>
  <si>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Hoses (condition, boxes and fittings) / Шланги (состояние, ящики и арматура)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</si>
  <si>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</si>
  <si>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</si>
  <si>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</si>
  <si>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</si>
  <si>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</si>
  <si>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</si>
  <si>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</si>
  <si>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</si>
  <si>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Are the flexible couplings in good condition? / Упругие муфты в исправном состоянии?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</si>
  <si>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</si>
  <si>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</si>
  <si>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</si>
  <si>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</si>
  <si>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</si>
  <si>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</si>
  <si>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</si>
  <si>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</si>
  <si>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</si>
  <si>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</si>
  <si>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</si>
  <si>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</si>
  <si>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</si>
  <si>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</si>
  <si>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</si>
  <si>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</si>
  <si>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864.002/ 864.003/ 864.005/ 865.001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</si>
  <si>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</si>
  <si>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</si>
  <si>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864.002/ 864.003/ 864.005/ 865.001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</si>
  <si>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</si>
  <si>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</si>
  <si>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864.002/ 864.003/ 864.005/ 865.001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</si>
  <si>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</si>
  <si>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</si>
  <si>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</si>
  <si>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</si>
  <si>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</si>
  <si>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</si>
  <si>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</si>
  <si>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</si>
  <si>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</si>
  <si>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</si>
  <si>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</si>
  <si>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</si>
  <si>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</si>
  <si>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</si>
  <si>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</si>
  <si>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</si>
  <si>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</si>
  <si>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</si>
  <si>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</si>
  <si>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</si>
  <si>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</si>
  <si>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</si>
  <si>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</si>
  <si>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</si>
  <si>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</si>
  <si>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</si>
  <si>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</si>
  <si>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</si>
  <si>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</si>
  <si>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</si>
  <si>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t xml:space="preserve">No of entries / Кол-во записей: </t>
  </si>
  <si>
    <t xml:space="preserve">No./Нет Yes/Да: </t>
  </si>
  <si>
    <t xml:space="preserve">No./Нет No/Нет: </t>
  </si>
  <si>
    <t>No./Нет N.A./НД:</t>
  </si>
  <si>
    <r>
      <rPr>
        <b/>
        <sz val="11"/>
        <color indexed="8"/>
        <rFont val="Calibri"/>
        <family val="2"/>
      </rPr>
      <t>Eq. Code / Код оборуд.</t>
    </r>
  </si>
  <si>
    <r>
      <rPr>
        <b/>
        <sz val="11"/>
        <color indexed="8"/>
        <rFont val="Calibri"/>
        <family val="2"/>
      </rPr>
      <t>Y/Да</t>
    </r>
  </si>
  <si>
    <r>
      <rPr>
        <b/>
        <sz val="11"/>
        <color indexed="8"/>
        <rFont val="Calibri"/>
        <family val="2"/>
      </rPr>
      <t>N/Нет</t>
    </r>
  </si>
  <si>
    <r>
      <rPr>
        <b/>
        <sz val="11"/>
        <color indexed="8"/>
        <rFont val="Calibri"/>
        <family val="2"/>
      </rPr>
      <t>N.A./НД</t>
    </r>
  </si>
  <si>
    <r>
      <rPr>
        <b/>
        <sz val="11"/>
        <color indexed="8"/>
        <rFont val="Calibri"/>
        <family val="2"/>
      </rPr>
      <t>Weight / Вес</t>
    </r>
  </si>
  <si>
    <r>
      <rPr>
        <b/>
        <sz val="11"/>
        <color indexed="8"/>
        <rFont val="Calibri"/>
        <family val="2"/>
      </rPr>
      <t xml:space="preserve">N.A./НД </t>
    </r>
    <r>
      <rPr>
        <b/>
        <sz val="11"/>
        <color indexed="8"/>
        <rFont val="Calibri"/>
        <family val="2"/>
      </rPr>
      <t>Count / Подсчет</t>
    </r>
  </si>
  <si>
    <r>
      <rPr>
        <b/>
        <sz val="11"/>
        <color indexed="8"/>
        <rFont val="Calibri"/>
        <family val="2"/>
      </rPr>
      <t>Score / Баллы</t>
    </r>
  </si>
  <si>
    <r>
      <rPr>
        <b/>
        <sz val="11"/>
        <rFont val="Calibri"/>
        <family val="2"/>
      </rPr>
      <t>Job added in MARAD / Задание внесено в MARAD?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</si>
  <si>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</si>
  <si>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</si>
  <si>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</si>
  <si>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</si>
  <si>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</si>
  <si>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</si>
  <si>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</si>
  <si>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</si>
  <si>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</si>
  <si>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</si>
  <si>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</si>
  <si>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</si>
  <si>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</si>
  <si>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</si>
  <si>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</si>
  <si>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</si>
  <si>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</si>
  <si>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</si>
  <si>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</si>
  <si>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</si>
  <si>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</si>
  <si>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</si>
  <si>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</si>
  <si>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</si>
  <si>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</si>
  <si>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</si>
  <si>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</si>
  <si>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</si>
  <si>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</si>
  <si>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</si>
  <si>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</si>
  <si>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</si>
  <si>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t xml:space="preserve">No of entries / Кол-во записей: </t>
  </si>
  <si>
    <t xml:space="preserve">No./Нет Yes/Да: </t>
  </si>
  <si>
    <t xml:space="preserve">No./Нет No/Нет: </t>
  </si>
  <si>
    <t>No./Нет N.A./НД:</t>
  </si>
  <si>
    <r>
      <rPr>
        <b/>
        <sz val="11"/>
        <color indexed="8"/>
        <rFont val="Calibri"/>
        <family val="2"/>
      </rPr>
      <t>Eq. Code / Код оборуд.</t>
    </r>
  </si>
  <si>
    <r>
      <rPr>
        <b/>
        <sz val="11"/>
        <color indexed="8"/>
        <rFont val="Calibri"/>
        <family val="2"/>
      </rPr>
      <t>Y/Да</t>
    </r>
  </si>
  <si>
    <r>
      <rPr>
        <b/>
        <sz val="11"/>
        <color indexed="8"/>
        <rFont val="Calibri"/>
        <family val="2"/>
      </rPr>
      <t>N/Нет</t>
    </r>
  </si>
  <si>
    <r>
      <rPr>
        <b/>
        <sz val="11"/>
        <color indexed="8"/>
        <rFont val="Calibri"/>
        <family val="2"/>
      </rPr>
      <t>N.A./НД</t>
    </r>
  </si>
  <si>
    <r>
      <rPr>
        <b/>
        <sz val="11"/>
        <color indexed="8"/>
        <rFont val="Calibri"/>
        <family val="2"/>
      </rPr>
      <t>Weight / Вес</t>
    </r>
  </si>
  <si>
    <r>
      <rPr>
        <b/>
        <sz val="11"/>
        <color indexed="8"/>
        <rFont val="Calibri"/>
        <family val="2"/>
      </rPr>
      <t xml:space="preserve">N.A./НД </t>
    </r>
    <r>
      <rPr>
        <b/>
        <sz val="11"/>
        <color indexed="8"/>
        <rFont val="Calibri"/>
        <family val="2"/>
      </rPr>
      <t>Count / Подсчет</t>
    </r>
  </si>
  <si>
    <r>
      <rPr>
        <b/>
        <sz val="11"/>
        <color indexed="8"/>
        <rFont val="Calibri"/>
        <family val="2"/>
      </rPr>
      <t>Score / Баллы</t>
    </r>
  </si>
  <si>
    <r>
      <rPr>
        <b/>
        <sz val="11"/>
        <color indexed="8"/>
        <rFont val="Calibri"/>
        <family val="2"/>
      </rPr>
      <t>Comments / Замечания</t>
    </r>
  </si>
  <si>
    <r>
      <rPr>
        <b/>
        <sz val="11"/>
        <rFont val="Calibri"/>
        <family val="2"/>
      </rPr>
      <t>Job added in MARAD / Задание внесено в MARAD?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</si>
  <si>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</si>
  <si>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</si>
  <si>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</si>
  <si>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</si>
  <si>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</si>
  <si>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</si>
  <si>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</si>
  <si>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</si>
  <si>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</si>
  <si>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</si>
  <si>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</si>
  <si>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</si>
  <si>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</si>
  <si>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</si>
  <si>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</si>
  <si>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</si>
  <si>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</si>
  <si>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</si>
  <si>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</si>
  <si>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</si>
  <si>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</si>
  <si>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</si>
  <si>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</si>
  <si>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</si>
  <si>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</si>
  <si>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</si>
  <si>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</si>
  <si>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</si>
  <si>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</si>
  <si>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</si>
  <si>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</si>
  <si>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</si>
  <si>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</si>
  <si>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</si>
  <si>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</si>
  <si>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</si>
  <si>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</si>
  <si>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</si>
  <si>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</si>
  <si>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</si>
  <si>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</si>
  <si>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</si>
  <si>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</si>
  <si>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</si>
  <si>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</si>
  <si>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</si>
  <si>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</si>
  <si>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</si>
  <si>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</si>
  <si>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</si>
  <si>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</si>
  <si>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</si>
  <si>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</si>
  <si>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</si>
  <si>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</si>
  <si>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</si>
  <si>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</si>
  <si>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</si>
  <si>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</si>
  <si>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</si>
  <si>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</si>
  <si>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</si>
  <si>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</si>
  <si>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</si>
  <si>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</si>
  <si>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</si>
  <si>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</si>
  <si>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</si>
  <si>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</si>
  <si>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</si>
  <si>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</si>
  <si>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</si>
  <si>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</si>
  <si>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</si>
  <si>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</si>
  <si>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</si>
  <si>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</si>
  <si>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</si>
  <si>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</si>
  <si>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</si>
  <si>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Is the PPE clothing/equipment being used properly by people on board? / Снаряжение/оборудование СИЗ используется персоналом на борту должным образом?</t>
    </r>
  </si>
  <si>
    <r>
      <rPr>
        <sz val="10"/>
        <color indexed="8"/>
        <rFont val="Calibri"/>
        <family val="2"/>
      </rPr>
      <t xml:space="preserve">External FIFI pump – operational test incl. valves, check for leakages and condition / Внешний насос пожаротушения – рабочее испытание, включая клапаны, проверить на протечки и состояние </t>
    </r>
  </si>
  <si>
    <r>
      <rPr>
        <sz val="10"/>
        <color indexed="8"/>
        <rFont val="Calibri"/>
        <family val="2"/>
      </rPr>
      <t>Is the Black-out procedure available – operational test, check if posted near Main Switch Board / Имеется процедура отключения электроэнергии – рабочее испытание, проверить наличие плаката у главного распред.устройства</t>
    </r>
  </si>
  <si>
    <r>
      <rPr>
        <sz val="10"/>
        <color indexed="8"/>
        <rFont val="Calibri"/>
        <family val="2"/>
      </rPr>
      <t>Explosion proof flashlight – check / test / Взрывозащищенный электрофонарь – проверить/протестировать</t>
    </r>
  </si>
  <si>
    <r>
      <rPr>
        <sz val="10"/>
        <color indexed="8"/>
        <rFont val="Calibri"/>
        <family val="2"/>
      </rPr>
      <t>Breathing Apparatus – operational test / Дыхательный аппарат – рабочее испытание</t>
    </r>
  </si>
  <si>
    <r>
      <rPr>
        <sz val="10"/>
        <color indexed="8"/>
        <rFont val="Calibri"/>
        <family val="2"/>
      </rPr>
      <t>Serviced and Inspected annually – check system / Обслуживание и технический осмотр ежегодно – проверить систему</t>
    </r>
  </si>
  <si>
    <r>
      <rPr>
        <sz val="10"/>
        <color indexed="8"/>
        <rFont val="Calibri"/>
        <family val="2"/>
      </rPr>
      <t>Activation alarm panel – check and test / Панель активации сигнализации – проверить и протестировать</t>
    </r>
  </si>
  <si>
    <r>
      <rPr>
        <sz val="10"/>
        <color indexed="8"/>
        <rFont val="Calibri"/>
        <family val="2"/>
      </rPr>
      <t xml:space="preserve">Emergency fire pump – operational test, check condition / Аварийный пожарный насос – рабочее испытание, проверить состояние </t>
    </r>
  </si>
  <si>
    <r>
      <rPr>
        <sz val="10"/>
        <color indexed="8"/>
        <rFont val="Calibri"/>
        <family val="2"/>
      </rPr>
      <t>746.010</t>
    </r>
  </si>
  <si>
    <r>
      <rPr>
        <sz val="10"/>
        <color indexed="8"/>
        <rFont val="Calibri"/>
        <family val="2"/>
      </rPr>
      <t>746.011</t>
    </r>
  </si>
  <si>
    <r>
      <rPr>
        <sz val="10"/>
        <color indexed="8"/>
        <rFont val="Calibri"/>
        <family val="2"/>
      </rPr>
      <t>226.001</t>
    </r>
  </si>
  <si>
    <r>
      <rPr>
        <sz val="10"/>
        <color indexed="8"/>
        <rFont val="Calibri"/>
        <family val="2"/>
      </rPr>
      <t>255.002</t>
    </r>
  </si>
  <si>
    <r>
      <rPr>
        <sz val="10"/>
        <color indexed="8"/>
        <rFont val="Calibri"/>
        <family val="2"/>
      </rPr>
      <t>255.001</t>
    </r>
  </si>
  <si>
    <r>
      <rPr>
        <sz val="10"/>
        <color indexed="8"/>
        <rFont val="Calibri"/>
        <family val="2"/>
      </rPr>
      <t>204</t>
    </r>
  </si>
  <si>
    <r>
      <rPr>
        <sz val="10"/>
        <color indexed="8"/>
        <rFont val="Calibri"/>
        <family val="2"/>
      </rPr>
      <t>255.003</t>
    </r>
  </si>
  <si>
    <r>
      <rPr>
        <sz val="10"/>
        <color indexed="8"/>
        <rFont val="Calibri"/>
        <family val="2"/>
      </rPr>
      <t>871</t>
    </r>
  </si>
  <si>
    <r>
      <rPr>
        <sz val="10"/>
        <color indexed="8"/>
        <rFont val="Calibri"/>
        <family val="2"/>
      </rPr>
      <t>869</t>
    </r>
  </si>
  <si>
    <r>
      <rPr>
        <sz val="10"/>
        <color indexed="8"/>
        <rFont val="Calibri"/>
        <family val="2"/>
      </rPr>
      <t>314 / 315</t>
    </r>
  </si>
  <si>
    <r>
      <rPr>
        <sz val="10"/>
        <color indexed="8"/>
        <rFont val="Calibri"/>
        <family val="2"/>
      </rPr>
      <t>Are the Weathertight doors including seals in good condition? / Герметичные двери, включая уплотнения, в хорошем состоянии?</t>
    </r>
  </si>
  <si>
    <r>
      <rPr>
        <sz val="10"/>
        <color indexed="8"/>
        <rFont val="Calibri"/>
        <family val="2"/>
      </rPr>
      <t>314.002</t>
    </r>
  </si>
  <si>
    <r>
      <rPr>
        <b/>
        <sz val="10"/>
        <color indexed="8"/>
        <rFont val="Calibri"/>
        <family val="2"/>
      </rPr>
      <t>202.005</t>
    </r>
  </si>
  <si>
    <r>
      <rPr>
        <sz val="10"/>
        <color indexed="8"/>
        <rFont val="Calibri"/>
        <family val="2"/>
      </rPr>
      <t>255.004</t>
    </r>
  </si>
  <si>
    <r>
      <rPr>
        <sz val="10"/>
        <color indexed="8"/>
        <rFont val="Calibri"/>
        <family val="2"/>
      </rPr>
      <t>706.001</t>
    </r>
  </si>
  <si>
    <r>
      <rPr>
        <sz val="10"/>
        <color indexed="8"/>
        <rFont val="Calibri"/>
        <family val="2"/>
      </rPr>
      <t>326</t>
    </r>
  </si>
  <si>
    <r>
      <rPr>
        <sz val="10"/>
        <color indexed="8"/>
        <rFont val="Calibri"/>
        <family val="2"/>
      </rPr>
      <t>327</t>
    </r>
  </si>
  <si>
    <r>
      <rPr>
        <sz val="10"/>
        <color indexed="8"/>
        <rFont val="Calibri"/>
        <family val="2"/>
      </rPr>
      <t>715.008</t>
    </r>
  </si>
  <si>
    <r>
      <rPr>
        <sz val="10"/>
        <color indexed="8"/>
        <rFont val="Calibri"/>
        <family val="2"/>
      </rPr>
      <t>251.003</t>
    </r>
  </si>
  <si>
    <r>
      <rPr>
        <sz val="10"/>
        <color indexed="8"/>
        <rFont val="Calibri"/>
        <family val="2"/>
      </rPr>
      <t>327.008</t>
    </r>
  </si>
  <si>
    <r>
      <rPr>
        <sz val="10"/>
        <color indexed="8"/>
        <rFont val="Calibri"/>
        <family val="2"/>
      </rPr>
      <t>871.002</t>
    </r>
  </si>
  <si>
    <r>
      <rPr>
        <sz val="10"/>
        <color indexed="8"/>
        <rFont val="Calibri"/>
        <family val="2"/>
      </rPr>
      <t>746.001</t>
    </r>
  </si>
  <si>
    <r>
      <rPr>
        <sz val="10"/>
        <color indexed="8"/>
        <rFont val="Calibri"/>
        <family val="2"/>
      </rPr>
      <t>771.001</t>
    </r>
  </si>
  <si>
    <r>
      <rPr>
        <sz val="10"/>
        <color indexed="8"/>
        <rFont val="Calibri"/>
        <family val="2"/>
      </rPr>
      <t>771.005</t>
    </r>
  </si>
  <si>
    <r>
      <rPr>
        <sz val="10"/>
        <color indexed="8"/>
        <rFont val="Calibri"/>
        <family val="2"/>
      </rPr>
      <t>367.007</t>
    </r>
  </si>
  <si>
    <r>
      <rPr>
        <sz val="10"/>
        <color indexed="8"/>
        <rFont val="Calibri"/>
        <family val="2"/>
      </rPr>
      <t>367.009</t>
    </r>
  </si>
  <si>
    <r>
      <rPr>
        <sz val="10"/>
        <color indexed="8"/>
        <rFont val="Calibri"/>
        <family val="2"/>
      </rPr>
      <t>227.001</t>
    </r>
  </si>
  <si>
    <r>
      <rPr>
        <sz val="10"/>
        <color indexed="8"/>
        <rFont val="Calibri"/>
        <family val="2"/>
      </rPr>
      <t>227.002</t>
    </r>
  </si>
  <si>
    <r>
      <rPr>
        <sz val="10"/>
        <color indexed="8"/>
        <rFont val="Calibri"/>
        <family val="2"/>
      </rPr>
      <t>313.005</t>
    </r>
  </si>
  <si>
    <r>
      <rPr>
        <sz val="10"/>
        <color indexed="8"/>
        <rFont val="Calibri"/>
        <family val="2"/>
      </rPr>
      <t>306.010</t>
    </r>
  </si>
  <si>
    <r>
      <rPr>
        <sz val="10"/>
        <color indexed="8"/>
        <rFont val="Calibri"/>
        <family val="2"/>
      </rPr>
      <t>361 / 367 / 368</t>
    </r>
  </si>
  <si>
    <r>
      <rPr>
        <sz val="10"/>
        <color indexed="8"/>
        <rFont val="Calibri"/>
        <family val="2"/>
      </rPr>
      <t>753.010</t>
    </r>
  </si>
  <si>
    <r>
      <rPr>
        <sz val="10"/>
        <color indexed="8"/>
        <rFont val="Calibri"/>
        <family val="2"/>
      </rPr>
      <t>753.011</t>
    </r>
  </si>
  <si>
    <r>
      <rPr>
        <sz val="10"/>
        <color indexed="8"/>
        <rFont val="Calibri"/>
        <family val="2"/>
      </rPr>
      <t>753.013</t>
    </r>
  </si>
  <si>
    <r>
      <rPr>
        <sz val="10"/>
        <color indexed="8"/>
        <rFont val="Calibri"/>
        <family val="2"/>
      </rPr>
      <t>202.003</t>
    </r>
  </si>
  <si>
    <r>
      <rPr>
        <sz val="10"/>
        <color indexed="8"/>
        <rFont val="Calibri"/>
        <family val="2"/>
      </rPr>
      <t>202.002</t>
    </r>
  </si>
  <si>
    <r>
      <rPr>
        <sz val="10"/>
        <color indexed="8"/>
        <rFont val="Calibri"/>
        <family val="2"/>
      </rPr>
      <t>741</t>
    </r>
  </si>
  <si>
    <r>
      <rPr>
        <sz val="10"/>
        <color indexed="8"/>
        <rFont val="Calibri"/>
        <family val="2"/>
      </rPr>
      <t>663.008</t>
    </r>
  </si>
  <si>
    <r>
      <rPr>
        <sz val="10"/>
        <color indexed="8"/>
        <rFont val="Calibri"/>
        <family val="2"/>
      </rPr>
      <t>612</t>
    </r>
  </si>
  <si>
    <r>
      <rPr>
        <sz val="10"/>
        <color indexed="8"/>
        <rFont val="Calibri"/>
        <family val="2"/>
      </rPr>
      <t>163</t>
    </r>
  </si>
  <si>
    <r>
      <rPr>
        <sz val="10"/>
        <color indexed="8"/>
        <rFont val="Calibri"/>
        <family val="2"/>
      </rPr>
      <t>315</t>
    </r>
  </si>
  <si>
    <r>
      <rPr>
        <sz val="10"/>
        <color indexed="8"/>
        <rFont val="Calibri"/>
        <family val="2"/>
      </rPr>
      <t>715</t>
    </r>
  </si>
  <si>
    <r>
      <rPr>
        <sz val="10"/>
        <color indexed="8"/>
        <rFont val="Calibri"/>
        <family val="2"/>
      </rPr>
      <t>701</t>
    </r>
  </si>
  <si>
    <r>
      <rPr>
        <b/>
        <sz val="11"/>
        <color indexed="8"/>
        <rFont val="Calibri"/>
        <family val="2"/>
      </rPr>
      <t>Weighted Total Score / Взвешенная общая оценка</t>
    </r>
  </si>
  <si>
    <r>
      <rPr>
        <sz val="10"/>
        <color indexed="8"/>
        <rFont val="Calibri"/>
        <family val="2"/>
      </rPr>
      <t>Are deck and engine room logs completed correctly? / Судовой журнал и журнал в машинном отделении заполнены правильно?</t>
    </r>
  </si>
  <si>
    <r>
      <rPr>
        <sz val="10"/>
        <color indexed="8"/>
        <rFont val="Calibri"/>
        <family val="2"/>
      </rPr>
      <t>Is the Oil Record book up to date? / Журнал учета смазочного масла в актуальном состоянии?</t>
    </r>
  </si>
  <si>
    <r>
      <rPr>
        <sz val="10"/>
        <color indexed="8"/>
        <rFont val="Calibri"/>
        <family val="2"/>
      </rPr>
      <t>Is the Garbage Record book up to date? / Журнал операций с мусором в актуальном состоянии?</t>
    </r>
  </si>
  <si>
    <r>
      <rPr>
        <sz val="10"/>
        <color indexed="8"/>
        <rFont val="Calibri"/>
        <family val="2"/>
      </rPr>
      <t>Is the GMDSS radio log book up to date? / Радио-журнал ГМССБ в актуальном состоянии?</t>
    </r>
  </si>
  <si>
    <r>
      <rPr>
        <sz val="10"/>
        <color indexed="8"/>
        <rFont val="Calibri"/>
        <family val="2"/>
      </rPr>
      <t>Is the Ballast record book up to date? / Журнал балластных операций в актуальном состоянии?</t>
    </r>
  </si>
  <si>
    <r>
      <rPr>
        <sz val="10"/>
        <color indexed="8"/>
        <rFont val="Calibri"/>
        <family val="2"/>
      </rPr>
      <t>Are all equipment certificates filed and up to date? / Все сертификаты на оборудование оформлены и в актуальном состоянии?</t>
    </r>
  </si>
  <si>
    <r>
      <rPr>
        <sz val="10"/>
        <color indexed="8"/>
        <rFont val="Calibri"/>
        <family val="2"/>
      </rPr>
      <t>Is the Towing record book up to date? / Журнал буксировки в актуальном состоянии?</t>
    </r>
  </si>
  <si>
    <r>
      <rPr>
        <sz val="10"/>
        <color indexed="8"/>
        <rFont val="Calibri"/>
        <family val="2"/>
      </rPr>
      <t>Is the Lifting gear record book up to date? / Журнал учета подъемных механизмов в актуальном состоянии?</t>
    </r>
  </si>
  <si>
    <r>
      <rPr>
        <sz val="10"/>
        <color indexed="8"/>
        <rFont val="Calibri"/>
        <family val="2"/>
      </rPr>
      <t>Are all Charts and Publications up to date? / Все карты и публикации на актуальном уровне?</t>
    </r>
  </si>
  <si>
    <r>
      <rPr>
        <sz val="10"/>
        <color indexed="8"/>
        <rFont val="Calibri"/>
        <family val="2"/>
      </rPr>
      <t>Are the Cargo water system pumps and piping in good condition? / Грузовые насосы и трубопроводы подачи воды в исправном состоянии?</t>
    </r>
  </si>
  <si>
    <r>
      <rPr>
        <sz val="10"/>
        <color indexed="8"/>
        <rFont val="Calibri"/>
        <family val="2"/>
      </rPr>
      <t>Are the non conformities from the last internal audit solved? / Решены несоответствия, выявленные по итогам последнего внутреннего аудита?</t>
    </r>
  </si>
  <si>
    <r>
      <rPr>
        <sz val="10"/>
        <color indexed="8"/>
        <rFont val="Calibri"/>
        <family val="2"/>
      </rPr>
      <t>Is Lock out / Tag out equipment onboard and available - check / Имеется на борту оборудование блокировки и опломбирования - проверить</t>
    </r>
  </si>
  <si>
    <r>
      <rPr>
        <sz val="10"/>
        <color indexed="8"/>
        <rFont val="Calibri"/>
        <family val="2"/>
      </rPr>
      <t>306.001/003/004</t>
    </r>
  </si>
  <si>
    <r>
      <rPr>
        <sz val="10"/>
        <color indexed="8"/>
        <rFont val="Calibri"/>
        <family val="2"/>
      </rPr>
      <t>371.001/ 372.001</t>
    </r>
  </si>
  <si>
    <r>
      <rPr>
        <sz val="10"/>
        <color indexed="8"/>
        <rFont val="Calibri"/>
        <family val="2"/>
      </rPr>
      <t>367, 368, 841</t>
    </r>
  </si>
  <si>
    <r>
      <rPr>
        <sz val="10"/>
        <color indexed="8"/>
        <rFont val="Calibri"/>
        <family val="2"/>
      </rPr>
      <t>361, 367, 368, 841</t>
    </r>
  </si>
  <si>
    <r>
      <rPr>
        <sz val="10"/>
        <color indexed="8"/>
        <rFont val="Calibri"/>
        <family val="2"/>
      </rPr>
      <t>864.002/ 864.003/ 864.005/ 865.001</t>
    </r>
  </si>
  <si>
    <r>
      <rPr>
        <sz val="10"/>
        <color indexed="8"/>
        <rFont val="Calibri"/>
        <family val="2"/>
      </rPr>
      <t>871/872</t>
    </r>
  </si>
  <si>
    <r>
      <rPr>
        <sz val="10"/>
        <color indexed="8"/>
        <rFont val="Calibri"/>
        <family val="2"/>
      </rPr>
      <t>701 t/m 706</t>
    </r>
  </si>
  <si>
    <r>
      <rPr>
        <sz val="10"/>
        <color indexed="8"/>
        <rFont val="Calibri"/>
        <family val="2"/>
      </rPr>
      <t>711 t/m 715</t>
    </r>
  </si>
  <si>
    <r>
      <rPr>
        <sz val="10"/>
        <color indexed="8"/>
        <rFont val="Calibri"/>
        <family val="2"/>
      </rPr>
      <t>701 t/m 715</t>
    </r>
  </si>
  <si>
    <r>
      <rPr>
        <sz val="10"/>
        <color indexed="8"/>
        <rFont val="Calibri"/>
        <family val="2"/>
      </rPr>
      <t>742.012/ 744.001</t>
    </r>
  </si>
  <si>
    <r>
      <rPr>
        <sz val="10"/>
        <color indexed="8"/>
        <rFont val="Calibri"/>
        <family val="2"/>
      </rPr>
      <t>601.001/ 602.001</t>
    </r>
  </si>
  <si>
    <r>
      <rPr>
        <sz val="10"/>
        <color indexed="8"/>
        <rFont val="Calibri"/>
        <family val="2"/>
      </rPr>
      <t>763.002</t>
    </r>
  </si>
  <si>
    <r>
      <rPr>
        <sz val="10"/>
        <color indexed="8"/>
        <rFont val="Calibri"/>
        <family val="2"/>
      </rPr>
      <t>753.005</t>
    </r>
  </si>
  <si>
    <r>
      <rPr>
        <sz val="10"/>
        <color indexed="8"/>
        <rFont val="Calibri"/>
        <family val="2"/>
      </rPr>
      <t>302.010</t>
    </r>
  </si>
  <si>
    <r>
      <rPr>
        <sz val="10"/>
        <color indexed="8"/>
        <rFont val="Calibri"/>
        <family val="2"/>
      </rPr>
      <t>181/182</t>
    </r>
  </si>
  <si>
    <r>
      <rPr>
        <sz val="10"/>
        <color indexed="8"/>
        <rFont val="Calibri"/>
        <family val="2"/>
      </rPr>
      <t>571/572</t>
    </r>
  </si>
  <si>
    <r>
      <rPr>
        <sz val="10"/>
        <color indexed="8"/>
        <rFont val="Calibri"/>
        <family val="2"/>
      </rPr>
      <t>522.001/ 532.001</t>
    </r>
  </si>
  <si>
    <r>
      <rPr>
        <sz val="10"/>
        <color indexed="8"/>
        <rFont val="Calibri"/>
        <family val="2"/>
      </rPr>
      <t>801/803</t>
    </r>
  </si>
  <si>
    <r>
      <rPr>
        <sz val="10"/>
        <color indexed="8"/>
        <rFont val="Calibri"/>
        <family val="2"/>
      </rPr>
      <t>821/822</t>
    </r>
  </si>
  <si>
    <r>
      <rPr>
        <sz val="10"/>
        <color indexed="8"/>
        <rFont val="Calibri"/>
        <family val="2"/>
      </rPr>
      <t>831.009/ 832.005/ 833.004</t>
    </r>
  </si>
  <si>
    <r>
      <rPr>
        <sz val="10"/>
        <color indexed="8"/>
        <rFont val="Calibri"/>
        <family val="2"/>
      </rPr>
      <t>831.010/ 832.010/ 833.008</t>
    </r>
  </si>
  <si>
    <r>
      <rPr>
        <sz val="10"/>
        <color indexed="8"/>
        <rFont val="Calibri"/>
        <family val="2"/>
      </rPr>
      <t>362.004/ 362.005/ 366.004</t>
    </r>
  </si>
  <si>
    <r>
      <rPr>
        <sz val="10"/>
        <color indexed="8"/>
        <rFont val="Calibri"/>
        <family val="2"/>
      </rPr>
      <t>762.001/ 762.002/ 762.003</t>
    </r>
  </si>
  <si>
    <r>
      <rPr>
        <sz val="10"/>
        <color indexed="8"/>
        <rFont val="Calibri"/>
        <family val="2"/>
      </rPr>
      <t>821.005 t/m 821.017</t>
    </r>
  </si>
  <si>
    <r>
      <rPr>
        <sz val="10"/>
        <color indexed="8"/>
        <rFont val="Calibri"/>
        <family val="2"/>
      </rPr>
      <t>822.012 t/m 822.025</t>
    </r>
  </si>
  <si>
    <r>
      <rPr>
        <sz val="10"/>
        <color indexed="8"/>
        <rFont val="Calibri"/>
        <family val="2"/>
      </rPr>
      <t>842/ 843/ 844/ 845</t>
    </r>
  </si>
  <si>
    <r>
      <rPr>
        <sz val="10"/>
        <color indexed="8"/>
        <rFont val="Calibri"/>
        <family val="2"/>
      </rPr>
      <t>367/368/ 841</t>
    </r>
  </si>
  <si>
    <r>
      <rPr>
        <sz val="10"/>
        <color indexed="8"/>
        <rFont val="Calibri"/>
        <family val="2"/>
      </rPr>
      <t>521/531</t>
    </r>
  </si>
  <si>
    <r>
      <rPr>
        <sz val="10"/>
        <color indexed="8"/>
        <rFont val="Calibri"/>
        <family val="2"/>
      </rPr>
      <t>811.001/ 811.002/ 811.005</t>
    </r>
  </si>
  <si>
    <r>
      <rPr>
        <b/>
        <sz val="11"/>
        <color indexed="8"/>
        <rFont val="Calibri"/>
        <family val="2"/>
      </rPr>
      <t>Score / Баллы</t>
    </r>
  </si>
  <si>
    <r>
      <rPr>
        <b/>
        <sz val="11"/>
        <color indexed="8"/>
        <rFont val="Calibri"/>
        <family val="2"/>
      </rPr>
      <t>Weight / Вес</t>
    </r>
  </si>
  <si>
    <r>
      <rPr>
        <b/>
        <sz val="11"/>
        <color indexed="8"/>
        <rFont val="Calibri"/>
        <family val="2"/>
      </rPr>
      <t xml:space="preserve">% Weighted Score / % взвешенной оценки </t>
    </r>
  </si>
  <si>
    <r>
      <rPr>
        <sz val="10"/>
        <color indexed="8"/>
        <rFont val="Calibri"/>
        <family val="2"/>
      </rPr>
      <t>102.029</t>
    </r>
  </si>
  <si>
    <r>
      <rPr>
        <sz val="10"/>
        <color indexed="8"/>
        <rFont val="Calibri"/>
        <family val="2"/>
      </rPr>
      <t>Is the Asbestos Management Plan up to date?
(when applicable) / План организации асбеста в актуальном состоянии? (если применимо)</t>
    </r>
  </si>
  <si>
    <r>
      <rPr>
        <sz val="10"/>
        <color indexed="8"/>
        <rFont val="Calibri"/>
        <family val="2"/>
      </rPr>
      <t xml:space="preserve">Other tanks – open and inspect when possible / Прочие танки – открыть и осмотреть по возможности </t>
    </r>
  </si>
  <si>
    <r>
      <rPr>
        <sz val="10"/>
        <color indexed="8"/>
        <rFont val="Calibri"/>
        <family val="2"/>
      </rPr>
      <t xml:space="preserve">Sewage (grey water holding) tanks – open and inspect when possible / Танки сточных вод – открыть и осмотреть по возможности </t>
    </r>
  </si>
  <si>
    <r>
      <rPr>
        <sz val="10"/>
        <color indexed="8"/>
        <rFont val="Calibri"/>
        <family val="2"/>
      </rPr>
      <t xml:space="preserve">Bilge water holding tanks – open and inspect when possible / Танки трюмных вод – открыть и осмотреть по возможности </t>
    </r>
  </si>
  <si>
    <r>
      <rPr>
        <sz val="10"/>
        <color indexed="8"/>
        <rFont val="Calibri"/>
        <family val="2"/>
      </rPr>
      <t xml:space="preserve">Foam tanks – open and inspect when possible / Танки пенообразователя – открыть и осмотреть по возможности </t>
    </r>
  </si>
  <si>
    <r>
      <rPr>
        <sz val="10"/>
        <color indexed="8"/>
        <rFont val="Calibri"/>
        <family val="2"/>
      </rPr>
      <t xml:space="preserve">Dispersant tanks – open and inspect when possible / Танки диспергатора – открыть и осмотреть по возможности </t>
    </r>
  </si>
  <si>
    <r>
      <rPr>
        <sz val="10"/>
        <color indexed="8"/>
        <rFont val="Calibri"/>
        <family val="2"/>
      </rPr>
      <t xml:space="preserve">Aft peak – open and inspect when possible / Ахтерпик – открыть и осмотреть по возможности </t>
    </r>
  </si>
  <si>
    <r>
      <rPr>
        <sz val="10"/>
        <color indexed="8"/>
        <rFont val="Calibri"/>
        <family val="2"/>
      </rPr>
      <t xml:space="preserve">Fore peak – open and inspect when possible / Фоорпик – открыть и осмотреть по возможности </t>
    </r>
  </si>
  <si>
    <r>
      <rPr>
        <sz val="10"/>
        <color indexed="8"/>
        <rFont val="Calibri"/>
        <family val="2"/>
      </rPr>
      <t xml:space="preserve">Dirty water tanks – open and inspect when possible / Танки с загрязненной водой – открыть и осмотреть по возможности </t>
    </r>
  </si>
  <si>
    <r>
      <rPr>
        <sz val="10"/>
        <color indexed="8"/>
        <rFont val="Calibri"/>
        <family val="2"/>
      </rPr>
      <t>X</t>
    </r>
  </si>
  <si>
    <r>
      <rPr>
        <b/>
        <sz val="11"/>
        <color indexed="8"/>
        <rFont val="Calibri"/>
        <family val="2"/>
      </rPr>
      <t xml:space="preserve">N.A./НД </t>
    </r>
    <r>
      <rPr>
        <b/>
        <sz val="11"/>
        <color indexed="8"/>
        <rFont val="Calibri"/>
        <family val="2"/>
      </rPr>
      <t>Count / Подсчет</t>
    </r>
  </si>
  <si>
    <r>
      <rPr>
        <sz val="10"/>
        <color indexed="8"/>
        <rFont val="Calibri"/>
        <family val="2"/>
      </rPr>
      <t>x</t>
    </r>
  </si>
  <si>
    <r>
      <rPr>
        <b/>
        <sz val="11"/>
        <color indexed="8"/>
        <rFont val="Calibri"/>
        <family val="2"/>
      </rPr>
      <t>Signature SE / TSI-R / TSI-P / Подпись инженера объекта/тех.рук.тек.рем./тех.рук.план.рем.</t>
    </r>
  </si>
  <si>
    <r>
      <rPr>
        <b/>
        <sz val="11"/>
        <color indexed="8"/>
        <rFont val="Calibri"/>
        <family val="2"/>
      </rPr>
      <t xml:space="preserve">Signature Master / Подпись капитана                                                                                                  </t>
    </r>
  </si>
  <si>
    <r>
      <rPr>
        <b/>
        <sz val="11"/>
        <color indexed="8"/>
        <rFont val="Calibri"/>
        <family val="2"/>
      </rPr>
      <t xml:space="preserve">Signature Chief Engineer / Подпись ст.механика                                                                                                                                       </t>
    </r>
  </si>
  <si>
    <r>
      <rPr>
        <b/>
        <sz val="11"/>
        <color indexed="8"/>
        <rFont val="Calibri"/>
        <family val="2"/>
      </rPr>
      <t>Signature CM / Подпись менеджера контракта</t>
    </r>
  </si>
  <si>
    <r>
      <rPr>
        <b/>
        <sz val="11"/>
        <color indexed="10"/>
        <rFont val="Calibri"/>
        <family val="2"/>
      </rPr>
      <t>NOTES / ПРИМЕЧАНИЯ:</t>
    </r>
    <r>
      <rPr>
        <sz val="11"/>
        <color theme="1"/>
        <rFont val="Calibri"/>
        <family val="2"/>
        <scheme val="minor"/>
      </rPr>
      <t xml:space="preserve"> </t>
    </r>
  </si>
  <si>
    <r>
      <rPr>
        <b/>
        <sz val="11"/>
        <color indexed="8"/>
        <rFont val="Calibri"/>
        <family val="2"/>
      </rPr>
      <t xml:space="preserve">1. </t>
    </r>
    <r>
      <rPr>
        <b/>
        <sz val="11"/>
        <color indexed="8"/>
        <rFont val="Calibri"/>
        <family val="2"/>
      </rPr>
      <t>Add the inspection remarks to MARAD as a REPAIR or DOCKING job. To do this go to the equipment in MARAD</t>
    </r>
  </si>
  <si>
    <r>
      <rPr>
        <b/>
        <sz val="11"/>
        <color indexed="8"/>
        <rFont val="Calibri"/>
        <family val="2"/>
      </rPr>
      <t xml:space="preserve">2. </t>
    </r>
    <r>
      <rPr>
        <b/>
        <sz val="11"/>
        <color indexed="8"/>
        <rFont val="Calibri"/>
        <family val="2"/>
      </rPr>
      <t>Add pictures to your remarks for clarification. / Для разъяснения ваших замечаний добавьте фотографии.</t>
    </r>
  </si>
  <si>
    <r>
      <rPr>
        <b/>
        <sz val="11"/>
        <rFont val="Calibri"/>
        <family val="2"/>
      </rPr>
      <t>Job to be added in MARAD / Задание подлежит внесению в MARAD?</t>
    </r>
  </si>
  <si>
    <r>
      <rPr>
        <sz val="10"/>
        <color indexed="8"/>
        <rFont val="Calibri"/>
        <family val="2"/>
      </rPr>
      <t>Gas detection system sensors / Датчики системы контроля загазованности</t>
    </r>
  </si>
  <si>
    <r>
      <rPr>
        <sz val="10"/>
        <color indexed="8"/>
        <rFont val="Calibri"/>
        <family val="2"/>
      </rPr>
      <t>751</t>
    </r>
  </si>
  <si>
    <r>
      <rPr>
        <sz val="10"/>
        <color indexed="8"/>
        <rFont val="Calibri"/>
        <family val="2"/>
      </rPr>
      <t>Are all Bridge instruments working properly? – operational test / Приборы на мостике работают исправно? – рабочее испытание</t>
    </r>
  </si>
  <si>
    <r>
      <rPr>
        <sz val="10"/>
        <color indexed="8"/>
        <rFont val="Calibri"/>
        <family val="2"/>
      </rPr>
      <t>Does the General alarm work properly? – operational test / Общая система сигнализации работает исправно? – рабочее испытание</t>
    </r>
  </si>
  <si>
    <r>
      <rPr>
        <sz val="10"/>
        <color indexed="8"/>
        <rFont val="Calibri"/>
        <family val="2"/>
      </rPr>
      <t>Do all the Communications systems work? – operational test / Все системы связи работают? – рабочее испытание</t>
    </r>
  </si>
  <si>
    <r>
      <rPr>
        <sz val="10"/>
        <color indexed="8"/>
        <rFont val="Calibri"/>
        <family val="2"/>
      </rPr>
      <t>Do all the Navigation instruments work? – operational test / Все навигационные приборы работают? – рабочее испытание</t>
    </r>
  </si>
  <si>
    <r>
      <rPr>
        <sz val="10"/>
        <color indexed="8"/>
        <rFont val="Calibri"/>
        <family val="2"/>
      </rPr>
      <t>Do the radars work correctly? - operational test / РЛС работают правильно? - рабочее испытание</t>
    </r>
  </si>
  <si>
    <r>
      <rPr>
        <sz val="10"/>
        <color indexed="8"/>
        <rFont val="Calibri"/>
        <family val="2"/>
      </rPr>
      <t xml:space="preserve">Is the DP system operational? - operational test / Система ДП в рабочем состоянии? - рабочее испытание </t>
    </r>
  </si>
  <si>
    <r>
      <rPr>
        <sz val="10"/>
        <color indexed="8"/>
        <rFont val="Calibri"/>
        <family val="2"/>
      </rPr>
      <t>Do all the Navigation lights work? – operational test / Все навигационные огни работают? – рабочее испытание</t>
    </r>
  </si>
  <si>
    <r>
      <rPr>
        <sz val="10"/>
        <color indexed="8"/>
        <rFont val="Calibri"/>
        <family val="2"/>
      </rPr>
      <t xml:space="preserve">Does the Echo sounder work? – operational test / Эхолокатор работает? – рабочее испытание </t>
    </r>
  </si>
  <si>
    <r>
      <rPr>
        <sz val="10"/>
        <color indexed="8"/>
        <rFont val="Calibri"/>
        <family val="2"/>
      </rPr>
      <t xml:space="preserve">Does the auto pilot work? – operational test / Автопилот работает? – рабочее испытание </t>
    </r>
  </si>
  <si>
    <r>
      <rPr>
        <sz val="10"/>
        <color indexed="8"/>
        <rFont val="Calibri"/>
        <family val="2"/>
      </rPr>
      <t>Do the searchlights work? – operational test / Прожекторы работают? – рабочее испытание</t>
    </r>
  </si>
  <si>
    <r>
      <rPr>
        <sz val="10"/>
        <color indexed="8"/>
        <rFont val="Calibri"/>
        <family val="2"/>
      </rPr>
      <t>Does the whistle work? – operational test / Гудок работает? – рабочее испытание</t>
    </r>
  </si>
  <si>
    <r>
      <rPr>
        <sz val="10"/>
        <color indexed="8"/>
        <rFont val="Calibri"/>
        <family val="2"/>
      </rPr>
      <t>Is the CCTV system in good working condition? - operational test / Система видеонаблюдения в исправном рабочем состоянии? - рабочее испытание</t>
    </r>
  </si>
  <si>
    <r>
      <rPr>
        <sz val="10"/>
        <color indexed="8"/>
        <rFont val="Calibri"/>
        <family val="2"/>
      </rPr>
      <t>Do the Fwd and Aft remote controls work properly? – operational test / Дистанционное управление вперед/назад работает должным образом? – рабочее испытание</t>
    </r>
  </si>
  <si>
    <r>
      <rPr>
        <sz val="10"/>
        <color indexed="8"/>
        <rFont val="Calibri"/>
        <family val="2"/>
      </rPr>
      <t>Does the fire alarm system work properly? - operational test / Система пожарной сигнализации работает исправно? - рабочее испытание</t>
    </r>
  </si>
  <si>
    <r>
      <rPr>
        <sz val="10"/>
        <color indexed="8"/>
        <rFont val="Calibri"/>
        <family val="2"/>
      </rPr>
      <t>Does the gas detection system (H2S, CH, CO) work properly? - operational test / Система обнаружения пожара и загазованности (H2S, CH, CO) работает исправно? - рабочее испытание</t>
    </r>
  </si>
  <si>
    <r>
      <rPr>
        <sz val="10"/>
        <color indexed="8"/>
        <rFont val="Calibri"/>
        <family val="2"/>
      </rPr>
      <t xml:space="preserve">Does the automatic shut down of ventilation / closing of fire dampers work properly? - operational test / Автоматический останов вентиляции / закрытие пожарных заслонок работает исправно? - рабочее испытание  </t>
    </r>
  </si>
  <si>
    <r>
      <rPr>
        <sz val="10"/>
        <color indexed="8"/>
        <rFont val="Calibri"/>
        <family val="2"/>
      </rPr>
      <t>Does the fixed O2 meter work properly? - operational test / Стационарный счетчик O2 работает исправно? - рабочее испытание</t>
    </r>
  </si>
  <si>
    <r>
      <rPr>
        <sz val="10"/>
        <color indexed="8"/>
        <rFont val="Calibri"/>
        <family val="2"/>
      </rPr>
      <t xml:space="preserve">Anchor Windlass – operational test winch and brakes / Брашпиль – рабочее испытание лебедки и тормозов </t>
    </r>
  </si>
  <si>
    <r>
      <rPr>
        <sz val="10"/>
        <color indexed="8"/>
        <rFont val="Calibri"/>
        <family val="2"/>
      </rPr>
      <t xml:space="preserve">Mooring Winches – operational test winch and brakes / Швартовные лебедки – рабочее испытание лебедки и тормозов </t>
    </r>
  </si>
  <si>
    <r>
      <rPr>
        <sz val="10"/>
        <color indexed="8"/>
        <rFont val="Calibri"/>
        <family val="2"/>
      </rPr>
      <t>Tow hook –  operational test incl. emergency release / Буксирный гак – рабочее испытание лебедки и тормозов и аварийной отдачи</t>
    </r>
  </si>
  <si>
    <r>
      <rPr>
        <sz val="10"/>
        <color indexed="8"/>
        <rFont val="Calibri"/>
        <family val="2"/>
      </rPr>
      <t xml:space="preserve">Tugger Winches – operational test winch and brakes / Палубные лебедки – рабочее испытание лебедки и тормозов  </t>
    </r>
  </si>
  <si>
    <r>
      <rPr>
        <sz val="10"/>
        <color indexed="8"/>
        <rFont val="Calibri"/>
        <family val="2"/>
      </rPr>
      <t>Crane- operational test / Кран - рабочее испытание</t>
    </r>
  </si>
  <si>
    <r>
      <rPr>
        <sz val="10"/>
        <color indexed="8"/>
        <rFont val="Calibri"/>
        <family val="2"/>
      </rPr>
      <t>FRC Davit – operational test / Шлюпбалка спасательного катера – рабочее испытание</t>
    </r>
  </si>
  <si>
    <r>
      <rPr>
        <sz val="10"/>
        <color indexed="8"/>
        <rFont val="Calibri"/>
        <family val="2"/>
      </rPr>
      <t>Capstans – operational test / Шпили – рабочее испытание</t>
    </r>
  </si>
  <si>
    <r>
      <rPr>
        <sz val="10"/>
        <color indexed="8"/>
        <rFont val="Calibri"/>
        <family val="2"/>
      </rPr>
      <t>Karm forks, Shark Jaws and tow pins operation – operational test and emergency release / Работа стопоров якорной цепи и буксирных пальцев – рабочее испытание и аварийная отдача</t>
    </r>
  </si>
  <si>
    <r>
      <rPr>
        <b/>
        <sz val="11"/>
        <color indexed="8"/>
        <rFont val="Calibri"/>
        <family val="2"/>
      </rPr>
      <t>Signature Inspector /  Подпись инспектора</t>
    </r>
  </si>
  <si>
    <r>
      <rPr>
        <b/>
        <sz val="11"/>
        <color indexed="8"/>
        <rFont val="Calibri"/>
        <family val="2"/>
      </rPr>
      <t>Signature RTM / Подпись рег.тех.менед.</t>
    </r>
  </si>
  <si>
    <r>
      <rPr>
        <sz val="10"/>
        <color indexed="8"/>
        <rFont val="Calibri"/>
        <family val="2"/>
      </rPr>
      <t>FRC/MOB 1 - operational test afloat / Спасательная шлюпка/лодка 1 - рабочее испытание на плаву</t>
    </r>
  </si>
  <si>
    <r>
      <rPr>
        <sz val="10"/>
        <color indexed="8"/>
        <rFont val="Calibri"/>
        <family val="2"/>
      </rPr>
      <t>FRC/MOB 2 - operational test afloat / Спасательная шлюпка/лодка 2 - рабочее испытание на плаву</t>
    </r>
  </si>
  <si>
    <r>
      <rPr>
        <b/>
        <sz val="10"/>
        <color indexed="8"/>
        <rFont val="Calibri"/>
        <family val="2"/>
      </rPr>
      <t>Gen. set 1 / Генераторная установка 1</t>
    </r>
  </si>
  <si>
    <r>
      <rPr>
        <b/>
        <sz val="10"/>
        <color indexed="8"/>
        <rFont val="Calibri"/>
        <family val="2"/>
      </rPr>
      <t>Gen. set 2 / Генераторная установка 2</t>
    </r>
  </si>
  <si>
    <r>
      <rPr>
        <b/>
        <sz val="10"/>
        <color indexed="8"/>
        <rFont val="Calibri"/>
        <family val="2"/>
      </rPr>
      <t>Main Engine 1 / Главный двигатель 1</t>
    </r>
  </si>
  <si>
    <r>
      <rPr>
        <b/>
        <sz val="10"/>
        <color indexed="8"/>
        <rFont val="Calibri"/>
        <family val="2"/>
      </rPr>
      <t>Main Engine 2 / Главный двигатель 2</t>
    </r>
  </si>
  <si>
    <r>
      <rPr>
        <b/>
        <sz val="10"/>
        <color indexed="8"/>
        <rFont val="Calibri"/>
        <family val="2"/>
      </rPr>
      <t>Main Engine 3 / Главный двигатель 3</t>
    </r>
  </si>
  <si>
    <r>
      <rPr>
        <b/>
        <sz val="10"/>
        <color indexed="8"/>
        <rFont val="Calibri"/>
        <family val="2"/>
      </rPr>
      <t>Main Engine 4 / Главный двигатель 4</t>
    </r>
  </si>
  <si>
    <r>
      <rPr>
        <b/>
        <u/>
        <sz val="11"/>
        <color indexed="10"/>
        <rFont val="Calibri"/>
        <family val="2"/>
      </rPr>
      <t xml:space="preserve">3. </t>
    </r>
    <r>
      <rPr>
        <b/>
        <u/>
        <sz val="11"/>
        <color indexed="10"/>
        <rFont val="Calibri"/>
        <family val="2"/>
      </rPr>
      <t>Always attach a print (PDF) of the updated REPAIR and DOCKING list to the VIC!! / Обязательно прикладывайте распечатку (PDF) обновленной ведомости РЕМОНТА и перечня постановки в СУХОЙ ДОК!!</t>
    </r>
  </si>
  <si>
    <r>
      <rPr>
        <b/>
        <sz val="10"/>
        <color indexed="8"/>
        <rFont val="Calibri"/>
        <family val="2"/>
      </rPr>
      <t>Fixed Fire Extinguishing System (CO</t>
    </r>
    <r>
      <rPr>
        <b/>
        <vertAlign val="subscript"/>
        <sz val="10"/>
        <color indexed="8"/>
        <rFont val="Calibri"/>
        <family val="2"/>
      </rPr>
      <t>2</t>
    </r>
    <r>
      <rPr>
        <b/>
        <sz val="10"/>
        <color indexed="8"/>
        <rFont val="Calibri"/>
        <family val="2"/>
      </rPr>
      <t xml:space="preserve"> or Water Mist) / Стационарная система пожаротушения </t>
    </r>
    <r>
      <rPr>
        <b/>
        <vertAlign val="subscript"/>
        <sz val="10"/>
        <color indexed="8"/>
        <rFont val="Calibri"/>
        <family val="2"/>
      </rPr>
      <t>(</t>
    </r>
    <r>
      <rPr>
        <b/>
        <sz val="10"/>
        <color indexed="8"/>
        <rFont val="Calibri"/>
        <family val="2"/>
      </rPr>
      <t>CO</t>
    </r>
    <r>
      <rPr>
        <sz val="10"/>
        <color indexed="8"/>
        <rFont val="Calibri"/>
        <family val="2"/>
      </rPr>
      <t>2 или распыление воды)</t>
    </r>
    <r>
      <rPr>
        <b/>
        <sz val="10"/>
        <color indexed="8"/>
        <rFont val="Calibri"/>
        <family val="2"/>
      </rPr>
      <t>:</t>
    </r>
  </si>
  <si>
    <r>
      <rPr>
        <sz val="10"/>
        <color indexed="8"/>
        <rFont val="Calibri"/>
        <family val="2"/>
      </rPr>
      <t>Are all certificates on board originals? / На борту все сертификаты в оригинале?</t>
    </r>
  </si>
  <si>
    <r>
      <rPr>
        <sz val="10"/>
        <color indexed="8"/>
        <rFont val="Calibri"/>
        <family val="2"/>
      </rPr>
      <t>Are the vessel specific Emergency Towing Procedures on board? / Имеются на борту процедуры аварийной буксировки для данного судна?</t>
    </r>
  </si>
  <si>
    <r>
      <rPr>
        <sz val="10"/>
        <color indexed="8"/>
        <rFont val="Calibri"/>
        <family val="2"/>
      </rPr>
      <t>Is the last Internal Audit Report on board? / Имеется на борту последний отчет о внутреннем аудите?</t>
    </r>
  </si>
  <si>
    <r>
      <rPr>
        <sz val="10"/>
        <color indexed="8"/>
        <rFont val="Calibri"/>
        <family val="2"/>
      </rPr>
      <t>Are any stairs / ring ladders in good condition? / Лестницы, веревочные лестницы в исправном состоянии?</t>
    </r>
  </si>
  <si>
    <r>
      <rPr>
        <sz val="10"/>
        <color indexed="8"/>
        <rFont val="Calibri"/>
        <family val="2"/>
      </rPr>
      <t>Are the antennae &amp; foundations in good condition? / Антенна и основания в исправном состоянии?</t>
    </r>
  </si>
  <si>
    <r>
      <rPr>
        <sz val="10"/>
        <color indexed="8"/>
        <rFont val="Calibri"/>
        <family val="2"/>
      </rPr>
      <t>Is the navigation mast in good condition? / Навигационная мачта в хорошем состоянии?</t>
    </r>
  </si>
  <si>
    <r>
      <rPr>
        <sz val="10"/>
        <color indexed="8"/>
        <rFont val="Calibri"/>
        <family val="2"/>
      </rPr>
      <t>Are the searchlights in good condition? / Прожекторы в исправном состоянии?</t>
    </r>
  </si>
  <si>
    <r>
      <rPr>
        <sz val="10"/>
        <color indexed="8"/>
        <rFont val="Calibri"/>
        <family val="2"/>
      </rPr>
      <t>Watertight doors  including seals / Герметичные двери с уплотнениями</t>
    </r>
  </si>
  <si>
    <r>
      <rPr>
        <sz val="10"/>
        <color indexed="8"/>
        <rFont val="Calibri"/>
        <family val="2"/>
      </rPr>
      <t>Searchlights / Прожекторы</t>
    </r>
  </si>
  <si>
    <r>
      <rPr>
        <sz val="10"/>
        <color indexed="8"/>
        <rFont val="Calibri"/>
        <family val="2"/>
      </rPr>
      <t>Are the Watertight / Fire doors including seals in good condition? / Герметичные/пожарные двери, включая уплотнения, в исправном состоянии?</t>
    </r>
  </si>
  <si>
    <r>
      <rPr>
        <b/>
        <sz val="11"/>
        <color indexed="8"/>
        <rFont val="Calibri"/>
        <family val="2"/>
      </rPr>
      <t>Y/Да</t>
    </r>
  </si>
  <si>
    <r>
      <rPr>
        <b/>
        <sz val="11"/>
        <color indexed="8"/>
        <rFont val="Calibri"/>
        <family val="2"/>
      </rPr>
      <t>N/Нет</t>
    </r>
  </si>
  <si>
    <r>
      <rPr>
        <b/>
        <sz val="11"/>
        <color indexed="8"/>
        <rFont val="Calibri"/>
        <family val="2"/>
      </rPr>
      <t>N.A./НД</t>
    </r>
  </si>
  <si>
    <r>
      <rPr>
        <b/>
        <sz val="11"/>
        <rFont val="Calibri"/>
        <family val="2"/>
      </rPr>
      <t>Job added in MARAD / Задание внесено в MARAD?</t>
    </r>
  </si>
  <si>
    <r>
      <rPr>
        <sz val="10"/>
        <color indexed="8"/>
        <rFont val="Calibri"/>
        <family val="2"/>
      </rPr>
      <t>X</t>
    </r>
  </si>
  <si>
    <r>
      <rPr>
        <sz val="11"/>
        <rFont val="Calibri"/>
        <family val="2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</si>
  <si>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</si>
  <si>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rFont val="Calibri"/>
        <family val="2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</si>
  <si>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</si>
  <si>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rFont val="Calibri"/>
        <family val="2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</si>
  <si>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</si>
  <si>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rFont val="Calibri"/>
        <family val="2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</si>
  <si>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</si>
  <si>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rFont val="Calibri"/>
        <family val="2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</si>
  <si>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</si>
  <si>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rFont val="Calibri"/>
        <family val="2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</si>
  <si>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</si>
  <si>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rFont val="Calibri"/>
        <family val="2"/>
      </rPr>
      <t>q</t>
    </r>
  </si>
  <si>
    <r>
      <rPr>
        <sz val="10"/>
        <color indexed="8"/>
        <rFont val="Calibri"/>
        <family val="2"/>
      </rPr>
      <t xml:space="preserve"> X</t>
    </r>
  </si>
  <si>
    <r>
      <rPr>
        <sz val="11"/>
        <rFont val="Calibri"/>
        <family val="2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</si>
  <si>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</si>
  <si>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rFont val="Calibri"/>
        <family val="2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</si>
  <si>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</si>
  <si>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rFont val="Calibri"/>
        <family val="2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</si>
  <si>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</si>
  <si>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rFont val="Calibri"/>
        <family val="2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</si>
  <si>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</si>
  <si>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rFont val="Calibri"/>
        <family val="2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</si>
  <si>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</si>
  <si>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rFont val="Calibri"/>
        <family val="2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</si>
  <si>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</si>
  <si>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rFont val="Calibri"/>
        <family val="2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</si>
  <si>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</si>
  <si>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rFont val="Calibri"/>
        <family val="2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</si>
  <si>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</si>
  <si>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rFont val="Calibri"/>
        <family val="2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</si>
  <si>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</si>
  <si>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rFont val="Calibri"/>
        <family val="2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</si>
  <si>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</si>
  <si>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rFont val="Calibri"/>
        <family val="2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</si>
  <si>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</si>
  <si>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rFont val="Calibri"/>
        <family val="2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</si>
  <si>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</si>
  <si>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rFont val="Calibri"/>
        <family val="2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</si>
  <si>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</si>
  <si>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rFont val="Calibri"/>
        <family val="2"/>
      </rPr>
      <t>q</t>
    </r>
  </si>
  <si>
    <t xml:space="preserve">No of entries / Кол-во записей: </t>
  </si>
  <si>
    <t xml:space="preserve">No./Нет Yes/Да: </t>
  </si>
  <si>
    <t xml:space="preserve">No./Нет No/Нет: </t>
  </si>
  <si>
    <t>No./Нет N.A./НД:</t>
  </si>
  <si>
    <r>
      <rPr>
        <b/>
        <sz val="11"/>
        <color indexed="8"/>
        <rFont val="Calibri"/>
        <family val="2"/>
      </rPr>
      <t>Eq. Code / Код оборуд.</t>
    </r>
  </si>
  <si>
    <r>
      <rPr>
        <b/>
        <sz val="11"/>
        <color indexed="8"/>
        <rFont val="Calibri"/>
        <family val="2"/>
      </rPr>
      <t>Y/Да</t>
    </r>
  </si>
  <si>
    <r>
      <rPr>
        <b/>
        <sz val="11"/>
        <color indexed="8"/>
        <rFont val="Calibri"/>
        <family val="2"/>
      </rPr>
      <t>N/Нет</t>
    </r>
  </si>
  <si>
    <r>
      <rPr>
        <b/>
        <sz val="11"/>
        <color indexed="8"/>
        <rFont val="Calibri"/>
        <family val="2"/>
      </rPr>
      <t>N.A./НД</t>
    </r>
  </si>
  <si>
    <r>
      <rPr>
        <b/>
        <sz val="11"/>
        <color indexed="8"/>
        <rFont val="Calibri"/>
        <family val="2"/>
      </rPr>
      <t>Weight / Вес</t>
    </r>
  </si>
  <si>
    <r>
      <rPr>
        <b/>
        <sz val="11"/>
        <color indexed="8"/>
        <rFont val="Calibri"/>
        <family val="2"/>
      </rPr>
      <t xml:space="preserve">N.A./НД </t>
    </r>
    <r>
      <rPr>
        <b/>
        <sz val="11"/>
        <color indexed="8"/>
        <rFont val="Calibri"/>
        <family val="2"/>
      </rPr>
      <t>Count / Подсчет</t>
    </r>
  </si>
  <si>
    <r>
      <rPr>
        <b/>
        <sz val="11"/>
        <color indexed="8"/>
        <rFont val="Calibri"/>
        <family val="2"/>
      </rPr>
      <t>Score / Баллы</t>
    </r>
  </si>
  <si>
    <r>
      <rPr>
        <b/>
        <sz val="11"/>
        <color indexed="8"/>
        <rFont val="Calibri"/>
        <family val="2"/>
      </rPr>
      <t>Comments / Замечания</t>
    </r>
  </si>
  <si>
    <r>
      <rPr>
        <b/>
        <sz val="11"/>
        <rFont val="Calibri"/>
        <family val="2"/>
      </rPr>
      <t>Job added in MARAD / Задание внесено в MARAD?</t>
    </r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</si>
  <si>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</si>
  <si>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</si>
  <si>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</si>
  <si>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</si>
  <si>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</si>
  <si>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</si>
  <si>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</si>
  <si>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</si>
  <si>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</si>
  <si>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</si>
  <si>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</si>
  <si>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</si>
  <si>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</si>
  <si>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</si>
  <si>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</si>
  <si>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</si>
  <si>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X</t>
    </r>
  </si>
  <si>
    <t>q</t>
  </si>
  <si>
    <t xml:space="preserve">No of entries / Кол-во записей: </t>
  </si>
  <si>
    <t xml:space="preserve">No./Нет Yes/Да: </t>
  </si>
  <si>
    <t xml:space="preserve">No./Нет No/Нет: </t>
  </si>
  <si>
    <t>No./Нет N.A./НД:</t>
  </si>
  <si>
    <r>
      <rPr>
        <b/>
        <sz val="11"/>
        <color indexed="8"/>
        <rFont val="Calibri"/>
        <family val="2"/>
      </rPr>
      <t>Eq. Code / Код оборуд.</t>
    </r>
  </si>
  <si>
    <r>
      <rPr>
        <b/>
        <sz val="11"/>
        <color indexed="8"/>
        <rFont val="Calibri"/>
        <family val="2"/>
      </rPr>
      <t>Y/Да</t>
    </r>
  </si>
  <si>
    <r>
      <rPr>
        <b/>
        <sz val="11"/>
        <color indexed="8"/>
        <rFont val="Calibri"/>
        <family val="2"/>
      </rPr>
      <t>N/Нет</t>
    </r>
  </si>
  <si>
    <r>
      <rPr>
        <b/>
        <sz val="11"/>
        <color indexed="8"/>
        <rFont val="Calibri"/>
        <family val="2"/>
      </rPr>
      <t>N.A./НД</t>
    </r>
  </si>
  <si>
    <r>
      <rPr>
        <b/>
        <sz val="11"/>
        <color indexed="8"/>
        <rFont val="Calibri"/>
        <family val="2"/>
      </rPr>
      <t>Weight / Вес</t>
    </r>
  </si>
  <si>
    <r>
      <rPr>
        <b/>
        <sz val="11"/>
        <color indexed="8"/>
        <rFont val="Calibri"/>
        <family val="2"/>
      </rPr>
      <t xml:space="preserve">N.A./НД </t>
    </r>
    <r>
      <rPr>
        <b/>
        <sz val="11"/>
        <color indexed="8"/>
        <rFont val="Calibri"/>
        <family val="2"/>
      </rPr>
      <t>Count / Подсчет</t>
    </r>
  </si>
  <si>
    <r>
      <rPr>
        <b/>
        <sz val="11"/>
        <color indexed="8"/>
        <rFont val="Calibri"/>
        <family val="2"/>
      </rPr>
      <t>Score / Баллы</t>
    </r>
  </si>
  <si>
    <r>
      <rPr>
        <b/>
        <sz val="11"/>
        <color indexed="8"/>
        <rFont val="Calibri"/>
        <family val="2"/>
      </rPr>
      <t>Comments / Замечания</t>
    </r>
  </si>
  <si>
    <r>
      <rPr>
        <b/>
        <sz val="11"/>
        <rFont val="Calibri"/>
        <family val="2"/>
      </rPr>
      <t>Job added in MARAD / Задание внесено в MARAD?</t>
    </r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</si>
  <si>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</si>
  <si>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</si>
  <si>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</si>
  <si>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</si>
  <si>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</si>
  <si>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</si>
  <si>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</si>
  <si>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</si>
  <si>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</si>
  <si>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</si>
  <si>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X</t>
    </r>
  </si>
  <si>
    <t>q</t>
  </si>
  <si>
    <t xml:space="preserve">No of entries / Кол-во записей: </t>
  </si>
  <si>
    <t xml:space="preserve">No./Нет Yes/Да: </t>
  </si>
  <si>
    <t xml:space="preserve">No./Нет No/Нет: </t>
  </si>
  <si>
    <t>No./Нет N.A./НД:</t>
  </si>
  <si>
    <r>
      <rPr>
        <b/>
        <sz val="11"/>
        <color indexed="8"/>
        <rFont val="Calibri"/>
        <family val="2"/>
      </rPr>
      <t>Eq. Code / Код оборуд.</t>
    </r>
  </si>
  <si>
    <r>
      <rPr>
        <b/>
        <sz val="11"/>
        <color indexed="8"/>
        <rFont val="Calibri"/>
        <family val="2"/>
      </rPr>
      <t>Y/Да</t>
    </r>
  </si>
  <si>
    <r>
      <rPr>
        <b/>
        <sz val="11"/>
        <color indexed="8"/>
        <rFont val="Calibri"/>
        <family val="2"/>
      </rPr>
      <t>N/Нет</t>
    </r>
  </si>
  <si>
    <r>
      <rPr>
        <b/>
        <sz val="11"/>
        <color indexed="8"/>
        <rFont val="Calibri"/>
        <family val="2"/>
      </rPr>
      <t>N.A./НД</t>
    </r>
  </si>
  <si>
    <r>
      <rPr>
        <b/>
        <sz val="11"/>
        <color indexed="8"/>
        <rFont val="Calibri"/>
        <family val="2"/>
      </rPr>
      <t>Weight / Вес</t>
    </r>
  </si>
  <si>
    <r>
      <rPr>
        <b/>
        <sz val="11"/>
        <color indexed="8"/>
        <rFont val="Calibri"/>
        <family val="2"/>
      </rPr>
      <t xml:space="preserve">N.A./НД </t>
    </r>
    <r>
      <rPr>
        <b/>
        <sz val="11"/>
        <color indexed="8"/>
        <rFont val="Calibri"/>
        <family val="2"/>
      </rPr>
      <t>Count / Подсчет</t>
    </r>
  </si>
  <si>
    <r>
      <rPr>
        <b/>
        <sz val="11"/>
        <color indexed="8"/>
        <rFont val="Calibri"/>
        <family val="2"/>
      </rPr>
      <t>Score / Баллы</t>
    </r>
  </si>
  <si>
    <r>
      <rPr>
        <b/>
        <sz val="11"/>
        <color indexed="8"/>
        <rFont val="Calibri"/>
        <family val="2"/>
      </rPr>
      <t>Comments / Замечания</t>
    </r>
  </si>
  <si>
    <r>
      <rPr>
        <b/>
        <sz val="11"/>
        <rFont val="Calibri"/>
        <family val="2"/>
      </rPr>
      <t>Job added in MARAD / Задание внесено в MARAD?</t>
    </r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</si>
  <si>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</si>
  <si>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</si>
  <si>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</si>
  <si>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</si>
  <si>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</si>
  <si>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</si>
  <si>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</si>
  <si>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</si>
  <si>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</si>
  <si>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</si>
  <si>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</si>
  <si>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</si>
  <si>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</si>
  <si>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</si>
  <si>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Is the deck neat and tidy? / Палуба содержится в порядке и чистоте?</t>
    </r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</si>
  <si>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</si>
  <si>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</si>
  <si>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251.003</t>
    </r>
  </si>
  <si>
    <r>
      <rPr>
        <sz val="10"/>
        <color indexed="8"/>
        <rFont val="Calibri"/>
        <family val="2"/>
      </rPr>
      <t>Is the deck clean? / Палуба чистая?</t>
    </r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</si>
  <si>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</si>
  <si>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</si>
  <si>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255.004</t>
    </r>
  </si>
  <si>
    <r>
      <rPr>
        <sz val="10"/>
        <color indexed="8"/>
        <rFont val="Calibri"/>
        <family val="2"/>
      </rPr>
      <t>Is the paintwork of the deck in good condition? / Красочное покрытие палубы в хорошем состоянии?</t>
    </r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</si>
  <si>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</si>
  <si>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</si>
  <si>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</si>
  <si>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</si>
  <si>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</si>
  <si>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</si>
  <si>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</si>
  <si>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</si>
  <si>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326</t>
    </r>
  </si>
  <si>
    <r>
      <rPr>
        <sz val="10"/>
        <color indexed="8"/>
        <rFont val="Calibri"/>
        <family val="2"/>
      </rPr>
      <t>Are the railings in good condition? / Леерное ограждение в исправном состоянии?</t>
    </r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</si>
  <si>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</si>
  <si>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</si>
  <si>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327</t>
    </r>
  </si>
  <si>
    <r>
      <rPr>
        <sz val="10"/>
        <color indexed="8"/>
        <rFont val="Calibri"/>
        <family val="2"/>
      </rPr>
      <t>Are any stairs / ring ladders in good condition? / Лестницы, веревочные лестницы в исправном состоянии?</t>
    </r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</si>
  <si>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</si>
  <si>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</si>
  <si>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Are the gratings in good condition? / Решетчатые настилы в исправном состоянии?</t>
    </r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</si>
  <si>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</si>
  <si>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</si>
  <si>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Is the deck neat and tidy? / Палуба содержится в порядке и чистоте?</t>
    </r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</si>
  <si>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</si>
  <si>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</si>
  <si>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251.003</t>
    </r>
  </si>
  <si>
    <r>
      <rPr>
        <sz val="10"/>
        <color indexed="8"/>
        <rFont val="Calibri"/>
        <family val="2"/>
      </rPr>
      <t>Is the deck clean? / Палуба чистая?</t>
    </r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</si>
  <si>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</si>
  <si>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</si>
  <si>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255.004</t>
    </r>
  </si>
  <si>
    <r>
      <rPr>
        <sz val="10"/>
        <color indexed="8"/>
        <rFont val="Calibri"/>
        <family val="2"/>
      </rPr>
      <t>Is the paintwork of the deck in good condition? / Красочное покрытие палубы в хорошем состоянии?</t>
    </r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</si>
  <si>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</si>
  <si>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</si>
  <si>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326</t>
    </r>
  </si>
  <si>
    <r>
      <rPr>
        <sz val="10"/>
        <color indexed="8"/>
        <rFont val="Calibri"/>
        <family val="2"/>
      </rPr>
      <t>Are the railings in good condition? / Леерное ограждение в исправном состоянии?</t>
    </r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</si>
  <si>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</si>
  <si>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</si>
  <si>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327</t>
    </r>
  </si>
  <si>
    <r>
      <rPr>
        <sz val="10"/>
        <color indexed="8"/>
        <rFont val="Calibri"/>
        <family val="2"/>
      </rPr>
      <t>Are any stairs / ring ladders in good condition? / Лестницы, веревочные лестницы в исправном состоянии?</t>
    </r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</si>
  <si>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</si>
  <si>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</si>
  <si>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Are the gratings in good condition? / Решетчатые настилы в исправном состоянии?</t>
    </r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</si>
  <si>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</si>
  <si>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</si>
  <si>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Is the deck neat and tidy? / Палуба содержится в порядке и чистоте?</t>
    </r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</si>
  <si>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</si>
  <si>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</si>
  <si>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251.003</t>
    </r>
  </si>
  <si>
    <r>
      <rPr>
        <sz val="10"/>
        <color indexed="8"/>
        <rFont val="Calibri"/>
        <family val="2"/>
      </rPr>
      <t>Is the deck clean? / Палуба чистая?</t>
    </r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</si>
  <si>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</si>
  <si>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</si>
  <si>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255.004</t>
    </r>
  </si>
  <si>
    <r>
      <rPr>
        <sz val="10"/>
        <color indexed="8"/>
        <rFont val="Calibri"/>
        <family val="2"/>
      </rPr>
      <t>Is the paintwork of the deck in good condition? / Красочное покрытие палубы в хорошем состоянии?</t>
    </r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</si>
  <si>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</si>
  <si>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</si>
  <si>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326</t>
    </r>
  </si>
  <si>
    <r>
      <rPr>
        <sz val="10"/>
        <color indexed="8"/>
        <rFont val="Calibri"/>
        <family val="2"/>
      </rPr>
      <t>Are the railings in good condition? / Леерное ограждение в исправном состоянии?</t>
    </r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</si>
  <si>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</si>
  <si>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</si>
  <si>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327</t>
    </r>
  </si>
  <si>
    <r>
      <rPr>
        <sz val="10"/>
        <color indexed="8"/>
        <rFont val="Calibri"/>
        <family val="2"/>
      </rPr>
      <t>Are any stairs / ring ladders in good condition? / Лестницы, веревочные лестницы в исправном состоянии?</t>
    </r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</si>
  <si>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</si>
  <si>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</si>
  <si>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Are the gratings in good condition? / Решетчатые настилы в исправном состоянии?</t>
    </r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</si>
  <si>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</si>
  <si>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</si>
  <si>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Is the deck neat and tidy? / Палуба содержится в порядке и чистоте?</t>
    </r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</si>
  <si>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</si>
  <si>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</si>
  <si>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251.003</t>
    </r>
  </si>
  <si>
    <r>
      <rPr>
        <sz val="10"/>
        <color indexed="8"/>
        <rFont val="Calibri"/>
        <family val="2"/>
      </rPr>
      <t>Is the deck clean? / Палуба чистая?</t>
    </r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</si>
  <si>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</si>
  <si>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</si>
  <si>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255.004</t>
    </r>
  </si>
  <si>
    <r>
      <rPr>
        <sz val="10"/>
        <color indexed="8"/>
        <rFont val="Calibri"/>
        <family val="2"/>
      </rPr>
      <t>Is the paintwork of the deck in good condition? / Красочное покрытие палубы в хорошем состоянии?</t>
    </r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</si>
  <si>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</si>
  <si>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</si>
  <si>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326</t>
    </r>
  </si>
  <si>
    <r>
      <rPr>
        <sz val="10"/>
        <color indexed="8"/>
        <rFont val="Calibri"/>
        <family val="2"/>
      </rPr>
      <t>Are the railings in good condition? / Леерное ограждение в исправном состоянии?</t>
    </r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</si>
  <si>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</si>
  <si>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</si>
  <si>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327</t>
    </r>
  </si>
  <si>
    <r>
      <rPr>
        <sz val="10"/>
        <color indexed="8"/>
        <rFont val="Calibri"/>
        <family val="2"/>
      </rPr>
      <t>Are any stairs / ring ladders in good condition? / Лестницы, веревочные лестницы в исправном состоянии?</t>
    </r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</si>
  <si>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</si>
  <si>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</si>
  <si>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Are the gratings in good condition? / Решетчатые настилы в исправном состоянии?</t>
    </r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</si>
  <si>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</si>
  <si>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</si>
  <si>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Is the deck neat and tidy? / Палуба содержится в порядке и чистоте?</t>
    </r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</si>
  <si>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</si>
  <si>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</si>
  <si>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251.003</t>
    </r>
  </si>
  <si>
    <r>
      <rPr>
        <sz val="10"/>
        <color indexed="8"/>
        <rFont val="Calibri"/>
        <family val="2"/>
      </rPr>
      <t>Is the deck clean? / Палуба чистая?</t>
    </r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</si>
  <si>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</si>
  <si>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</si>
  <si>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255.004</t>
    </r>
  </si>
  <si>
    <r>
      <rPr>
        <sz val="10"/>
        <color indexed="8"/>
        <rFont val="Calibri"/>
        <family val="2"/>
      </rPr>
      <t>Is the paintwork of the deck in good condition? / Красочное покрытие палубы в хорошем состоянии?</t>
    </r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</si>
  <si>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</si>
  <si>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</si>
  <si>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326</t>
    </r>
  </si>
  <si>
    <r>
      <rPr>
        <sz val="10"/>
        <color indexed="8"/>
        <rFont val="Calibri"/>
        <family val="2"/>
      </rPr>
      <t>Are the railings in good condition? / Леерное ограждение в исправном состоянии?</t>
    </r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</si>
  <si>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</si>
  <si>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</si>
  <si>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327</t>
    </r>
  </si>
  <si>
    <r>
      <rPr>
        <sz val="10"/>
        <color indexed="8"/>
        <rFont val="Calibri"/>
        <family val="2"/>
      </rPr>
      <t>Are any stairs / ring ladders in good condition? / Лестницы, веревочные лестницы в исправном состоянии?</t>
    </r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</si>
  <si>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</si>
  <si>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</si>
  <si>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Are the gratings in good condition? / Решетчатые настилы в исправном состоянии?</t>
    </r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</si>
  <si>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</si>
  <si>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</si>
  <si>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</si>
  <si>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</si>
  <si>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</si>
  <si>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</si>
  <si>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</si>
  <si>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</si>
  <si>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</si>
  <si>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</si>
  <si>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</si>
  <si>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</si>
  <si>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</si>
  <si>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</si>
  <si>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</si>
  <si>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</si>
  <si>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</si>
  <si>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</si>
  <si>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</si>
  <si>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</si>
  <si>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</si>
  <si>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</si>
  <si>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</si>
  <si>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</si>
  <si>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</si>
  <si>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</si>
  <si>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</si>
  <si>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</si>
  <si>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</si>
  <si>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</si>
  <si>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</si>
  <si>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</si>
  <si>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</si>
  <si>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</si>
  <si>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</si>
  <si>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</si>
  <si>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</si>
  <si>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</si>
  <si>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</si>
  <si>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</si>
  <si>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</si>
  <si>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</si>
  <si>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</si>
  <si>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</si>
  <si>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</si>
  <si>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</si>
  <si>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327</t>
    </r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</si>
  <si>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</si>
  <si>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</si>
  <si>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</si>
  <si>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</si>
  <si>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</si>
  <si>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</si>
  <si>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</si>
  <si>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</si>
  <si>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</si>
  <si>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</si>
  <si>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</si>
  <si>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</si>
  <si>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</si>
  <si>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</si>
  <si>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</si>
  <si>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</si>
  <si>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</si>
  <si>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</si>
  <si>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</si>
  <si>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</si>
  <si>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</si>
  <si>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</si>
  <si>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</si>
  <si>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</si>
  <si>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</si>
  <si>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</si>
  <si>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</si>
  <si>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</si>
  <si>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715.008</t>
    </r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</si>
  <si>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</si>
  <si>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</si>
  <si>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</si>
  <si>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</si>
  <si>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</si>
  <si>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</si>
  <si>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</si>
  <si>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</si>
  <si>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</si>
  <si>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</si>
  <si>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</si>
  <si>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</si>
  <si>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</si>
  <si>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</si>
  <si>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</si>
  <si>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</si>
  <si>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</si>
  <si>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</si>
  <si>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</si>
  <si>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</si>
  <si>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X</t>
    </r>
  </si>
  <si>
    <t>q</t>
  </si>
  <si>
    <t xml:space="preserve">No of entries / Кол-во записей: </t>
  </si>
  <si>
    <t xml:space="preserve">No./Нет Yes/Да: </t>
  </si>
  <si>
    <t xml:space="preserve">No./Нет No/Нет: </t>
  </si>
  <si>
    <t>No./Нет N.A./НД:</t>
  </si>
  <si>
    <r>
      <rPr>
        <b/>
        <sz val="11"/>
        <color indexed="8"/>
        <rFont val="Calibri"/>
        <family val="2"/>
      </rPr>
      <t>Eq. Code / Код оборуд.</t>
    </r>
  </si>
  <si>
    <r>
      <rPr>
        <b/>
        <sz val="11"/>
        <color indexed="8"/>
        <rFont val="Calibri"/>
        <family val="2"/>
      </rPr>
      <t>Y/Да</t>
    </r>
  </si>
  <si>
    <r>
      <rPr>
        <b/>
        <sz val="11"/>
        <color indexed="8"/>
        <rFont val="Calibri"/>
        <family val="2"/>
      </rPr>
      <t>N/Нет</t>
    </r>
  </si>
  <si>
    <r>
      <rPr>
        <b/>
        <sz val="11"/>
        <color indexed="8"/>
        <rFont val="Calibri"/>
        <family val="2"/>
      </rPr>
      <t>N.A./НД</t>
    </r>
  </si>
  <si>
    <r>
      <rPr>
        <b/>
        <sz val="11"/>
        <color indexed="8"/>
        <rFont val="Calibri"/>
        <family val="2"/>
      </rPr>
      <t>Weight / Вес</t>
    </r>
  </si>
  <si>
    <r>
      <rPr>
        <b/>
        <sz val="11"/>
        <color indexed="8"/>
        <rFont val="Calibri"/>
        <family val="2"/>
      </rPr>
      <t xml:space="preserve">N.A./НД </t>
    </r>
    <r>
      <rPr>
        <b/>
        <sz val="11"/>
        <color indexed="8"/>
        <rFont val="Calibri"/>
        <family val="2"/>
      </rPr>
      <t>Count / Подсчет</t>
    </r>
  </si>
  <si>
    <r>
      <rPr>
        <b/>
        <sz val="11"/>
        <color indexed="8"/>
        <rFont val="Calibri"/>
        <family val="2"/>
      </rPr>
      <t>Score / Баллы</t>
    </r>
  </si>
  <si>
    <r>
      <rPr>
        <b/>
        <sz val="11"/>
        <color indexed="8"/>
        <rFont val="Calibri"/>
        <family val="2"/>
      </rPr>
      <t>Comments / Замечания</t>
    </r>
  </si>
  <si>
    <r>
      <rPr>
        <b/>
        <sz val="11"/>
        <rFont val="Calibri"/>
        <family val="2"/>
      </rPr>
      <t>Job added in MARAD / Задание внесено в MARAD?</t>
    </r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</si>
  <si>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</si>
  <si>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</si>
  <si>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</si>
  <si>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</si>
  <si>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</si>
  <si>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</si>
  <si>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</si>
  <si>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</si>
  <si>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</si>
  <si>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</si>
  <si>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</si>
  <si>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</si>
  <si>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601.001/ 602.001</t>
    </r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</si>
  <si>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</si>
  <si>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</si>
  <si>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 xml:space="preserve">Towing Wire – visual check / Буксирный трос – визуальный осмотр  </t>
    </r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</si>
  <si>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</si>
  <si>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</si>
  <si>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</si>
  <si>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</si>
  <si>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</si>
  <si>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</si>
  <si>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</si>
  <si>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</si>
  <si>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</si>
  <si>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</si>
  <si>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</si>
  <si>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</si>
  <si>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</si>
  <si>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</si>
  <si>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</si>
  <si>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</si>
  <si>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</si>
  <si>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</si>
  <si>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</si>
  <si>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</si>
  <si>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</si>
  <si>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</si>
  <si>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X</t>
    </r>
  </si>
  <si>
    <t>q</t>
  </si>
  <si>
    <t xml:space="preserve">No of entries / Кол-во записей: </t>
  </si>
  <si>
    <t xml:space="preserve">No./Нет Yes/Да: </t>
  </si>
  <si>
    <t xml:space="preserve">No./Нет No/Нет: </t>
  </si>
  <si>
    <t>No./Нет N.A./НД:</t>
  </si>
  <si>
    <r>
      <rPr>
        <b/>
        <sz val="11"/>
        <color indexed="8"/>
        <rFont val="Calibri"/>
        <family val="2"/>
      </rPr>
      <t>Eq. Code / Код оборуд.</t>
    </r>
  </si>
  <si>
    <r>
      <rPr>
        <b/>
        <sz val="11"/>
        <color indexed="8"/>
        <rFont val="Calibri"/>
        <family val="2"/>
      </rPr>
      <t>Y/Да</t>
    </r>
  </si>
  <si>
    <r>
      <rPr>
        <b/>
        <sz val="11"/>
        <color indexed="8"/>
        <rFont val="Calibri"/>
        <family val="2"/>
      </rPr>
      <t>N/Нет</t>
    </r>
  </si>
  <si>
    <r>
      <rPr>
        <b/>
        <sz val="11"/>
        <color indexed="8"/>
        <rFont val="Calibri"/>
        <family val="2"/>
      </rPr>
      <t>N.A./НД</t>
    </r>
  </si>
  <si>
    <r>
      <rPr>
        <b/>
        <sz val="11"/>
        <color indexed="8"/>
        <rFont val="Calibri"/>
        <family val="2"/>
      </rPr>
      <t>Weight / Вес</t>
    </r>
  </si>
  <si>
    <r>
      <rPr>
        <b/>
        <sz val="11"/>
        <color indexed="8"/>
        <rFont val="Calibri"/>
        <family val="2"/>
      </rPr>
      <t xml:space="preserve">N.A./НД </t>
    </r>
    <r>
      <rPr>
        <b/>
        <sz val="11"/>
        <color indexed="8"/>
        <rFont val="Calibri"/>
        <family val="2"/>
      </rPr>
      <t>Count / Подсчет</t>
    </r>
  </si>
  <si>
    <r>
      <rPr>
        <b/>
        <sz val="11"/>
        <color indexed="8"/>
        <rFont val="Calibri"/>
        <family val="2"/>
      </rPr>
      <t>Score / Баллы</t>
    </r>
  </si>
  <si>
    <r>
      <rPr>
        <b/>
        <sz val="11"/>
        <color indexed="8"/>
        <rFont val="Calibri"/>
        <family val="2"/>
      </rPr>
      <t>Comments / Замечания</t>
    </r>
  </si>
  <si>
    <r>
      <rPr>
        <b/>
        <sz val="11"/>
        <rFont val="Calibri"/>
        <family val="2"/>
      </rPr>
      <t>Job added in MARAD / Задание внесено в MARAD?</t>
    </r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</si>
  <si>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</si>
  <si>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</si>
  <si>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</si>
  <si>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</si>
  <si>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</si>
  <si>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</si>
  <si>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</si>
  <si>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</si>
  <si>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</si>
  <si>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</si>
  <si>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</si>
  <si>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</si>
  <si>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</si>
  <si>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</si>
  <si>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</si>
  <si>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</si>
  <si>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</si>
  <si>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</si>
  <si>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</si>
  <si>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</si>
  <si>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</si>
  <si>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</si>
  <si>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</si>
  <si>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</si>
  <si>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</si>
  <si>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</si>
  <si>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</si>
  <si>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</si>
  <si>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</si>
  <si>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</si>
  <si>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</si>
  <si>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</si>
  <si>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</si>
  <si>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</si>
  <si>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</si>
  <si>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</si>
  <si>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</si>
  <si>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</si>
  <si>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</si>
  <si>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</si>
  <si>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701 t/m 715</t>
    </r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</si>
  <si>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</si>
  <si>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</si>
  <si>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</si>
  <si>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</si>
  <si>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</si>
  <si>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</si>
  <si>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</si>
  <si>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</si>
  <si>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</si>
  <si>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</si>
  <si>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X</t>
    </r>
  </si>
  <si>
    <t>q</t>
  </si>
  <si>
    <t xml:space="preserve">No of entries / Кол-во записей: </t>
  </si>
  <si>
    <t xml:space="preserve">No./Нет Yes/Да: </t>
  </si>
  <si>
    <t xml:space="preserve">No./Нет No/Нет: </t>
  </si>
  <si>
    <t>No./Нет N.A./НД:</t>
  </si>
  <si>
    <r>
      <rPr>
        <b/>
        <sz val="11"/>
        <color indexed="8"/>
        <rFont val="Calibri"/>
        <family val="2"/>
      </rPr>
      <t>Eq. Code / Код оборуд.</t>
    </r>
  </si>
  <si>
    <r>
      <rPr>
        <b/>
        <sz val="11"/>
        <color indexed="8"/>
        <rFont val="Calibri"/>
        <family val="2"/>
      </rPr>
      <t>Checks to be executed / Обязательные проверки</t>
    </r>
  </si>
  <si>
    <r>
      <rPr>
        <b/>
        <sz val="11"/>
        <color indexed="8"/>
        <rFont val="Calibri"/>
        <family val="2"/>
      </rPr>
      <t>Y/Да</t>
    </r>
  </si>
  <si>
    <r>
      <rPr>
        <b/>
        <sz val="11"/>
        <color indexed="8"/>
        <rFont val="Calibri"/>
        <family val="2"/>
      </rPr>
      <t>N/Нет</t>
    </r>
  </si>
  <si>
    <r>
      <rPr>
        <b/>
        <sz val="11"/>
        <color indexed="8"/>
        <rFont val="Calibri"/>
        <family val="2"/>
      </rPr>
      <t>N.A./НД</t>
    </r>
  </si>
  <si>
    <r>
      <rPr>
        <b/>
        <sz val="11"/>
        <color indexed="8"/>
        <rFont val="Calibri"/>
        <family val="2"/>
      </rPr>
      <t>Weight / Вес</t>
    </r>
  </si>
  <si>
    <r>
      <rPr>
        <b/>
        <sz val="11"/>
        <color indexed="8"/>
        <rFont val="Calibri"/>
        <family val="2"/>
      </rPr>
      <t xml:space="preserve">N.A./НД </t>
    </r>
    <r>
      <rPr>
        <b/>
        <sz val="11"/>
        <color indexed="8"/>
        <rFont val="Calibri"/>
        <family val="2"/>
      </rPr>
      <t>Count / Подсчет</t>
    </r>
  </si>
  <si>
    <r>
      <rPr>
        <b/>
        <sz val="11"/>
        <color indexed="8"/>
        <rFont val="Calibri"/>
        <family val="2"/>
      </rPr>
      <t>Score / Баллы</t>
    </r>
  </si>
  <si>
    <r>
      <rPr>
        <b/>
        <sz val="11"/>
        <color indexed="8"/>
        <rFont val="Calibri"/>
        <family val="2"/>
      </rPr>
      <t>Comments / Замечания</t>
    </r>
  </si>
  <si>
    <r>
      <rPr>
        <b/>
        <sz val="11"/>
        <rFont val="Calibri"/>
        <family val="2"/>
      </rPr>
      <t>Job added in MARAD / Задание внесено в MARAD?</t>
    </r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</si>
  <si>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</si>
  <si>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</si>
  <si>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</si>
  <si>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</si>
  <si>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Arial"/>
        <family val="2"/>
      </rPr>
      <t>Is the paintwork in good condition? / Красочное покрытие в хорошем состоянии?</t>
    </r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</si>
  <si>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</si>
  <si>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</si>
  <si>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</si>
  <si>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</si>
  <si>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Arial"/>
        <family val="2"/>
      </rPr>
      <t>871/872</t>
    </r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</si>
  <si>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</si>
  <si>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</si>
  <si>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</si>
  <si>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</si>
  <si>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</si>
  <si>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</si>
  <si>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</si>
  <si>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</si>
  <si>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</si>
  <si>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</si>
  <si>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</si>
  <si>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</si>
  <si>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</si>
  <si>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</si>
  <si>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</si>
  <si>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</si>
  <si>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Arial"/>
        <family val="2"/>
      </rPr>
      <t xml:space="preserve">Is the accommodation neat and tidy? / Жилые помещения содержится в порядке и чистоте? </t>
    </r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</si>
  <si>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</si>
  <si>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</si>
  <si>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Arial"/>
        <family val="2"/>
      </rPr>
      <t>Is the accommodation clean? / Каюты чистые?</t>
    </r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</si>
  <si>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</si>
  <si>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</si>
  <si>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Arial"/>
        <family val="2"/>
      </rPr>
      <t>Is the paintwork in good condition? / Красочное покрытие в хорошем состоянии?</t>
    </r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</si>
  <si>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</si>
  <si>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</si>
  <si>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Arial"/>
        <family val="2"/>
      </rPr>
      <t>Are all floor and wall coverings in good condition? / Покрытие стен и пола в исправном состоянии?</t>
    </r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</si>
  <si>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</si>
  <si>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</si>
  <si>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Arial"/>
        <family val="2"/>
      </rPr>
      <t>871/872</t>
    </r>
  </si>
  <si>
    <r>
      <rPr>
        <sz val="10"/>
        <color indexed="8"/>
        <rFont val="Arial"/>
        <family val="2"/>
      </rPr>
      <t>Do all cabins/public spaces have lights in good working condition? / Во всех каютах/местах общего пользования исправное освещение?</t>
    </r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</si>
  <si>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</si>
  <si>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</si>
  <si>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Arial"/>
        <family val="2"/>
      </rPr>
      <t>Is all cabin/public spaces furniture in good condition? / Во всех каютах/местах общего пользования мебель в исправном состоянии?</t>
    </r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</si>
  <si>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</si>
  <si>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</si>
  <si>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Arial"/>
        <family val="2"/>
      </rPr>
      <t>Are all showers including fittings in good condition? / Все души, включая фитинги, в исправном состоянии?</t>
    </r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</si>
  <si>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</si>
  <si>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</si>
  <si>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Arial"/>
        <family val="2"/>
      </rPr>
      <t>Are all toilets working correctly and in good condition? / Все туалеты работают исправно и в хорошем состоянии?</t>
    </r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</si>
  <si>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</si>
  <si>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</si>
  <si>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Arial"/>
        <family val="2"/>
      </rPr>
      <t>Are all drains in good condition and running freely? / Все сливы в исправном состоянии и не засорены?</t>
    </r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</si>
  <si>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</si>
  <si>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</si>
  <si>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Arial"/>
        <family val="2"/>
      </rPr>
      <t>Are Portholes and windows in good condition? / Иллюминаторы и окна в исправном состоянии?</t>
    </r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</si>
  <si>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</si>
  <si>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</si>
  <si>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Arial"/>
        <family val="2"/>
      </rPr>
      <t>Is the cabin ventilation in good condition? / Вентиляция в каютах в исправном состоянии?</t>
    </r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</si>
  <si>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</si>
  <si>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</si>
  <si>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Arial"/>
        <family val="2"/>
      </rPr>
      <t>Are all doors, hooks and door locks in good condition? / Все двери, крючки и дверные замки в исправном состоянии?</t>
    </r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</si>
  <si>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</si>
  <si>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</si>
  <si>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Arial"/>
        <family val="2"/>
      </rPr>
      <t xml:space="preserve">Is the accommodation neat and tidy? / Жилые помещения содержится в порядке и чистоте? </t>
    </r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</si>
  <si>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</si>
  <si>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</si>
  <si>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Arial"/>
        <family val="2"/>
      </rPr>
      <t>Is the accommodation clean? / Каюты чистые?</t>
    </r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</si>
  <si>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</si>
  <si>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</si>
  <si>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Arial"/>
        <family val="2"/>
      </rPr>
      <t>Is the paintwork in good condition? / Красочное покрытие в хорошем состоянии?</t>
    </r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</si>
  <si>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</si>
  <si>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</si>
  <si>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Arial"/>
        <family val="2"/>
      </rPr>
      <t>Are all floor and wall coverings in good condition? / Покрытие стен и пола в исправном состоянии?</t>
    </r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</si>
  <si>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</si>
  <si>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</si>
  <si>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Arial"/>
        <family val="2"/>
      </rPr>
      <t>871/872</t>
    </r>
  </si>
  <si>
    <r>
      <rPr>
        <sz val="10"/>
        <color indexed="8"/>
        <rFont val="Arial"/>
        <family val="2"/>
      </rPr>
      <t>Do all cabins/public spaces have lights in good working condition? / Во всех каютах/местах общего пользования исправное освещение?</t>
    </r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</si>
  <si>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</si>
  <si>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</si>
  <si>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Arial"/>
        <family val="2"/>
      </rPr>
      <t>Is all cabin/public spaces furniture in good condition? / Во всех каютах/местах общего пользования мебель в исправном состоянии?</t>
    </r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</si>
  <si>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</si>
  <si>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</si>
  <si>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Arial"/>
        <family val="2"/>
      </rPr>
      <t>Are all showers including fittings in good condition? / Все души, включая фитинги, в исправном состоянии?</t>
    </r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</si>
  <si>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</si>
  <si>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</si>
  <si>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Arial"/>
        <family val="2"/>
      </rPr>
      <t>Are all toilets working correctly and in good condition? / Все туалеты работают исправно и в хорошем состоянии?</t>
    </r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</si>
  <si>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</si>
  <si>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</si>
  <si>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Arial"/>
        <family val="2"/>
      </rPr>
      <t>Are all drains in good condition and running freely? / Все сливы в исправном состоянии и не засорены?</t>
    </r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</si>
  <si>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</si>
  <si>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</si>
  <si>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Arial"/>
        <family val="2"/>
      </rPr>
      <t>Are Portholes and windows in good condition? / Иллюминаторы и окна в исправном состоянии?</t>
    </r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</si>
  <si>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</si>
  <si>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</si>
  <si>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Arial"/>
        <family val="2"/>
      </rPr>
      <t>Is the cabin ventilation in good condition? / Вентиляция в каютах в исправном состоянии?</t>
    </r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</si>
  <si>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</si>
  <si>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</si>
  <si>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Arial"/>
        <family val="2"/>
      </rPr>
      <t>Are all doors, hooks and door locks in good condition? / Все двери, крючки и дверные замки в исправном состоянии?</t>
    </r>
  </si>
  <si>
    <r>
      <rPr>
        <sz val="10"/>
        <color indexed="8"/>
        <rFont val="Calibri"/>
        <family val="2"/>
      </rPr>
      <t>X</t>
    </r>
  </si>
  <si>
    <t>q</t>
  </si>
  <si>
    <t xml:space="preserve">No of entries / Кол-во записей: </t>
  </si>
  <si>
    <t xml:space="preserve">No./Нет Yes/Да: </t>
  </si>
  <si>
    <t xml:space="preserve">No./Нет No/Нет: </t>
  </si>
  <si>
    <t>No./Нет N.A./НД:</t>
  </si>
  <si>
    <r>
      <rPr>
        <b/>
        <sz val="11"/>
        <color indexed="8"/>
        <rFont val="Calibri"/>
        <family val="2"/>
      </rPr>
      <t>Eq. Code / Код оборуд.</t>
    </r>
  </si>
  <si>
    <r>
      <rPr>
        <b/>
        <sz val="11"/>
        <color indexed="8"/>
        <rFont val="Calibri"/>
        <family val="2"/>
      </rPr>
      <t>Y/Да</t>
    </r>
  </si>
  <si>
    <r>
      <rPr>
        <b/>
        <sz val="11"/>
        <color indexed="8"/>
        <rFont val="Calibri"/>
        <family val="2"/>
      </rPr>
      <t>N/Нет</t>
    </r>
  </si>
  <si>
    <r>
      <rPr>
        <b/>
        <sz val="11"/>
        <color indexed="8"/>
        <rFont val="Calibri"/>
        <family val="2"/>
      </rPr>
      <t>N.A./НД</t>
    </r>
  </si>
  <si>
    <r>
      <rPr>
        <b/>
        <sz val="11"/>
        <color indexed="8"/>
        <rFont val="Calibri"/>
        <family val="2"/>
      </rPr>
      <t>Weight / Вес</t>
    </r>
  </si>
  <si>
    <r>
      <rPr>
        <b/>
        <sz val="11"/>
        <color indexed="8"/>
        <rFont val="Calibri"/>
        <family val="2"/>
      </rPr>
      <t xml:space="preserve">N.A./НД </t>
    </r>
    <r>
      <rPr>
        <b/>
        <sz val="11"/>
        <color indexed="8"/>
        <rFont val="Calibri"/>
        <family val="2"/>
      </rPr>
      <t>Count / Подсчет</t>
    </r>
  </si>
  <si>
    <r>
      <rPr>
        <b/>
        <sz val="11"/>
        <color indexed="8"/>
        <rFont val="Calibri"/>
        <family val="2"/>
      </rPr>
      <t>Score / Баллы</t>
    </r>
  </si>
  <si>
    <r>
      <rPr>
        <b/>
        <sz val="11"/>
        <color indexed="8"/>
        <rFont val="Calibri"/>
        <family val="2"/>
      </rPr>
      <t>Comments / Замечания</t>
    </r>
  </si>
  <si>
    <r>
      <rPr>
        <b/>
        <sz val="11"/>
        <rFont val="Calibri"/>
        <family val="2"/>
      </rPr>
      <t>Job added in MARAD / Задание внесено в MARAD?</t>
    </r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</si>
  <si>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</si>
  <si>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</si>
  <si>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</si>
  <si>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</si>
  <si>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Arial"/>
        <family val="2"/>
      </rPr>
      <t>Is the paintwork in good condition? / Красочное покрытие в хорошем состоянии?</t>
    </r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</si>
  <si>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</si>
  <si>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</si>
  <si>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</si>
  <si>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</si>
  <si>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871/872</t>
    </r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</si>
  <si>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</si>
  <si>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</si>
  <si>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</si>
  <si>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</si>
  <si>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</si>
  <si>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</si>
  <si>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</si>
  <si>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</si>
  <si>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</si>
  <si>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</si>
  <si>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</si>
  <si>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</si>
  <si>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</si>
  <si>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</si>
  <si>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</si>
  <si>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</si>
  <si>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X</t>
    </r>
  </si>
  <si>
    <t>q</t>
  </si>
  <si>
    <t>q</t>
  </si>
  <si>
    <r>
      <rPr>
        <sz val="10"/>
        <color indexed="8"/>
        <rFont val="Calibri"/>
        <family val="2"/>
      </rPr>
      <t>871/872</t>
    </r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</si>
  <si>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</si>
  <si>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</si>
  <si>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</si>
  <si>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</si>
  <si>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</si>
  <si>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</si>
  <si>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</si>
  <si>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</si>
  <si>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</si>
  <si>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</si>
  <si>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</si>
  <si>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</si>
  <si>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</si>
  <si>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</si>
  <si>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</si>
  <si>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</si>
  <si>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871/872</t>
    </r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</si>
  <si>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</si>
  <si>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</si>
  <si>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</si>
  <si>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</si>
  <si>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</si>
  <si>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</si>
  <si>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Calibri"/>
        <family val="2"/>
      </rPr>
      <t>X</t>
    </r>
  </si>
  <si>
    <t>q</t>
  </si>
  <si>
    <r>
      <rPr>
        <sz val="10"/>
        <color indexed="8"/>
        <rFont val="Arial"/>
        <family val="2"/>
      </rPr>
      <t>Are the doors and locks in good condition? / Двери и замки в исправном состоянии?</t>
    </r>
  </si>
  <si>
    <r>
      <rPr>
        <sz val="10"/>
        <color indexed="8"/>
        <rFont val="Calibri"/>
        <family val="2"/>
      </rPr>
      <t>X</t>
    </r>
  </si>
  <si>
    <t>q</t>
  </si>
  <si>
    <t xml:space="preserve">No of entries / Кол-во записей: </t>
  </si>
  <si>
    <t xml:space="preserve">No./Нет Yes/Да: </t>
  </si>
  <si>
    <t xml:space="preserve">No./Нет No/Нет: </t>
  </si>
  <si>
    <t>No./Нет N.A./НД:</t>
  </si>
  <si>
    <r>
      <rPr>
        <b/>
        <sz val="11"/>
        <color indexed="8"/>
        <rFont val="Calibri"/>
        <family val="2"/>
      </rPr>
      <t>Eq. Code / Код оборуд.</t>
    </r>
  </si>
  <si>
    <r>
      <rPr>
        <b/>
        <sz val="11"/>
        <color indexed="8"/>
        <rFont val="Calibri"/>
        <family val="2"/>
      </rPr>
      <t>Y/Да</t>
    </r>
  </si>
  <si>
    <r>
      <rPr>
        <b/>
        <sz val="11"/>
        <color indexed="8"/>
        <rFont val="Calibri"/>
        <family val="2"/>
      </rPr>
      <t>N/Нет</t>
    </r>
  </si>
  <si>
    <r>
      <rPr>
        <b/>
        <sz val="11"/>
        <color indexed="8"/>
        <rFont val="Calibri"/>
        <family val="2"/>
      </rPr>
      <t>N.A./НД</t>
    </r>
  </si>
  <si>
    <r>
      <rPr>
        <b/>
        <sz val="11"/>
        <color indexed="8"/>
        <rFont val="Calibri"/>
        <family val="2"/>
      </rPr>
      <t>Weight / Вес</t>
    </r>
  </si>
  <si>
    <r>
      <rPr>
        <b/>
        <sz val="11"/>
        <color indexed="8"/>
        <rFont val="Calibri"/>
        <family val="2"/>
      </rPr>
      <t xml:space="preserve">N.A./НД </t>
    </r>
    <r>
      <rPr>
        <b/>
        <sz val="11"/>
        <color indexed="8"/>
        <rFont val="Calibri"/>
        <family val="2"/>
      </rPr>
      <t>Count / Подсчет</t>
    </r>
  </si>
  <si>
    <r>
      <rPr>
        <b/>
        <sz val="11"/>
        <color indexed="8"/>
        <rFont val="Calibri"/>
        <family val="2"/>
      </rPr>
      <t>Score / Баллы</t>
    </r>
  </si>
  <si>
    <r>
      <rPr>
        <b/>
        <sz val="11"/>
        <color indexed="8"/>
        <rFont val="Calibri"/>
        <family val="2"/>
      </rPr>
      <t>Comments / Замечания</t>
    </r>
  </si>
  <si>
    <r>
      <rPr>
        <b/>
        <sz val="11"/>
        <rFont val="Calibri"/>
        <family val="2"/>
      </rPr>
      <t>Job added in MARAD / Задание внесено в MARAD?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</si>
  <si>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</si>
  <si>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</si>
  <si>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</si>
  <si>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</si>
  <si>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</si>
  <si>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</si>
  <si>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</si>
  <si>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</si>
  <si>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871/872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</si>
  <si>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</si>
  <si>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</si>
  <si>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</si>
  <si>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</si>
  <si>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</si>
  <si>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</si>
  <si>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</si>
  <si>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</si>
  <si>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</si>
  <si>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</si>
  <si>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</si>
  <si>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</si>
  <si>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871/872</t>
    </r>
  </si>
  <si>
    <r>
      <rPr>
        <sz val="10"/>
        <color indexed="8"/>
        <rFont val="Calibri"/>
        <family val="2"/>
      </rPr>
      <t>X</t>
    </r>
  </si>
  <si>
    <r>
      <rPr>
        <sz val="11"/>
        <color theme="1"/>
        <rFont val="Calibri"/>
        <family val="2"/>
        <scheme val="minor"/>
      </rPr>
      <t>q</t>
    </r>
  </si>
  <si>
    <r>
      <rPr>
        <sz val="10"/>
        <color indexed="8"/>
        <rFont val="Calibri"/>
        <family val="2"/>
      </rPr>
      <t>X</t>
    </r>
  </si>
  <si>
    <r>
      <t xml:space="preserve">EEBD Sets (service duration 10 minutes, amount and location to be displayed on fire control plan)  – check 
</t>
    </r>
    <r>
      <rPr>
        <sz val="10"/>
        <color indexed="10"/>
        <rFont val="Calibri"/>
        <family val="2"/>
      </rPr>
      <t>Note:</t>
    </r>
    <r>
      <rPr>
        <sz val="10"/>
        <color indexed="8"/>
        <rFont val="Calibri"/>
        <family val="2"/>
      </rPr>
      <t xml:space="preserve"> for Australia DCV vessels &lt; 35 meters, no EEBD's required!</t>
    </r>
    <r>
      <rPr>
        <sz val="11"/>
        <color theme="1"/>
        <rFont val="Calibri"/>
        <family val="2"/>
        <scheme val="minor"/>
      </rPr>
      <t xml:space="preserve"> / Комплекты АСДА (срок работы 10 минут, кол-во и местонахождение д.б. указано в плане борьбы с пожаром) – проверить
 </t>
    </r>
    <r>
      <rPr>
        <sz val="11"/>
        <color indexed="10"/>
        <rFont val="Calibri"/>
        <family val="2"/>
        <charset val="204"/>
      </rPr>
      <t>Примечание</t>
    </r>
    <r>
      <rPr>
        <sz val="11"/>
        <color theme="1"/>
        <rFont val="Calibri"/>
        <family val="2"/>
        <scheme val="minor"/>
      </rPr>
      <t>: для австралийских глубоководных строительных судов &lt; 35 метров, АСДА не требуются!</t>
    </r>
  </si>
  <si>
    <t>N.A./
НД</t>
  </si>
  <si>
    <t>Job added in MARAD / 
Задание внесено в MARAD?</t>
  </si>
  <si>
    <t>Checks to be executed / 
Обязательные проверки</t>
  </si>
  <si>
    <t>Checks to be executed /
 Обязательные проверки</t>
  </si>
  <si>
    <r>
      <t>Are the cable penetrations in good condition? / Кабельные проход</t>
    </r>
    <r>
      <rPr>
        <sz val="10"/>
        <color rgb="FFFF0000"/>
        <rFont val="Calibri"/>
        <family val="2"/>
        <charset val="204"/>
      </rPr>
      <t xml:space="preserve">ы </t>
    </r>
    <r>
      <rPr>
        <sz val="10"/>
        <color indexed="8"/>
        <rFont val="Calibri"/>
        <family val="2"/>
      </rPr>
      <t>в исправном состоянии?</t>
    </r>
  </si>
  <si>
    <t>Are the Clutches in good working condition? - operational test / Кулачные муфты в исправном рабочем состоянии? - рабочее испытание</t>
  </si>
  <si>
    <r>
      <t>Are the Clutches in good working condition? - operational test / Кулачные муфты</t>
    </r>
    <r>
      <rPr>
        <sz val="10"/>
        <color indexed="8"/>
        <rFont val="Calibri"/>
        <family val="2"/>
      </rPr>
      <t xml:space="preserve"> в исправном рабочем состоянии? - рабочее испытание</t>
    </r>
  </si>
  <si>
    <r>
      <t xml:space="preserve">Are the Clutches in good working condition? - operational test / Кулачные муфты </t>
    </r>
    <r>
      <rPr>
        <sz val="10"/>
        <color indexed="8"/>
        <rFont val="Calibri"/>
        <family val="2"/>
      </rPr>
      <t>в исправном рабочем состоянии? - рабочее испытание</t>
    </r>
  </si>
  <si>
    <t>Last Inspection / Последняя инспекция</t>
  </si>
  <si>
    <r>
      <rPr>
        <b/>
        <sz val="11"/>
        <color indexed="8"/>
        <rFont val="Calibri"/>
        <family val="2"/>
      </rPr>
      <t xml:space="preserve">and click the </t>
    </r>
    <r>
      <rPr>
        <b/>
        <sz val="11"/>
        <color indexed="10"/>
        <rFont val="Calibri"/>
        <family val="2"/>
      </rPr>
      <t>[Add Job]</t>
    </r>
    <r>
      <rPr>
        <b/>
        <sz val="11"/>
        <color indexed="8"/>
        <rFont val="Calibri"/>
        <family val="2"/>
      </rPr>
      <t xml:space="preserve"> button. You can copy / paste the text from this Excel sheet into MARAD.</t>
    </r>
    <r>
      <rPr>
        <sz val="11"/>
        <color theme="1"/>
        <rFont val="Calibri"/>
        <family val="2"/>
        <scheme val="minor"/>
      </rPr>
      <t xml:space="preserve"> / </t>
    </r>
    <r>
      <rPr>
        <b/>
        <sz val="11"/>
        <color indexed="8"/>
        <rFont val="Calibri"/>
        <family val="2"/>
        <charset val="204"/>
      </rPr>
      <t>Добавить замечания по инспекции в MARAD с-но заданию на РЕМОНТ или ПОСТАНОВКУ В СУХОЙ ДОК</t>
    </r>
    <r>
      <rPr>
        <sz val="11"/>
        <color theme="1"/>
        <rFont val="Calibri"/>
        <family val="2"/>
        <scheme val="minor"/>
      </rPr>
      <t xml:space="preserve">. </t>
    </r>
    <r>
      <rPr>
        <b/>
        <sz val="11"/>
        <rFont val="Calibri"/>
        <family val="2"/>
        <charset val="204"/>
      </rPr>
      <t xml:space="preserve">Для этого перейдите в раздел оборудования в MARAD и нажмите на кнопку </t>
    </r>
    <r>
      <rPr>
        <b/>
        <sz val="11"/>
        <color indexed="10"/>
        <rFont val="Calibri"/>
        <family val="2"/>
        <charset val="204"/>
      </rPr>
      <t>[Add Job] (добавить задание)</t>
    </r>
    <r>
      <rPr>
        <b/>
        <sz val="11"/>
        <rFont val="Calibri"/>
        <family val="2"/>
        <charset val="204"/>
      </rPr>
      <t>. Вы можете скопировать и вставить текст из данного файла Excel.</t>
    </r>
  </si>
  <si>
    <t xml:space="preserve">Inspection Remarks / Замечания по инспекции: </t>
  </si>
  <si>
    <t>VESSEL INSPECTION CHECKLIST / 
КОНТРОЛЬНЫЙ ПЕРЕЧЕНЬ ИНСПЕКЦИИ СУДНА</t>
  </si>
  <si>
    <t>Is the last Vessel Inspection Checklist on board? / Имеется на борту контрольный перечень инспекции судна?</t>
  </si>
  <si>
    <t>Are the non conformities of the last vessel inspection solved? / Решены несоответствия, выявленные по итогам последней инспекции судна?</t>
  </si>
  <si>
    <r>
      <t xml:space="preserve">Sounding pipes and filling connections / </t>
    </r>
    <r>
      <rPr>
        <sz val="10"/>
        <color theme="1"/>
        <rFont val="Calibri"/>
        <family val="2"/>
        <charset val="204"/>
      </rPr>
      <t>Замерные трубы и бункерные соединения</t>
    </r>
  </si>
  <si>
    <r>
      <t xml:space="preserve">Vent heads / </t>
    </r>
    <r>
      <rPr>
        <sz val="10"/>
        <color theme="1"/>
        <rFont val="Calibri"/>
        <family val="2"/>
        <charset val="204"/>
      </rPr>
      <t>Ветиляционные головки</t>
    </r>
  </si>
  <si>
    <r>
      <t xml:space="preserve">Nozzles (dual purpose type) / </t>
    </r>
    <r>
      <rPr>
        <sz val="10"/>
        <color theme="1"/>
        <rFont val="Calibri"/>
        <family val="2"/>
        <charset val="204"/>
      </rPr>
      <t xml:space="preserve">Распылители </t>
    </r>
    <r>
      <rPr>
        <sz val="10"/>
        <color indexed="8"/>
        <rFont val="Calibri"/>
        <family val="2"/>
      </rPr>
      <t>(двойного назначения)</t>
    </r>
  </si>
  <si>
    <r>
      <t xml:space="preserve">A/C compressor room / </t>
    </r>
    <r>
      <rPr>
        <sz val="10"/>
        <color theme="1"/>
        <rFont val="Calibri"/>
        <family val="2"/>
        <charset val="204"/>
      </rPr>
      <t xml:space="preserve">Помещение </t>
    </r>
    <r>
      <rPr>
        <sz val="10"/>
        <color indexed="8"/>
        <rFont val="Calibri"/>
        <family val="2"/>
      </rPr>
      <t xml:space="preserve">кондиционирования воздуха  </t>
    </r>
  </si>
  <si>
    <r>
      <t xml:space="preserve">Anchor washing installation / Установка </t>
    </r>
    <r>
      <rPr>
        <sz val="10"/>
        <color theme="1"/>
        <rFont val="Calibri"/>
        <family val="2"/>
        <charset val="204"/>
      </rPr>
      <t xml:space="preserve">обмыва </t>
    </r>
    <r>
      <rPr>
        <sz val="10"/>
        <color indexed="8"/>
        <rFont val="Calibri"/>
        <family val="2"/>
      </rPr>
      <t xml:space="preserve">якоря </t>
    </r>
  </si>
  <si>
    <r>
      <t xml:space="preserve">Dispersant booms / Боны </t>
    </r>
    <r>
      <rPr>
        <sz val="10"/>
        <color theme="1"/>
        <rFont val="Calibri"/>
        <family val="2"/>
        <charset val="204"/>
      </rPr>
      <t>для сбора дисперсанта</t>
    </r>
  </si>
  <si>
    <r>
      <t>Cable penetrations / Кабельные про</t>
    </r>
    <r>
      <rPr>
        <sz val="10"/>
        <color theme="1"/>
        <rFont val="Calibri"/>
        <family val="2"/>
        <charset val="204"/>
      </rPr>
      <t>ходы</t>
    </r>
  </si>
  <si>
    <r>
      <t xml:space="preserve">FWD Towing winch – operational test winch and brakes and emergency release / </t>
    </r>
    <r>
      <rPr>
        <sz val="10"/>
        <color theme="1"/>
        <rFont val="Calibri"/>
        <family val="2"/>
        <charset val="204"/>
      </rPr>
      <t xml:space="preserve">Носовая буксировочная лебёдка </t>
    </r>
    <r>
      <rPr>
        <sz val="10"/>
        <color indexed="8"/>
        <rFont val="Calibri"/>
        <family val="2"/>
      </rPr>
      <t>– рабочее испытание лебедки и тормозов и аварийной отдачи</t>
    </r>
  </si>
  <si>
    <r>
      <t xml:space="preserve">AFT Towing winch – operational test winch and brakes and emergency release / </t>
    </r>
    <r>
      <rPr>
        <sz val="10"/>
        <color theme="1"/>
        <rFont val="Calibri"/>
        <family val="2"/>
        <charset val="204"/>
      </rPr>
      <t xml:space="preserve">Кормовая буксировочная лебёдка  </t>
    </r>
    <r>
      <rPr>
        <sz val="10"/>
        <color indexed="8"/>
        <rFont val="Calibri"/>
        <family val="2"/>
      </rPr>
      <t>– рабочее испытание лебедки и тормозов и аварийной отдачи</t>
    </r>
  </si>
  <si>
    <r>
      <t xml:space="preserve">Anchor Handling winch – operational test winch and brakes and emergency release / </t>
    </r>
    <r>
      <rPr>
        <sz val="10"/>
        <color theme="1"/>
        <rFont val="Calibri"/>
        <family val="2"/>
        <charset val="204"/>
      </rPr>
      <t xml:space="preserve">Якорная лебёдка </t>
    </r>
    <r>
      <rPr>
        <sz val="10"/>
        <color indexed="8"/>
        <rFont val="Calibri"/>
        <family val="2"/>
      </rPr>
      <t>– рабочее испытание лебедки и тормозов и аварийной отдачи</t>
    </r>
  </si>
  <si>
    <r>
      <t xml:space="preserve">Are the Gearboxes in good working condition? - operational test / </t>
    </r>
    <r>
      <rPr>
        <sz val="10"/>
        <color theme="1"/>
        <rFont val="Calibri"/>
        <family val="2"/>
        <charset val="204"/>
      </rPr>
      <t xml:space="preserve">Редуктора </t>
    </r>
    <r>
      <rPr>
        <sz val="10"/>
        <color indexed="8"/>
        <rFont val="Calibri"/>
        <family val="2"/>
      </rPr>
      <t>в исправном рабочем состоянии? - рабочее испытание</t>
    </r>
  </si>
  <si>
    <r>
      <t xml:space="preserve">Are the Gearboxes in good working condition? – operational test / </t>
    </r>
    <r>
      <rPr>
        <sz val="10"/>
        <color theme="1"/>
        <rFont val="Calibri"/>
        <family val="2"/>
        <charset val="204"/>
      </rPr>
      <t xml:space="preserve">Редуктора </t>
    </r>
    <r>
      <rPr>
        <sz val="10"/>
        <color indexed="8"/>
        <rFont val="Calibri"/>
        <family val="2"/>
      </rPr>
      <t>в исправном рабочем состоянии? - рабочее испытание</t>
    </r>
  </si>
  <si>
    <r>
      <t xml:space="preserve"> Air receivers / </t>
    </r>
    <r>
      <rPr>
        <sz val="10"/>
        <color theme="1"/>
        <rFont val="Calibri"/>
        <family val="2"/>
        <charset val="204"/>
      </rPr>
      <t xml:space="preserve">Воздухохранители </t>
    </r>
  </si>
  <si>
    <r>
      <t xml:space="preserve">Are the Batteries in good working condition? – operational test / </t>
    </r>
    <r>
      <rPr>
        <sz val="10"/>
        <color theme="1"/>
        <rFont val="Calibri"/>
        <family val="2"/>
        <charset val="204"/>
      </rPr>
      <t xml:space="preserve">Аккумуляторы </t>
    </r>
    <r>
      <rPr>
        <sz val="10"/>
        <color indexed="8"/>
        <rFont val="Calibri"/>
        <family val="2"/>
      </rPr>
      <t>в исправном рабочем состоянии? – рабочие испытания</t>
    </r>
  </si>
  <si>
    <r>
      <t xml:space="preserve">Battery boxes + markings / Аккумуляторные </t>
    </r>
    <r>
      <rPr>
        <sz val="10"/>
        <color theme="1"/>
        <rFont val="Calibri"/>
        <family val="2"/>
        <charset val="204"/>
      </rPr>
      <t xml:space="preserve">ящики </t>
    </r>
    <r>
      <rPr>
        <sz val="10"/>
        <color indexed="8"/>
        <rFont val="Calibri"/>
        <family val="2"/>
      </rPr>
      <t xml:space="preserve"> + маркировки</t>
    </r>
  </si>
  <si>
    <r>
      <t xml:space="preserve">Sewage (black water holding) tanks – open and inspect when possible / </t>
    </r>
    <r>
      <rPr>
        <sz val="10"/>
        <color theme="1"/>
        <rFont val="Calibri"/>
        <family val="2"/>
        <charset val="204"/>
      </rPr>
      <t xml:space="preserve">Фекальные </t>
    </r>
    <r>
      <rPr>
        <sz val="10"/>
        <color indexed="8"/>
        <rFont val="Calibri"/>
        <family val="2"/>
      </rPr>
      <t xml:space="preserve">танки – открыть и осмотреть по возможности </t>
    </r>
  </si>
  <si>
    <t>Lifejackets, check amount, condition and markings / Спасательные жилеты, проверить кол-во, состояние и маркировку</t>
  </si>
  <si>
    <t>VESSEL INSPECTION CHECKLIST / 
КОНТРОЛЬНЫЙ ЛИСТ ИНСПЕКЦИИ СУДНА</t>
  </si>
  <si>
    <t>BL_FRM-ALL-04-4004-001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</si>
</sst>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;@"/>
  </numFmts>
  <fonts count="41" x14ac:knownFonts="1">
    <font>
      <sz val="11"/>
      <color theme="1"/>
      <name val="Calibri"/>
      <family val="2"/>
      <scheme val="minor"/>
    </font>
    <font>
      <sz val="9"/>
      <color indexed="8"/>
      <name val="Calibri"/>
      <family val="2"/>
    </font>
    <font>
      <sz val="10"/>
      <color indexed="8"/>
      <name val="Calibri"/>
      <family val="2"/>
    </font>
    <font>
      <b/>
      <sz val="10"/>
      <color indexed="8"/>
      <name val="Calibri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Calibri"/>
      <family val="2"/>
    </font>
    <font>
      <b/>
      <sz val="11"/>
      <color indexed="8"/>
      <name val="Calibri"/>
      <family val="2"/>
    </font>
    <font>
      <b/>
      <sz val="10"/>
      <color indexed="8"/>
      <name val="Calibri"/>
      <family val="2"/>
    </font>
    <font>
      <sz val="9"/>
      <color indexed="8"/>
      <name val="Arial"/>
      <family val="2"/>
    </font>
    <font>
      <sz val="9"/>
      <color indexed="8"/>
      <name val="Arial"/>
      <family val="2"/>
    </font>
    <font>
      <b/>
      <sz val="12"/>
      <color indexed="8"/>
      <name val="Calibri"/>
      <family val="2"/>
    </font>
    <font>
      <sz val="11"/>
      <color indexed="23"/>
      <name val="Calibri"/>
      <family val="2"/>
    </font>
    <font>
      <b/>
      <sz val="11"/>
      <color indexed="8"/>
      <name val="Calibri"/>
      <family val="2"/>
    </font>
    <font>
      <sz val="11"/>
      <color indexed="8"/>
      <name val="Calibri"/>
      <family val="2"/>
    </font>
    <font>
      <b/>
      <sz val="18"/>
      <color indexed="8"/>
      <name val="Calibri"/>
      <family val="2"/>
    </font>
    <font>
      <sz val="20"/>
      <color indexed="8"/>
      <name val="Calibri"/>
      <family val="2"/>
    </font>
    <font>
      <b/>
      <sz val="20"/>
      <color indexed="8"/>
      <name val="Calibri"/>
      <family val="2"/>
    </font>
    <font>
      <sz val="22"/>
      <color indexed="8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</font>
    <font>
      <b/>
      <sz val="11"/>
      <color indexed="10"/>
      <name val="Calibri"/>
      <family val="2"/>
    </font>
    <font>
      <b/>
      <u/>
      <sz val="11"/>
      <color indexed="10"/>
      <name val="Calibri"/>
      <family val="2"/>
    </font>
    <font>
      <b/>
      <sz val="11"/>
      <name val="Calibri"/>
      <family val="2"/>
    </font>
    <font>
      <sz val="11"/>
      <color indexed="10"/>
      <name val="Calibri"/>
      <family val="2"/>
    </font>
    <font>
      <b/>
      <sz val="16"/>
      <color indexed="8"/>
      <name val="Calibri"/>
      <family val="2"/>
    </font>
    <font>
      <sz val="10"/>
      <color indexed="10"/>
      <name val="Calibri"/>
      <family val="2"/>
    </font>
    <font>
      <i/>
      <sz val="11"/>
      <color indexed="10"/>
      <name val="Calibri"/>
      <family val="2"/>
    </font>
    <font>
      <b/>
      <vertAlign val="subscript"/>
      <sz val="10"/>
      <color indexed="8"/>
      <name val="Calibri"/>
      <family val="2"/>
    </font>
    <font>
      <b/>
      <sz val="11"/>
      <name val="Calibri"/>
      <family val="2"/>
      <charset val="204"/>
    </font>
    <font>
      <b/>
      <i/>
      <sz val="11"/>
      <color indexed="10"/>
      <name val="Calibri"/>
      <family val="2"/>
    </font>
    <font>
      <sz val="11"/>
      <color indexed="10"/>
      <name val="Calibri"/>
      <family val="2"/>
      <charset val="204"/>
    </font>
    <font>
      <b/>
      <sz val="11"/>
      <color indexed="8"/>
      <name val="Calibri"/>
      <family val="2"/>
      <charset val="204"/>
    </font>
    <font>
      <b/>
      <sz val="11"/>
      <color indexed="10"/>
      <name val="Calibri"/>
      <family val="2"/>
      <charset val="204"/>
    </font>
    <font>
      <sz val="10"/>
      <color rgb="FFFF0000"/>
      <name val="Calibri"/>
      <family val="2"/>
      <charset val="204"/>
    </font>
    <font>
      <sz val="10"/>
      <color theme="1"/>
      <name val="Calibri"/>
      <family val="2"/>
      <charset val="204"/>
    </font>
    <font>
      <sz val="20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b/>
      <sz val="22"/>
      <color indexed="8"/>
      <name val="Calibri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 tint="-0.14999847407452621"/>
        <bgColor indexed="64"/>
      </patternFill>
    </fill>
  </fills>
  <borders count="2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thin">
        <color indexed="64"/>
      </bottom>
      <diagonal/>
    </border>
    <border>
      <left/>
      <right/>
      <top style="dotted">
        <color indexed="64"/>
      </top>
      <bottom style="thin">
        <color indexed="64"/>
      </bottom>
      <diagonal/>
    </border>
    <border>
      <left/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4" fillId="0" borderId="0" applyFont="0" applyFill="0" applyBorder="0" applyAlignment="0" applyProtection="0"/>
  </cellStyleXfs>
  <cellXfs count="233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0" fillId="0" borderId="0" xfId="0" applyAlignment="1">
      <alignment horizontal="right"/>
    </xf>
    <xf numFmtId="0" fontId="0" fillId="2" borderId="0" xfId="0" applyFill="1" applyAlignment="1">
      <alignment horizontal="right"/>
    </xf>
    <xf numFmtId="0" fontId="0" fillId="2" borderId="0" xfId="0" applyFill="1" applyAlignment="1">
      <alignment horizontal="center"/>
    </xf>
    <xf numFmtId="0" fontId="3" fillId="3" borderId="2" xfId="0" applyFont="1" applyFill="1" applyBorder="1" applyAlignment="1">
      <alignment vertical="center" wrapText="1"/>
    </xf>
    <xf numFmtId="0" fontId="6" fillId="0" borderId="2" xfId="0" applyFont="1" applyBorder="1" applyAlignment="1">
      <alignment vertical="center" wrapText="1"/>
    </xf>
    <xf numFmtId="0" fontId="8" fillId="3" borderId="2" xfId="0" applyFont="1" applyFill="1" applyBorder="1" applyAlignment="1">
      <alignment vertical="center" wrapText="1"/>
    </xf>
    <xf numFmtId="0" fontId="0" fillId="0" borderId="0" xfId="0" applyFill="1" applyAlignment="1">
      <alignment horizontal="center"/>
    </xf>
    <xf numFmtId="0" fontId="11" fillId="0" borderId="1" xfId="0" applyFont="1" applyBorder="1" applyAlignment="1" applyProtection="1">
      <alignment horizontal="left" vertical="top"/>
      <protection locked="0"/>
    </xf>
    <xf numFmtId="0" fontId="11" fillId="0" borderId="1" xfId="0" applyFont="1" applyFill="1" applyBorder="1" applyAlignment="1" applyProtection="1">
      <alignment horizontal="left" vertical="top"/>
      <protection locked="0"/>
    </xf>
    <xf numFmtId="0" fontId="2" fillId="0" borderId="2" xfId="0" applyFont="1" applyFill="1" applyBorder="1" applyAlignment="1">
      <alignment vertical="center" wrapText="1"/>
    </xf>
    <xf numFmtId="0" fontId="0" fillId="0" borderId="0" xfId="0" applyProtection="1"/>
    <xf numFmtId="0" fontId="0" fillId="0" borderId="0" xfId="0" applyAlignment="1" applyProtection="1">
      <alignment horizontal="center"/>
    </xf>
    <xf numFmtId="0" fontId="0" fillId="0" borderId="0" xfId="0" applyAlignment="1" applyProtection="1">
      <alignment wrapText="1"/>
    </xf>
    <xf numFmtId="0" fontId="0" fillId="0" borderId="0" xfId="0" applyAlignment="1" applyProtection="1">
      <alignment horizontal="right"/>
    </xf>
    <xf numFmtId="0" fontId="0" fillId="2" borderId="0" xfId="0" applyFill="1" applyAlignment="1" applyProtection="1">
      <alignment horizontal="right"/>
    </xf>
    <xf numFmtId="0" fontId="0" fillId="2" borderId="0" xfId="0" applyFill="1" applyAlignment="1" applyProtection="1">
      <alignment horizontal="center"/>
    </xf>
    <xf numFmtId="0" fontId="2" fillId="0" borderId="2" xfId="0" applyFont="1" applyBorder="1" applyAlignment="1" applyProtection="1">
      <alignment horizontal="left" vertical="top" wrapText="1"/>
    </xf>
    <xf numFmtId="0" fontId="6" fillId="0" borderId="2" xfId="0" applyFont="1" applyBorder="1" applyAlignment="1" applyProtection="1">
      <alignment horizontal="left" vertical="top" wrapText="1"/>
    </xf>
    <xf numFmtId="0" fontId="0" fillId="0" borderId="0" xfId="0" applyFill="1" applyProtection="1"/>
    <xf numFmtId="0" fontId="1" fillId="0" borderId="2" xfId="0" applyFont="1" applyBorder="1" applyAlignment="1" applyProtection="1">
      <alignment horizontal="left" vertical="top" wrapText="1"/>
    </xf>
    <xf numFmtId="0" fontId="0" fillId="0" borderId="0" xfId="0" applyBorder="1" applyProtection="1"/>
    <xf numFmtId="0" fontId="0" fillId="0" borderId="0" xfId="0" applyFill="1" applyAlignment="1" applyProtection="1">
      <alignment horizontal="center"/>
    </xf>
    <xf numFmtId="49" fontId="3" fillId="3" borderId="2" xfId="0" applyNumberFormat="1" applyFont="1" applyFill="1" applyBorder="1" applyAlignment="1" applyProtection="1">
      <alignment vertical="center" wrapText="1"/>
    </xf>
    <xf numFmtId="0" fontId="3" fillId="3" borderId="2" xfId="0" applyFont="1" applyFill="1" applyBorder="1" applyAlignment="1" applyProtection="1">
      <alignment vertical="center" wrapText="1"/>
    </xf>
    <xf numFmtId="49" fontId="2" fillId="0" borderId="2" xfId="0" applyNumberFormat="1" applyFont="1" applyBorder="1" applyAlignment="1" applyProtection="1">
      <alignment vertical="center" wrapText="1"/>
    </xf>
    <xf numFmtId="0" fontId="2" fillId="0" borderId="2" xfId="0" applyFont="1" applyBorder="1" applyAlignment="1" applyProtection="1">
      <alignment vertical="center" wrapText="1"/>
    </xf>
    <xf numFmtId="49" fontId="2" fillId="0" borderId="2" xfId="0" quotePrefix="1" applyNumberFormat="1" applyFont="1" applyBorder="1" applyAlignment="1" applyProtection="1">
      <alignment vertical="center" wrapText="1"/>
    </xf>
    <xf numFmtId="0" fontId="2" fillId="0" borderId="2" xfId="0" quotePrefix="1" applyFont="1" applyBorder="1" applyAlignment="1" applyProtection="1">
      <alignment vertical="center" wrapText="1"/>
    </xf>
    <xf numFmtId="0" fontId="1" fillId="0" borderId="2" xfId="0" applyFont="1" applyBorder="1" applyAlignment="1" applyProtection="1">
      <alignment wrapText="1"/>
    </xf>
    <xf numFmtId="0" fontId="0" fillId="3" borderId="2" xfId="0" applyFont="1" applyFill="1" applyBorder="1" applyAlignment="1" applyProtection="1">
      <alignment horizontal="center"/>
    </xf>
    <xf numFmtId="0" fontId="0" fillId="3" borderId="2" xfId="0" applyFill="1" applyBorder="1" applyAlignment="1" applyProtection="1">
      <alignment horizontal="left" vertical="top" wrapText="1"/>
    </xf>
    <xf numFmtId="0" fontId="9" fillId="0" borderId="2" xfId="0" applyFont="1" applyBorder="1" applyAlignment="1" applyProtection="1">
      <alignment vertical="center" wrapText="1"/>
    </xf>
    <xf numFmtId="0" fontId="10" fillId="0" borderId="2" xfId="0" applyFont="1" applyBorder="1" applyAlignment="1" applyProtection="1">
      <alignment vertical="center" wrapText="1"/>
    </xf>
    <xf numFmtId="0" fontId="1" fillId="3" borderId="2" xfId="0" applyFont="1" applyFill="1" applyBorder="1" applyAlignment="1" applyProtection="1">
      <alignment horizontal="left" vertical="top" wrapText="1"/>
    </xf>
    <xf numFmtId="0" fontId="1" fillId="3" borderId="2" xfId="0" applyFont="1" applyFill="1" applyBorder="1" applyAlignment="1" applyProtection="1">
      <alignment wrapText="1"/>
    </xf>
    <xf numFmtId="0" fontId="12" fillId="0" borderId="0" xfId="0" applyFont="1" applyFill="1" applyAlignment="1" applyProtection="1">
      <alignment horizontal="left" vertical="top"/>
    </xf>
    <xf numFmtId="0" fontId="12" fillId="0" borderId="0" xfId="0" applyFont="1" applyProtection="1"/>
    <xf numFmtId="0" fontId="11" fillId="0" borderId="0" xfId="0" applyFont="1" applyBorder="1" applyAlignment="1" applyProtection="1"/>
    <xf numFmtId="0" fontId="11" fillId="0" borderId="3" xfId="0" applyFont="1" applyBorder="1" applyAlignment="1" applyProtection="1"/>
    <xf numFmtId="0" fontId="11" fillId="0" borderId="0" xfId="0" applyFont="1" applyBorder="1" applyAlignment="1" applyProtection="1">
      <alignment horizontal="left" vertical="top"/>
    </xf>
    <xf numFmtId="0" fontId="11" fillId="0" borderId="0" xfId="0" applyFont="1" applyAlignment="1" applyProtection="1">
      <alignment horizontal="left"/>
    </xf>
    <xf numFmtId="0" fontId="11" fillId="0" borderId="0" xfId="0" applyFont="1" applyBorder="1" applyAlignment="1" applyProtection="1">
      <alignment horizontal="left"/>
    </xf>
    <xf numFmtId="14" fontId="11" fillId="0" borderId="0" xfId="0" applyNumberFormat="1" applyFont="1" applyBorder="1" applyAlignment="1" applyProtection="1"/>
    <xf numFmtId="0" fontId="11" fillId="0" borderId="0" xfId="0" applyFont="1" applyAlignment="1" applyProtection="1">
      <alignment horizontal="left" vertical="top"/>
    </xf>
    <xf numFmtId="0" fontId="11" fillId="0" borderId="0" xfId="0" applyFont="1" applyAlignment="1" applyProtection="1">
      <alignment horizontal="center"/>
    </xf>
    <xf numFmtId="0" fontId="0" fillId="0" borderId="4" xfId="0" applyBorder="1" applyProtection="1"/>
    <xf numFmtId="0" fontId="11" fillId="0" borderId="4" xfId="0" applyFont="1" applyBorder="1" applyAlignment="1" applyProtection="1">
      <alignment horizontal="right"/>
    </xf>
    <xf numFmtId="0" fontId="0" fillId="0" borderId="4" xfId="0" applyFill="1" applyBorder="1" applyProtection="1"/>
    <xf numFmtId="0" fontId="0" fillId="0" borderId="0" xfId="0" applyBorder="1" applyAlignment="1" applyProtection="1">
      <alignment horizontal="right"/>
    </xf>
    <xf numFmtId="0" fontId="0" fillId="0" borderId="0" xfId="0" applyFill="1" applyBorder="1" applyProtection="1"/>
    <xf numFmtId="0" fontId="17" fillId="0" borderId="0" xfId="0" applyFont="1" applyAlignment="1" applyProtection="1">
      <alignment horizontal="left" vertical="top"/>
    </xf>
    <xf numFmtId="0" fontId="13" fillId="0" borderId="0" xfId="0" applyFont="1" applyAlignment="1" applyProtection="1">
      <alignment horizontal="right"/>
    </xf>
    <xf numFmtId="0" fontId="13" fillId="0" borderId="0" xfId="0" applyFont="1" applyAlignment="1" applyProtection="1">
      <alignment horizontal="center"/>
    </xf>
    <xf numFmtId="9" fontId="0" fillId="0" borderId="0" xfId="1" applyFont="1" applyProtection="1"/>
    <xf numFmtId="0" fontId="0" fillId="0" borderId="0" xfId="0" applyAlignment="1" applyProtection="1">
      <alignment horizontal="left" vertical="top"/>
    </xf>
    <xf numFmtId="9" fontId="15" fillId="0" borderId="0" xfId="1" applyFont="1" applyFill="1" applyBorder="1" applyAlignment="1" applyProtection="1">
      <alignment horizontal="center"/>
    </xf>
    <xf numFmtId="9" fontId="0" fillId="0" borderId="0" xfId="1" applyFont="1" applyBorder="1" applyProtection="1"/>
    <xf numFmtId="0" fontId="13" fillId="0" borderId="0" xfId="0" applyFont="1" applyAlignment="1" applyProtection="1">
      <alignment horizontal="left" vertical="top"/>
    </xf>
    <xf numFmtId="0" fontId="0" fillId="0" borderId="0" xfId="0" applyAlignment="1" applyProtection="1">
      <alignment vertical="center"/>
    </xf>
    <xf numFmtId="0" fontId="2" fillId="0" borderId="2" xfId="0" applyFont="1" applyBorder="1" applyAlignment="1">
      <alignment vertical="center" wrapText="1"/>
    </xf>
    <xf numFmtId="0" fontId="7" fillId="3" borderId="2" xfId="0" applyFont="1" applyFill="1" applyBorder="1" applyAlignment="1" applyProtection="1">
      <alignment horizontal="left" vertical="center" wrapText="1"/>
    </xf>
    <xf numFmtId="0" fontId="9" fillId="0" borderId="2" xfId="0" applyFont="1" applyBorder="1" applyAlignment="1" applyProtection="1">
      <alignment horizontal="left" vertical="center" wrapText="1"/>
    </xf>
    <xf numFmtId="0" fontId="10" fillId="0" borderId="2" xfId="0" applyFont="1" applyBorder="1" applyAlignment="1" applyProtection="1">
      <alignment horizontal="left" vertical="center" wrapText="1"/>
    </xf>
    <xf numFmtId="0" fontId="2" fillId="0" borderId="2" xfId="0" applyFont="1" applyBorder="1" applyAlignment="1">
      <alignment horizontal="left" vertical="center" wrapText="1"/>
    </xf>
    <xf numFmtId="0" fontId="3" fillId="3" borderId="2" xfId="0" applyFont="1" applyFill="1" applyBorder="1" applyAlignment="1">
      <alignment horizontal="left" vertical="center" wrapText="1"/>
    </xf>
    <xf numFmtId="0" fontId="6" fillId="0" borderId="2" xfId="0" applyFont="1" applyBorder="1" applyAlignment="1">
      <alignment horizontal="left" vertical="center" wrapText="1"/>
    </xf>
    <xf numFmtId="0" fontId="8" fillId="3" borderId="2" xfId="0" applyFont="1" applyFill="1" applyBorder="1" applyAlignment="1">
      <alignment horizontal="left" vertical="center" wrapText="1"/>
    </xf>
    <xf numFmtId="0" fontId="0" fillId="0" borderId="4" xfId="0" applyBorder="1" applyAlignment="1" applyProtection="1">
      <alignment horizontal="right"/>
    </xf>
    <xf numFmtId="0" fontId="13" fillId="0" borderId="0" xfId="0" applyFont="1" applyAlignment="1" applyProtection="1">
      <alignment horizontal="left"/>
    </xf>
    <xf numFmtId="0" fontId="0" fillId="0" borderId="2" xfId="0" applyBorder="1" applyAlignment="1" applyProtection="1">
      <alignment horizontal="left" vertical="top" wrapText="1"/>
    </xf>
    <xf numFmtId="0" fontId="13" fillId="0" borderId="2" xfId="0" applyFont="1" applyFill="1" applyBorder="1" applyAlignment="1" applyProtection="1">
      <alignment horizontal="left" vertical="top" wrapText="1"/>
    </xf>
    <xf numFmtId="0" fontId="13" fillId="0" borderId="2" xfId="0" applyFont="1" applyBorder="1" applyAlignment="1" applyProtection="1">
      <alignment horizontal="left" vertical="top" wrapText="1"/>
    </xf>
    <xf numFmtId="0" fontId="0" fillId="0" borderId="2" xfId="0" applyFill="1" applyBorder="1" applyAlignment="1" applyProtection="1">
      <alignment horizontal="left" vertical="top"/>
      <protection locked="0"/>
    </xf>
    <xf numFmtId="0" fontId="0" fillId="0" borderId="2" xfId="0" applyFont="1" applyFill="1" applyBorder="1" applyAlignment="1" applyProtection="1">
      <alignment horizontal="left" vertical="top"/>
      <protection locked="0"/>
    </xf>
    <xf numFmtId="0" fontId="0" fillId="0" borderId="2" xfId="0" applyFont="1" applyFill="1" applyBorder="1" applyAlignment="1" applyProtection="1">
      <alignment horizontal="left" vertical="top"/>
    </xf>
    <xf numFmtId="0" fontId="0" fillId="3" borderId="2" xfId="0" applyFont="1" applyFill="1" applyBorder="1" applyAlignment="1" applyProtection="1">
      <alignment horizontal="left" vertical="top"/>
    </xf>
    <xf numFmtId="0" fontId="13" fillId="0" borderId="5" xfId="0" applyFont="1" applyBorder="1" applyAlignment="1" applyProtection="1">
      <alignment horizontal="left" vertical="top"/>
    </xf>
    <xf numFmtId="0" fontId="13" fillId="0" borderId="2" xfId="0" applyFont="1" applyBorder="1" applyAlignment="1" applyProtection="1">
      <alignment horizontal="left" vertical="top"/>
    </xf>
    <xf numFmtId="0" fontId="13" fillId="0" borderId="5" xfId="0" applyFont="1" applyBorder="1" applyAlignment="1" applyProtection="1">
      <alignment horizontal="left" vertical="top" wrapText="1"/>
    </xf>
    <xf numFmtId="0" fontId="0" fillId="0" borderId="2" xfId="0" applyBorder="1" applyAlignment="1" applyProtection="1">
      <alignment horizontal="left" vertical="top"/>
      <protection locked="0"/>
    </xf>
    <xf numFmtId="0" fontId="0" fillId="0" borderId="2" xfId="0" applyFont="1" applyBorder="1" applyAlignment="1" applyProtection="1">
      <alignment horizontal="left" vertical="top"/>
      <protection locked="0"/>
    </xf>
    <xf numFmtId="0" fontId="0" fillId="0" borderId="2" xfId="0" applyFont="1" applyBorder="1" applyAlignment="1" applyProtection="1">
      <alignment horizontal="left" vertical="top"/>
    </xf>
    <xf numFmtId="0" fontId="13" fillId="0" borderId="5" xfId="0" applyFont="1" applyBorder="1" applyAlignment="1">
      <alignment horizontal="left" vertical="top"/>
    </xf>
    <xf numFmtId="0" fontId="13" fillId="0" borderId="2" xfId="0" applyFont="1" applyBorder="1" applyAlignment="1">
      <alignment horizontal="left" vertical="top"/>
    </xf>
    <xf numFmtId="9" fontId="0" fillId="0" borderId="0" xfId="0" applyNumberFormat="1" applyProtection="1"/>
    <xf numFmtId="1" fontId="0" fillId="0" borderId="0" xfId="0" applyNumberFormat="1" applyProtection="1"/>
    <xf numFmtId="0" fontId="13" fillId="0" borderId="0" xfId="0" applyFont="1" applyAlignment="1" applyProtection="1">
      <alignment horizontal="center" wrapText="1"/>
    </xf>
    <xf numFmtId="0" fontId="0" fillId="0" borderId="4" xfId="0" applyBorder="1" applyAlignment="1" applyProtection="1">
      <alignment horizontal="left" vertical="top"/>
    </xf>
    <xf numFmtId="0" fontId="0" fillId="0" borderId="0" xfId="0" applyBorder="1" applyAlignment="1" applyProtection="1">
      <alignment horizontal="left" vertical="top"/>
      <protection locked="0"/>
    </xf>
    <xf numFmtId="0" fontId="21" fillId="0" borderId="0" xfId="0" applyFont="1" applyProtection="1"/>
    <xf numFmtId="0" fontId="0" fillId="0" borderId="0" xfId="0" applyAlignment="1" applyProtection="1">
      <alignment horizontal="left"/>
    </xf>
    <xf numFmtId="0" fontId="0" fillId="0" borderId="0" xfId="0" applyAlignment="1">
      <alignment horizontal="left"/>
    </xf>
    <xf numFmtId="9" fontId="0" fillId="0" borderId="0" xfId="1" applyNumberFormat="1" applyFont="1" applyBorder="1" applyAlignment="1" applyProtection="1">
      <alignment horizontal="center"/>
    </xf>
    <xf numFmtId="9" fontId="0" fillId="0" borderId="0" xfId="0" applyNumberFormat="1" applyBorder="1" applyAlignment="1" applyProtection="1">
      <alignment horizontal="center"/>
    </xf>
    <xf numFmtId="0" fontId="13" fillId="0" borderId="6" xfId="0" applyFont="1" applyBorder="1" applyAlignment="1" applyProtection="1">
      <alignment horizontal="center"/>
    </xf>
    <xf numFmtId="0" fontId="13" fillId="0" borderId="0" xfId="0" applyFont="1" applyAlignment="1" applyProtection="1"/>
    <xf numFmtId="0" fontId="13" fillId="0" borderId="0" xfId="0" applyFont="1" applyProtection="1"/>
    <xf numFmtId="0" fontId="13" fillId="0" borderId="2" xfId="0" applyFont="1" applyBorder="1" applyAlignment="1" applyProtection="1">
      <alignment horizontal="center" vertical="top"/>
    </xf>
    <xf numFmtId="0" fontId="24" fillId="0" borderId="2" xfId="0" applyFont="1" applyFill="1" applyBorder="1" applyAlignment="1" applyProtection="1">
      <alignment horizontal="center" wrapText="1"/>
    </xf>
    <xf numFmtId="0" fontId="13" fillId="0" borderId="7" xfId="0" applyFont="1" applyBorder="1" applyAlignment="1" applyProtection="1">
      <alignment horizontal="center" vertical="top"/>
    </xf>
    <xf numFmtId="0" fontId="0" fillId="0" borderId="0" xfId="0" applyBorder="1" applyAlignment="1" applyProtection="1">
      <alignment horizontal="center" vertical="top" wrapText="1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0" fillId="0" borderId="9" xfId="0" applyBorder="1" applyAlignment="1" applyProtection="1">
      <alignment horizontal="center" vertical="center"/>
      <protection locked="0"/>
    </xf>
    <xf numFmtId="0" fontId="0" fillId="0" borderId="10" xfId="0" applyBorder="1" applyAlignment="1" applyProtection="1">
      <alignment horizontal="center" vertical="center"/>
      <protection locked="0"/>
    </xf>
    <xf numFmtId="0" fontId="0" fillId="3" borderId="2" xfId="0" applyFill="1" applyBorder="1" applyAlignment="1" applyProtection="1">
      <alignment horizontal="center" vertical="center" wrapText="1"/>
    </xf>
    <xf numFmtId="0" fontId="1" fillId="0" borderId="2" xfId="0" applyFont="1" applyBorder="1" applyAlignment="1" applyProtection="1">
      <alignment horizontal="center" vertical="center" wrapText="1"/>
    </xf>
    <xf numFmtId="0" fontId="1" fillId="3" borderId="2" xfId="0" applyFont="1" applyFill="1" applyBorder="1" applyAlignment="1" applyProtection="1">
      <alignment horizontal="center" vertical="center" wrapText="1"/>
    </xf>
    <xf numFmtId="0" fontId="13" fillId="0" borderId="2" xfId="0" applyFont="1" applyFill="1" applyBorder="1" applyAlignment="1" applyProtection="1">
      <alignment horizontal="left" vertical="top"/>
    </xf>
    <xf numFmtId="0" fontId="24" fillId="0" borderId="2" xfId="0" applyFont="1" applyFill="1" applyBorder="1" applyAlignment="1" applyProtection="1">
      <alignment horizontal="left" vertical="top" wrapText="1"/>
    </xf>
    <xf numFmtId="49" fontId="6" fillId="0" borderId="2" xfId="0" applyNumberFormat="1" applyFont="1" applyBorder="1" applyAlignment="1" applyProtection="1">
      <alignment vertical="top"/>
    </xf>
    <xf numFmtId="0" fontId="6" fillId="0" borderId="2" xfId="0" applyFont="1" applyFill="1" applyBorder="1" applyAlignment="1" applyProtection="1">
      <alignment horizontal="center" vertical="center"/>
      <protection locked="0"/>
    </xf>
    <xf numFmtId="0" fontId="6" fillId="0" borderId="2" xfId="0" applyFont="1" applyBorder="1" applyAlignment="1" applyProtection="1">
      <alignment horizontal="left" vertical="top" wrapText="1"/>
      <protection locked="0"/>
    </xf>
    <xf numFmtId="0" fontId="6" fillId="0" borderId="2" xfId="0" applyFont="1" applyBorder="1" applyAlignment="1" applyProtection="1">
      <alignment horizontal="center" vertical="center" wrapText="1"/>
      <protection locked="0"/>
    </xf>
    <xf numFmtId="0" fontId="6" fillId="0" borderId="2" xfId="0" applyFont="1" applyFill="1" applyBorder="1" applyAlignment="1" applyProtection="1">
      <alignment horizontal="left" vertical="top"/>
      <protection locked="0"/>
    </xf>
    <xf numFmtId="0" fontId="6" fillId="0" borderId="2" xfId="0" applyFont="1" applyBorder="1" applyAlignment="1" applyProtection="1">
      <alignment horizontal="left" vertical="center" wrapText="1"/>
      <protection locked="0"/>
    </xf>
    <xf numFmtId="0" fontId="6" fillId="3" borderId="2" xfId="0" applyFont="1" applyFill="1" applyBorder="1" applyAlignment="1" applyProtection="1">
      <alignment horizontal="center" vertical="center" wrapText="1"/>
    </xf>
    <xf numFmtId="0" fontId="6" fillId="3" borderId="2" xfId="0" applyFont="1" applyFill="1" applyBorder="1" applyAlignment="1" applyProtection="1">
      <alignment horizontal="center" vertical="center"/>
    </xf>
    <xf numFmtId="0" fontId="6" fillId="3" borderId="2" xfId="0" applyFont="1" applyFill="1" applyBorder="1" applyAlignment="1" applyProtection="1">
      <alignment horizontal="left" vertical="center" wrapText="1"/>
    </xf>
    <xf numFmtId="0" fontId="6" fillId="0" borderId="2" xfId="0" applyFont="1" applyFill="1" applyBorder="1" applyAlignment="1" applyProtection="1">
      <alignment horizontal="center" vertical="center" wrapText="1"/>
      <protection locked="0"/>
    </xf>
    <xf numFmtId="0" fontId="6" fillId="0" borderId="2" xfId="0" applyFont="1" applyFill="1" applyBorder="1" applyAlignment="1" applyProtection="1">
      <alignment horizontal="center" vertical="center" wrapText="1"/>
    </xf>
    <xf numFmtId="0" fontId="6" fillId="0" borderId="2" xfId="0" applyFont="1" applyFill="1" applyBorder="1" applyAlignment="1" applyProtection="1">
      <alignment horizontal="center" vertical="center"/>
    </xf>
    <xf numFmtId="0" fontId="6" fillId="0" borderId="2" xfId="0" applyFont="1" applyFill="1" applyBorder="1" applyAlignment="1" applyProtection="1">
      <alignment horizontal="left" vertical="top"/>
    </xf>
    <xf numFmtId="0" fontId="6" fillId="0" borderId="2" xfId="0" applyFont="1" applyBorder="1" applyAlignment="1" applyProtection="1">
      <alignment horizontal="left" vertical="center" wrapText="1"/>
    </xf>
    <xf numFmtId="0" fontId="6" fillId="0" borderId="2" xfId="0" applyFont="1" applyBorder="1" applyAlignment="1" applyProtection="1">
      <alignment horizontal="center" vertical="center" wrapText="1"/>
    </xf>
    <xf numFmtId="0" fontId="6" fillId="3" borderId="2" xfId="0" applyFont="1" applyFill="1" applyBorder="1" applyAlignment="1" applyProtection="1">
      <alignment horizontal="left" vertical="top"/>
    </xf>
    <xf numFmtId="0" fontId="6" fillId="0" borderId="2" xfId="0" applyFont="1" applyBorder="1" applyAlignment="1" applyProtection="1">
      <alignment vertical="center" wrapText="1"/>
      <protection locked="0"/>
    </xf>
    <xf numFmtId="0" fontId="6" fillId="0" borderId="2" xfId="0" applyFont="1" applyBorder="1" applyAlignment="1" applyProtection="1">
      <alignment vertical="center" wrapText="1"/>
    </xf>
    <xf numFmtId="0" fontId="6" fillId="3" borderId="2" xfId="0" applyFont="1" applyFill="1" applyBorder="1" applyAlignment="1" applyProtection="1">
      <alignment vertical="center" wrapText="1"/>
    </xf>
    <xf numFmtId="49" fontId="2" fillId="0" borderId="2" xfId="0" applyNumberFormat="1" applyFont="1" applyBorder="1" applyAlignment="1" applyProtection="1">
      <alignment horizontal="left" vertical="center" wrapText="1"/>
    </xf>
    <xf numFmtId="0" fontId="2" fillId="0" borderId="2" xfId="0" applyFont="1" applyBorder="1" applyAlignment="1" applyProtection="1">
      <alignment horizontal="left" vertical="center" wrapText="1"/>
    </xf>
    <xf numFmtId="0" fontId="2" fillId="0" borderId="2" xfId="0" applyFont="1" applyFill="1" applyBorder="1" applyAlignment="1" applyProtection="1">
      <alignment horizontal="center" vertical="center" wrapText="1"/>
    </xf>
    <xf numFmtId="49" fontId="3" fillId="0" borderId="2" xfId="0" applyNumberFormat="1" applyFont="1" applyBorder="1" applyAlignment="1" applyProtection="1">
      <alignment vertical="center" wrapText="1"/>
    </xf>
    <xf numFmtId="0" fontId="3" fillId="0" borderId="2" xfId="0" applyFont="1" applyBorder="1" applyAlignment="1" applyProtection="1">
      <alignment vertical="center" wrapText="1"/>
    </xf>
    <xf numFmtId="0" fontId="6" fillId="0" borderId="12" xfId="0" applyFont="1" applyFill="1" applyBorder="1" applyAlignment="1" applyProtection="1">
      <alignment horizontal="center" vertical="center"/>
      <protection locked="0"/>
    </xf>
    <xf numFmtId="0" fontId="6" fillId="0" borderId="2" xfId="0" applyFont="1" applyBorder="1" applyAlignment="1" applyProtection="1">
      <alignment horizontal="left" vertical="top"/>
    </xf>
    <xf numFmtId="0" fontId="2" fillId="0" borderId="2" xfId="0" applyFont="1" applyBorder="1" applyAlignment="1" applyProtection="1">
      <alignment vertical="top" wrapText="1"/>
    </xf>
    <xf numFmtId="49" fontId="6" fillId="0" borderId="2" xfId="0" applyNumberFormat="1" applyFont="1" applyBorder="1" applyAlignment="1" applyProtection="1">
      <alignment horizontal="left" vertical="top"/>
    </xf>
    <xf numFmtId="0" fontId="6" fillId="0" borderId="7" xfId="0" applyFont="1" applyBorder="1" applyAlignment="1" applyProtection="1">
      <alignment horizontal="left" vertical="top" wrapText="1"/>
      <protection locked="0"/>
    </xf>
    <xf numFmtId="49" fontId="6" fillId="0" borderId="2" xfId="0" applyNumberFormat="1" applyFont="1" applyBorder="1" applyAlignment="1" applyProtection="1">
      <alignment horizontal="left" vertical="top" wrapText="1"/>
      <protection locked="0"/>
    </xf>
    <xf numFmtId="0" fontId="6" fillId="0" borderId="2" xfId="0" applyFont="1" applyBorder="1" applyAlignment="1" applyProtection="1">
      <alignment horizontal="center" vertical="top" wrapText="1"/>
      <protection locked="0"/>
    </xf>
    <xf numFmtId="0" fontId="6" fillId="0" borderId="2" xfId="0" applyFont="1" applyFill="1" applyBorder="1" applyAlignment="1" applyProtection="1">
      <alignment horizontal="left" vertical="top" wrapText="1"/>
      <protection locked="0"/>
    </xf>
    <xf numFmtId="49" fontId="2" fillId="0" borderId="2" xfId="0" applyNumberFormat="1" applyFont="1" applyBorder="1" applyAlignment="1" applyProtection="1">
      <alignment horizontal="left" vertical="top" wrapText="1"/>
    </xf>
    <xf numFmtId="0" fontId="2" fillId="0" borderId="2" xfId="0" applyFont="1" applyBorder="1" applyAlignment="1">
      <alignment horizontal="left" vertical="top" wrapText="1"/>
    </xf>
    <xf numFmtId="49" fontId="6" fillId="0" borderId="2" xfId="0" applyNumberFormat="1" applyFont="1" applyBorder="1" applyAlignment="1" applyProtection="1">
      <alignment horizontal="left" vertical="top" wrapText="1"/>
    </xf>
    <xf numFmtId="0" fontId="2" fillId="0" borderId="2" xfId="0" applyFont="1" applyBorder="1" applyAlignment="1" applyProtection="1">
      <alignment horizontal="left" vertical="top"/>
    </xf>
    <xf numFmtId="0" fontId="2" fillId="0" borderId="7" xfId="0" applyFont="1" applyBorder="1" applyAlignment="1" applyProtection="1">
      <alignment horizontal="left" vertical="top" wrapText="1"/>
    </xf>
    <xf numFmtId="0" fontId="6" fillId="0" borderId="2" xfId="0" applyFont="1" applyBorder="1" applyAlignment="1" applyProtection="1">
      <alignment horizontal="center" vertical="center"/>
    </xf>
    <xf numFmtId="0" fontId="5" fillId="0" borderId="2" xfId="0" applyFont="1" applyBorder="1" applyAlignment="1" applyProtection="1">
      <alignment horizontal="left" vertical="top" wrapText="1"/>
    </xf>
    <xf numFmtId="0" fontId="4" fillId="0" borderId="2" xfId="0" applyFont="1" applyBorder="1" applyAlignment="1" applyProtection="1">
      <alignment horizontal="left" vertical="top" wrapText="1"/>
    </xf>
    <xf numFmtId="0" fontId="6" fillId="3" borderId="2" xfId="0" applyFont="1" applyFill="1" applyBorder="1" applyAlignment="1">
      <alignment horizontal="center" wrapText="1"/>
    </xf>
    <xf numFmtId="0" fontId="6" fillId="3" borderId="2" xfId="0" applyFont="1" applyFill="1" applyBorder="1" applyAlignment="1">
      <alignment horizontal="center"/>
    </xf>
    <xf numFmtId="0" fontId="6" fillId="3" borderId="2" xfId="0" applyFont="1" applyFill="1" applyBorder="1" applyAlignment="1">
      <alignment horizontal="left" vertical="top" wrapText="1"/>
    </xf>
    <xf numFmtId="0" fontId="6" fillId="3" borderId="2" xfId="0" applyFont="1" applyFill="1" applyBorder="1" applyAlignment="1">
      <alignment horizontal="center" vertical="center" wrapText="1"/>
    </xf>
    <xf numFmtId="0" fontId="6" fillId="0" borderId="2" xfId="0" applyFont="1" applyFill="1" applyBorder="1" applyAlignment="1">
      <alignment horizontal="center" vertical="center" wrapText="1"/>
    </xf>
    <xf numFmtId="0" fontId="6" fillId="0" borderId="2" xfId="0" applyFont="1" applyFill="1" applyBorder="1" applyAlignment="1">
      <alignment horizontal="center" vertical="center"/>
    </xf>
    <xf numFmtId="0" fontId="6" fillId="0" borderId="2" xfId="0" applyFont="1" applyFill="1" applyBorder="1" applyAlignment="1">
      <alignment horizontal="left" vertical="top"/>
    </xf>
    <xf numFmtId="0" fontId="6" fillId="0" borderId="2" xfId="0" applyFont="1" applyBorder="1" applyAlignment="1">
      <alignment horizontal="left" vertical="top" wrapText="1"/>
    </xf>
    <xf numFmtId="0" fontId="6" fillId="0" borderId="2" xfId="0" applyFont="1" applyBorder="1" applyAlignment="1">
      <alignment horizontal="center" vertical="center" wrapText="1"/>
    </xf>
    <xf numFmtId="0" fontId="6" fillId="3" borderId="2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left" vertical="top"/>
    </xf>
    <xf numFmtId="0" fontId="6" fillId="3" borderId="2" xfId="0" applyFont="1" applyFill="1" applyBorder="1" applyAlignment="1">
      <alignment wrapText="1"/>
    </xf>
    <xf numFmtId="0" fontId="6" fillId="0" borderId="2" xfId="0" applyFont="1" applyBorder="1" applyAlignment="1">
      <alignment wrapText="1"/>
    </xf>
    <xf numFmtId="0" fontId="6" fillId="0" borderId="2" xfId="0" applyFont="1" applyFill="1" applyBorder="1" applyAlignment="1" applyProtection="1">
      <alignment horizontal="center"/>
      <protection locked="0"/>
    </xf>
    <xf numFmtId="0" fontId="6" fillId="3" borderId="2" xfId="0" applyFont="1" applyFill="1" applyBorder="1" applyAlignment="1" applyProtection="1">
      <alignment horizontal="center" wrapText="1"/>
    </xf>
    <xf numFmtId="0" fontId="6" fillId="3" borderId="2" xfId="0" applyFont="1" applyFill="1" applyBorder="1" applyAlignment="1" applyProtection="1">
      <alignment horizontal="center"/>
    </xf>
    <xf numFmtId="0" fontId="25" fillId="0" borderId="2" xfId="0" applyFont="1" applyBorder="1" applyAlignment="1" applyProtection="1">
      <alignment horizontal="center" vertical="top" wrapText="1"/>
    </xf>
    <xf numFmtId="0" fontId="6" fillId="0" borderId="2" xfId="0" applyFont="1" applyBorder="1" applyAlignment="1">
      <alignment horizontal="left" vertical="top"/>
    </xf>
    <xf numFmtId="0" fontId="27" fillId="0" borderId="2" xfId="0" applyFont="1" applyBorder="1" applyAlignment="1" applyProtection="1">
      <alignment horizontal="left" vertical="top"/>
      <protection locked="0"/>
    </xf>
    <xf numFmtId="0" fontId="27" fillId="0" borderId="2" xfId="0" applyFont="1" applyBorder="1" applyAlignment="1" applyProtection="1">
      <alignment horizontal="left" vertical="top" wrapText="1"/>
      <protection locked="0"/>
    </xf>
    <xf numFmtId="0" fontId="6" fillId="0" borderId="2" xfId="0" applyFont="1" applyBorder="1" applyAlignment="1" applyProtection="1">
      <alignment horizontal="left" vertical="top"/>
      <protection locked="0"/>
    </xf>
    <xf numFmtId="0" fontId="6" fillId="0" borderId="2" xfId="0" applyFont="1" applyFill="1" applyBorder="1" applyAlignment="1" applyProtection="1">
      <alignment horizontal="left" vertical="top" wrapText="1"/>
    </xf>
    <xf numFmtId="0" fontId="6" fillId="0" borderId="2" xfId="0" applyFont="1" applyBorder="1" applyAlignment="1">
      <alignment horizontal="center" vertical="center"/>
    </xf>
    <xf numFmtId="0" fontId="3" fillId="3" borderId="2" xfId="0" applyFont="1" applyFill="1" applyBorder="1" applyAlignment="1" applyProtection="1">
      <alignment horizontal="left" vertical="center" wrapText="1"/>
    </xf>
    <xf numFmtId="0" fontId="6" fillId="0" borderId="2" xfId="0" applyFont="1" applyFill="1" applyBorder="1" applyAlignment="1" applyProtection="1">
      <alignment horizontal="center" wrapText="1"/>
      <protection locked="0"/>
    </xf>
    <xf numFmtId="0" fontId="0" fillId="0" borderId="13" xfId="0" applyBorder="1" applyAlignment="1" applyProtection="1">
      <alignment horizontal="left" vertical="top" wrapText="1"/>
      <protection locked="0"/>
    </xf>
    <xf numFmtId="0" fontId="0" fillId="0" borderId="14" xfId="0" applyBorder="1" applyAlignment="1" applyProtection="1">
      <alignment horizontal="left" vertical="top" wrapText="1"/>
      <protection locked="0"/>
    </xf>
    <xf numFmtId="0" fontId="0" fillId="0" borderId="15" xfId="0" applyBorder="1" applyAlignment="1" applyProtection="1">
      <alignment horizontal="left" vertical="top" wrapText="1"/>
      <protection locked="0"/>
    </xf>
    <xf numFmtId="0" fontId="0" fillId="0" borderId="0" xfId="0" applyFill="1" applyAlignment="1" applyProtection="1">
      <alignment horizontal="left" vertical="top" wrapText="1"/>
    </xf>
    <xf numFmtId="0" fontId="13" fillId="0" borderId="0" xfId="0" applyFont="1" applyAlignment="1" applyProtection="1">
      <alignment horizontal="left" wrapText="1"/>
    </xf>
    <xf numFmtId="0" fontId="0" fillId="0" borderId="0" xfId="0" applyAlignment="1" applyProtection="1">
      <alignment horizontal="left" vertical="top" wrapText="1"/>
    </xf>
    <xf numFmtId="0" fontId="23" fillId="0" borderId="0" xfId="0" applyFont="1" applyAlignment="1" applyProtection="1">
      <alignment wrapText="1"/>
    </xf>
    <xf numFmtId="0" fontId="13" fillId="0" borderId="2" xfId="0" applyFont="1" applyBorder="1" applyAlignment="1" applyProtection="1">
      <alignment horizontal="center" vertical="top" wrapText="1"/>
    </xf>
    <xf numFmtId="0" fontId="13" fillId="0" borderId="7" xfId="0" applyFont="1" applyBorder="1" applyAlignment="1" applyProtection="1">
      <alignment horizontal="center" vertical="top" wrapText="1"/>
    </xf>
    <xf numFmtId="0" fontId="13" fillId="0" borderId="2" xfId="0" applyFont="1" applyBorder="1" applyAlignment="1">
      <alignment horizontal="left" vertical="top" wrapText="1"/>
    </xf>
    <xf numFmtId="0" fontId="13" fillId="0" borderId="7" xfId="0" applyFont="1" applyBorder="1" applyAlignment="1">
      <alignment horizontal="center" vertical="top" wrapText="1"/>
    </xf>
    <xf numFmtId="0" fontId="7" fillId="0" borderId="0" xfId="0" applyFont="1" applyAlignment="1" applyProtection="1">
      <alignment horizontal="center" wrapText="1"/>
    </xf>
    <xf numFmtId="0" fontId="7" fillId="0" borderId="2" xfId="0" applyFont="1" applyFill="1" applyBorder="1" applyAlignment="1" applyProtection="1">
      <alignment horizontal="left" vertical="top" wrapText="1"/>
    </xf>
    <xf numFmtId="0" fontId="7" fillId="0" borderId="2" xfId="0" applyFont="1" applyFill="1" applyBorder="1" applyAlignment="1">
      <alignment horizontal="left" vertical="top" wrapText="1"/>
    </xf>
    <xf numFmtId="0" fontId="0" fillId="0" borderId="0" xfId="0" applyFill="1" applyAlignment="1" applyProtection="1">
      <alignment horizontal="right"/>
    </xf>
    <xf numFmtId="0" fontId="7" fillId="0" borderId="0" xfId="0" applyFont="1" applyAlignment="1" applyProtection="1">
      <alignment wrapText="1"/>
    </xf>
    <xf numFmtId="0" fontId="7" fillId="0" borderId="5" xfId="0" applyFont="1" applyBorder="1" applyAlignment="1" applyProtection="1">
      <alignment horizontal="left" vertical="top"/>
    </xf>
    <xf numFmtId="0" fontId="0" fillId="0" borderId="13" xfId="0" applyBorder="1" applyAlignment="1" applyProtection="1">
      <alignment horizontal="left" vertical="top"/>
      <protection locked="0"/>
    </xf>
    <xf numFmtId="0" fontId="0" fillId="0" borderId="20" xfId="0" applyBorder="1" applyAlignment="1" applyProtection="1">
      <alignment horizontal="left" vertical="top"/>
      <protection locked="0"/>
    </xf>
    <xf numFmtId="0" fontId="0" fillId="0" borderId="21" xfId="0" applyBorder="1" applyAlignment="1" applyProtection="1">
      <alignment horizontal="left" vertical="top"/>
      <protection locked="0"/>
    </xf>
    <xf numFmtId="9" fontId="16" fillId="0" borderId="0" xfId="1" applyFont="1" applyBorder="1" applyAlignment="1" applyProtection="1">
      <alignment horizontal="center" vertical="center"/>
    </xf>
    <xf numFmtId="0" fontId="11" fillId="0" borderId="22" xfId="0" applyFont="1" applyBorder="1" applyAlignment="1" applyProtection="1">
      <alignment horizontal="left"/>
      <protection locked="0"/>
    </xf>
    <xf numFmtId="0" fontId="11" fillId="0" borderId="12" xfId="0" applyFont="1" applyBorder="1" applyAlignment="1" applyProtection="1">
      <alignment horizontal="left"/>
      <protection locked="0"/>
    </xf>
    <xf numFmtId="164" fontId="11" fillId="0" borderId="22" xfId="0" applyNumberFormat="1" applyFont="1" applyBorder="1" applyAlignment="1" applyProtection="1">
      <alignment horizontal="left"/>
      <protection locked="0"/>
    </xf>
    <xf numFmtId="164" fontId="11" fillId="0" borderId="12" xfId="0" applyNumberFormat="1" applyFont="1" applyBorder="1" applyAlignment="1" applyProtection="1">
      <alignment horizontal="left"/>
      <protection locked="0"/>
    </xf>
    <xf numFmtId="14" fontId="11" fillId="0" borderId="22" xfId="0" applyNumberFormat="1" applyFont="1" applyBorder="1" applyAlignment="1" applyProtection="1">
      <alignment horizontal="left"/>
      <protection locked="0"/>
    </xf>
    <xf numFmtId="0" fontId="0" fillId="0" borderId="15" xfId="0" applyBorder="1" applyAlignment="1" applyProtection="1">
      <alignment horizontal="left" vertical="top"/>
      <protection locked="0"/>
    </xf>
    <xf numFmtId="0" fontId="0" fillId="0" borderId="16" xfId="0" applyBorder="1" applyAlignment="1" applyProtection="1">
      <alignment horizontal="left" vertical="top"/>
      <protection locked="0"/>
    </xf>
    <xf numFmtId="0" fontId="0" fillId="0" borderId="17" xfId="0" applyBorder="1" applyAlignment="1" applyProtection="1">
      <alignment horizontal="left" vertical="top"/>
      <protection locked="0"/>
    </xf>
    <xf numFmtId="0" fontId="0" fillId="0" borderId="14" xfId="0" applyBorder="1" applyAlignment="1" applyProtection="1">
      <alignment horizontal="left" vertical="top"/>
      <protection locked="0"/>
    </xf>
    <xf numFmtId="0" fontId="0" fillId="0" borderId="18" xfId="0" applyBorder="1" applyAlignment="1" applyProtection="1">
      <alignment horizontal="left" vertical="top"/>
      <protection locked="0"/>
    </xf>
    <xf numFmtId="0" fontId="0" fillId="0" borderId="19" xfId="0" applyBorder="1" applyAlignment="1" applyProtection="1">
      <alignment horizontal="left" vertical="top"/>
      <protection locked="0"/>
    </xf>
    <xf numFmtId="0" fontId="26" fillId="4" borderId="2" xfId="0" applyFont="1" applyFill="1" applyBorder="1" applyAlignment="1" applyProtection="1">
      <alignment horizontal="center"/>
    </xf>
    <xf numFmtId="0" fontId="0" fillId="4" borderId="2" xfId="0" applyFill="1" applyBorder="1" applyAlignment="1" applyProtection="1">
      <alignment wrapText="1"/>
    </xf>
    <xf numFmtId="0" fontId="0" fillId="4" borderId="2" xfId="0" applyFill="1" applyBorder="1" applyProtection="1"/>
    <xf numFmtId="0" fontId="39" fillId="4" borderId="2" xfId="0" applyFont="1" applyFill="1" applyBorder="1" applyAlignment="1" applyProtection="1">
      <alignment horizontal="center"/>
    </xf>
    <xf numFmtId="0" fontId="38" fillId="4" borderId="2" xfId="0" applyFont="1" applyFill="1" applyBorder="1" applyAlignment="1" applyProtection="1">
      <alignment horizontal="center"/>
    </xf>
    <xf numFmtId="0" fontId="18" fillId="4" borderId="0" xfId="0" applyFont="1" applyFill="1" applyAlignment="1" applyProtection="1">
      <alignment horizontal="center" vertical="center" wrapText="1"/>
    </xf>
    <xf numFmtId="0" fontId="26" fillId="4" borderId="4" xfId="0" applyFont="1" applyFill="1" applyBorder="1" applyAlignment="1" applyProtection="1">
      <alignment horizontal="left"/>
    </xf>
    <xf numFmtId="0" fontId="0" fillId="4" borderId="0" xfId="0" applyFill="1" applyProtection="1"/>
    <xf numFmtId="0" fontId="0" fillId="4" borderId="0" xfId="0" applyFill="1" applyAlignment="1" applyProtection="1">
      <alignment horizontal="center"/>
    </xf>
    <xf numFmtId="0" fontId="0" fillId="4" borderId="0" xfId="0" applyFill="1" applyAlignment="1" applyProtection="1">
      <alignment wrapText="1"/>
    </xf>
    <xf numFmtId="0" fontId="26" fillId="4" borderId="11" xfId="0" applyFont="1" applyFill="1" applyBorder="1" applyAlignment="1" applyProtection="1">
      <alignment horizontal="left"/>
    </xf>
    <xf numFmtId="0" fontId="18" fillId="4" borderId="0" xfId="0" applyFont="1" applyFill="1" applyAlignment="1">
      <alignment horizontal="center" vertical="center" wrapText="1"/>
    </xf>
    <xf numFmtId="0" fontId="0" fillId="4" borderId="0" xfId="0" applyFill="1"/>
    <xf numFmtId="0" fontId="26" fillId="4" borderId="11" xfId="0" applyFont="1" applyFill="1" applyBorder="1" applyAlignment="1">
      <alignment horizontal="left"/>
    </xf>
    <xf numFmtId="0" fontId="0" fillId="4" borderId="0" xfId="0" applyFill="1" applyAlignment="1">
      <alignment horizontal="center"/>
    </xf>
    <xf numFmtId="0" fontId="0" fillId="4" borderId="0" xfId="0" applyFill="1" applyAlignment="1">
      <alignment wrapText="1"/>
    </xf>
    <xf numFmtId="0" fontId="18" fillId="4" borderId="0" xfId="0" applyFont="1" applyFill="1" applyAlignment="1">
      <alignment vertical="center" wrapText="1"/>
    </xf>
    <xf numFmtId="0" fontId="18" fillId="4" borderId="0" xfId="0" applyFont="1" applyFill="1" applyAlignment="1">
      <alignment vertical="center"/>
    </xf>
    <xf numFmtId="0" fontId="37" fillId="4" borderId="4" xfId="0" applyFont="1" applyFill="1" applyBorder="1" applyAlignment="1">
      <alignment horizontal="center"/>
    </xf>
    <xf numFmtId="0" fontId="18" fillId="4" borderId="0" xfId="0" applyFont="1" applyFill="1" applyAlignment="1" applyProtection="1">
      <alignment vertical="center" wrapText="1"/>
    </xf>
    <xf numFmtId="0" fontId="18" fillId="4" borderId="0" xfId="0" applyFont="1" applyFill="1" applyAlignment="1" applyProtection="1">
      <alignment vertical="center"/>
    </xf>
    <xf numFmtId="0" fontId="40" fillId="4" borderId="22" xfId="0" applyFont="1" applyFill="1" applyBorder="1" applyAlignment="1" applyProtection="1">
      <alignment horizontal="center" vertical="center" wrapText="1"/>
    </xf>
    <xf numFmtId="0" fontId="40" fillId="4" borderId="12" xfId="0" applyFont="1" applyFill="1" applyBorder="1" applyAlignment="1" applyProtection="1">
      <alignment horizontal="center" vertical="center" wrapText="1"/>
    </xf>
    <xf numFmtId="0" fontId="40" fillId="4" borderId="22" xfId="0" applyFont="1" applyFill="1" applyBorder="1" applyAlignment="1" applyProtection="1">
      <alignment vertical="center" wrapText="1"/>
    </xf>
  </cellXfs>
  <cellStyles count="2">
    <cellStyle name="Обычный" xfId="0" builtinId="0"/>
    <cellStyle name="Процентный" xfId="1" builtinId="5"/>
  </cellStyles>
  <dxfs count="0"/>
  <tableStyles count="0" defaultTableStyle="TableStyleMedium2" defaultPivotStyle="PivotStyleLight16"/>
  <colors>
    <mruColors>
      <color rgb="FF008E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1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533400</xdr:colOff>
      <xdr:row>5</xdr:row>
      <xdr:rowOff>333375</xdr:rowOff>
    </xdr:from>
    <xdr:to>
      <xdr:col>1</xdr:col>
      <xdr:colOff>2905125</xdr:colOff>
      <xdr:row>5</xdr:row>
      <xdr:rowOff>542925</xdr:rowOff>
    </xdr:to>
    <xdr:pic>
      <xdr:nvPicPr>
        <xdr:cNvPr id="2" name="Рисунок 1" descr="bollard">
          <a:extLst>
            <a:ext uri="{FF2B5EF4-FFF2-40B4-BE49-F238E27FC236}">
              <a16:creationId xmlns:a16="http://schemas.microsoft.com/office/drawing/2014/main" id="{F0109640-6828-4391-8547-A16AC4B276D3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00" y="333375"/>
          <a:ext cx="2371725" cy="209550"/>
        </a:xfrm>
        <a:prstGeom prst="rect">
          <a:avLst/>
        </a:prstGeom>
        <a:noFill/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476250</xdr:colOff>
      <xdr:row>5</xdr:row>
      <xdr:rowOff>352425</xdr:rowOff>
    </xdr:from>
    <xdr:to>
      <xdr:col>1</xdr:col>
      <xdr:colOff>2847975</xdr:colOff>
      <xdr:row>5</xdr:row>
      <xdr:rowOff>561975</xdr:rowOff>
    </xdr:to>
    <xdr:pic>
      <xdr:nvPicPr>
        <xdr:cNvPr id="2" name="Рисунок 1" descr="bollard">
          <a:extLst>
            <a:ext uri="{FF2B5EF4-FFF2-40B4-BE49-F238E27FC236}">
              <a16:creationId xmlns:a16="http://schemas.microsoft.com/office/drawing/2014/main" id="{F23B6FC4-7900-454D-8D19-8BB189A13564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5850" y="352425"/>
          <a:ext cx="2371725" cy="209550"/>
        </a:xfrm>
        <a:prstGeom prst="rect">
          <a:avLst/>
        </a:prstGeom>
        <a:noFill/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238125</xdr:colOff>
      <xdr:row>5</xdr:row>
      <xdr:rowOff>352425</xdr:rowOff>
    </xdr:from>
    <xdr:to>
      <xdr:col>1</xdr:col>
      <xdr:colOff>2609850</xdr:colOff>
      <xdr:row>5</xdr:row>
      <xdr:rowOff>561975</xdr:rowOff>
    </xdr:to>
    <xdr:pic>
      <xdr:nvPicPr>
        <xdr:cNvPr id="2" name="Рисунок 1" descr="bollard">
          <a:extLst>
            <a:ext uri="{FF2B5EF4-FFF2-40B4-BE49-F238E27FC236}">
              <a16:creationId xmlns:a16="http://schemas.microsoft.com/office/drawing/2014/main" id="{F35C1B05-EA99-47F6-9392-8209BD7D7BA3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725" y="352425"/>
          <a:ext cx="2371725" cy="209550"/>
        </a:xfrm>
        <a:prstGeom prst="rect">
          <a:avLst/>
        </a:prstGeom>
        <a:noFill/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638175</xdr:colOff>
      <xdr:row>5</xdr:row>
      <xdr:rowOff>342900</xdr:rowOff>
    </xdr:from>
    <xdr:to>
      <xdr:col>1</xdr:col>
      <xdr:colOff>3009900</xdr:colOff>
      <xdr:row>5</xdr:row>
      <xdr:rowOff>552450</xdr:rowOff>
    </xdr:to>
    <xdr:pic>
      <xdr:nvPicPr>
        <xdr:cNvPr id="2" name="Рисунок 1" descr="bollard">
          <a:extLst>
            <a:ext uri="{FF2B5EF4-FFF2-40B4-BE49-F238E27FC236}">
              <a16:creationId xmlns:a16="http://schemas.microsoft.com/office/drawing/2014/main" id="{6D81427C-97F6-4FD5-A66F-2EBD13352355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47775" y="342900"/>
          <a:ext cx="2371725" cy="209550"/>
        </a:xfrm>
        <a:prstGeom prst="rect">
          <a:avLst/>
        </a:prstGeom>
        <a:noFill/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615462</xdr:colOff>
      <xdr:row>5</xdr:row>
      <xdr:rowOff>329712</xdr:rowOff>
    </xdr:from>
    <xdr:to>
      <xdr:col>1</xdr:col>
      <xdr:colOff>2987187</xdr:colOff>
      <xdr:row>5</xdr:row>
      <xdr:rowOff>539262</xdr:rowOff>
    </xdr:to>
    <xdr:pic>
      <xdr:nvPicPr>
        <xdr:cNvPr id="2" name="Рисунок 1" descr="bollard">
          <a:extLst>
            <a:ext uri="{FF2B5EF4-FFF2-40B4-BE49-F238E27FC236}">
              <a16:creationId xmlns:a16="http://schemas.microsoft.com/office/drawing/2014/main" id="{4C5B8D4E-BB51-438A-A841-3FEA966B7989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23597" y="329712"/>
          <a:ext cx="2371725" cy="209550"/>
        </a:xfrm>
        <a:prstGeom prst="rect">
          <a:avLst/>
        </a:prstGeom>
        <a:noFill/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781050</xdr:colOff>
      <xdr:row>5</xdr:row>
      <xdr:rowOff>361950</xdr:rowOff>
    </xdr:from>
    <xdr:to>
      <xdr:col>1</xdr:col>
      <xdr:colOff>3152775</xdr:colOff>
      <xdr:row>5</xdr:row>
      <xdr:rowOff>571500</xdr:rowOff>
    </xdr:to>
    <xdr:pic>
      <xdr:nvPicPr>
        <xdr:cNvPr id="2" name="Рисунок 1" descr="bollard">
          <a:extLst>
            <a:ext uri="{FF2B5EF4-FFF2-40B4-BE49-F238E27FC236}">
              <a16:creationId xmlns:a16="http://schemas.microsoft.com/office/drawing/2014/main" id="{7D80B1DE-DB3A-45D6-91E4-81A970BB782B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90650" y="361950"/>
          <a:ext cx="2371725" cy="209550"/>
        </a:xfrm>
        <a:prstGeom prst="rect">
          <a:avLst/>
        </a:prstGeom>
        <a:noFill/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771525</xdr:colOff>
      <xdr:row>5</xdr:row>
      <xdr:rowOff>409575</xdr:rowOff>
    </xdr:from>
    <xdr:to>
      <xdr:col>1</xdr:col>
      <xdr:colOff>3143250</xdr:colOff>
      <xdr:row>5</xdr:row>
      <xdr:rowOff>619125</xdr:rowOff>
    </xdr:to>
    <xdr:pic>
      <xdr:nvPicPr>
        <xdr:cNvPr id="2" name="Рисунок 1" descr="bollard">
          <a:extLst>
            <a:ext uri="{FF2B5EF4-FFF2-40B4-BE49-F238E27FC236}">
              <a16:creationId xmlns:a16="http://schemas.microsoft.com/office/drawing/2014/main" id="{CF54E8F2-3DF6-468B-B636-47C6EE550A88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1125" y="409575"/>
          <a:ext cx="2371725" cy="209550"/>
        </a:xfrm>
        <a:prstGeom prst="rect">
          <a:avLst/>
        </a:prstGeom>
        <a:noFill/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962025</xdr:colOff>
      <xdr:row>5</xdr:row>
      <xdr:rowOff>361950</xdr:rowOff>
    </xdr:from>
    <xdr:to>
      <xdr:col>1</xdr:col>
      <xdr:colOff>3333750</xdr:colOff>
      <xdr:row>5</xdr:row>
      <xdr:rowOff>571500</xdr:rowOff>
    </xdr:to>
    <xdr:pic>
      <xdr:nvPicPr>
        <xdr:cNvPr id="2" name="Рисунок 1" descr="bollard">
          <a:extLst>
            <a:ext uri="{FF2B5EF4-FFF2-40B4-BE49-F238E27FC236}">
              <a16:creationId xmlns:a16="http://schemas.microsoft.com/office/drawing/2014/main" id="{FA276157-A316-4B43-9714-C93D02B20B77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71625" y="361950"/>
          <a:ext cx="2371725" cy="209550"/>
        </a:xfrm>
        <a:prstGeom prst="rect">
          <a:avLst/>
        </a:prstGeom>
        <a:noFill/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495300</xdr:colOff>
      <xdr:row>5</xdr:row>
      <xdr:rowOff>361950</xdr:rowOff>
    </xdr:from>
    <xdr:to>
      <xdr:col>1</xdr:col>
      <xdr:colOff>2867025</xdr:colOff>
      <xdr:row>5</xdr:row>
      <xdr:rowOff>571500</xdr:rowOff>
    </xdr:to>
    <xdr:pic>
      <xdr:nvPicPr>
        <xdr:cNvPr id="2" name="Рисунок 1" descr="bollard">
          <a:extLst>
            <a:ext uri="{FF2B5EF4-FFF2-40B4-BE49-F238E27FC236}">
              <a16:creationId xmlns:a16="http://schemas.microsoft.com/office/drawing/2014/main" id="{7EF91FF5-D199-4F69-9731-979E08A2FBE7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4900" y="361950"/>
          <a:ext cx="2371725" cy="209550"/>
        </a:xfrm>
        <a:prstGeom prst="rect">
          <a:avLst/>
        </a:prstGeom>
        <a:noFill/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238125</xdr:colOff>
      <xdr:row>5</xdr:row>
      <xdr:rowOff>371475</xdr:rowOff>
    </xdr:from>
    <xdr:to>
      <xdr:col>1</xdr:col>
      <xdr:colOff>2609850</xdr:colOff>
      <xdr:row>5</xdr:row>
      <xdr:rowOff>581025</xdr:rowOff>
    </xdr:to>
    <xdr:pic>
      <xdr:nvPicPr>
        <xdr:cNvPr id="3" name="Рисунок 2" descr="bollard">
          <a:extLst>
            <a:ext uri="{FF2B5EF4-FFF2-40B4-BE49-F238E27FC236}">
              <a16:creationId xmlns:a16="http://schemas.microsoft.com/office/drawing/2014/main" id="{CF8A6039-ACF8-4388-BA2F-8C13991EF30F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725" y="371475"/>
          <a:ext cx="2371725" cy="209550"/>
        </a:xfrm>
        <a:prstGeom prst="rect">
          <a:avLst/>
        </a:prstGeom>
        <a:noFill/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190499</xdr:colOff>
      <xdr:row>5</xdr:row>
      <xdr:rowOff>342900</xdr:rowOff>
    </xdr:from>
    <xdr:to>
      <xdr:col>1</xdr:col>
      <xdr:colOff>2562224</xdr:colOff>
      <xdr:row>5</xdr:row>
      <xdr:rowOff>552450</xdr:rowOff>
    </xdr:to>
    <xdr:pic>
      <xdr:nvPicPr>
        <xdr:cNvPr id="3" name="Рисунок 2" descr="bollard">
          <a:extLst>
            <a:ext uri="{FF2B5EF4-FFF2-40B4-BE49-F238E27FC236}">
              <a16:creationId xmlns:a16="http://schemas.microsoft.com/office/drawing/2014/main" id="{D30E0655-C990-4038-BC3D-14C77E071FD8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0099" y="342900"/>
          <a:ext cx="2371725" cy="209550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vmlDrawing" Target="../drawings/vmlDrawing5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3.xml"/><Relationship Id="rId4" Type="http://schemas.openxmlformats.org/officeDocument/2006/relationships/vmlDrawing" Target="../drawings/vmlDrawing7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4.xml"/><Relationship Id="rId4" Type="http://schemas.openxmlformats.org/officeDocument/2006/relationships/vmlDrawing" Target="../drawings/vmlDrawing9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5.xml"/><Relationship Id="rId4" Type="http://schemas.openxmlformats.org/officeDocument/2006/relationships/vmlDrawing" Target="../drawings/vmlDrawing11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6.xml"/><Relationship Id="rId4" Type="http://schemas.openxmlformats.org/officeDocument/2006/relationships/vmlDrawing" Target="../drawings/vmlDrawing13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7.xml"/><Relationship Id="rId4" Type="http://schemas.openxmlformats.org/officeDocument/2006/relationships/vmlDrawing" Target="../drawings/vmlDrawing15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Relationship Id="rId5" Type="http://schemas.openxmlformats.org/officeDocument/2006/relationships/comments" Target="../comments8.xml"/><Relationship Id="rId4" Type="http://schemas.openxmlformats.org/officeDocument/2006/relationships/vmlDrawing" Target="../drawings/vmlDrawing17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5" Type="http://schemas.openxmlformats.org/officeDocument/2006/relationships/comments" Target="../comments9.xml"/><Relationship Id="rId4" Type="http://schemas.openxmlformats.org/officeDocument/2006/relationships/vmlDrawing" Target="../drawings/vmlDrawing19.v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Relationship Id="rId5" Type="http://schemas.openxmlformats.org/officeDocument/2006/relationships/comments" Target="../comments10.xml"/><Relationship Id="rId4" Type="http://schemas.openxmlformats.org/officeDocument/2006/relationships/vmlDrawing" Target="../drawings/vmlDrawing21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Relationship Id="rId5" Type="http://schemas.openxmlformats.org/officeDocument/2006/relationships/comments" Target="../comments11.xml"/><Relationship Id="rId4" Type="http://schemas.openxmlformats.org/officeDocument/2006/relationships/vmlDrawing" Target="../drawings/vmlDrawing23.v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5" Type="http://schemas.openxmlformats.org/officeDocument/2006/relationships/comments" Target="../comments12.xml"/><Relationship Id="rId4" Type="http://schemas.openxmlformats.org/officeDocument/2006/relationships/vmlDrawing" Target="../drawings/vmlDrawing25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2:M193"/>
  <sheetViews>
    <sheetView showGridLines="0" showRuler="0" zoomScaleNormal="100" workbookViewId="0">
      <selection activeCell="H13" sqref="H13"/>
    </sheetView>
  </sheetViews>
  <sheetFormatPr defaultColWidth="9.140625" defaultRowHeight="15" x14ac:dyDescent="0.25"/>
  <cols>
    <col min="1" max="1" width="2.140625" style="13" customWidth="1"/>
    <col min="2" max="2" width="3.7109375" style="13" customWidth="1"/>
    <col min="3" max="3" width="29.140625" style="16" customWidth="1"/>
    <col min="4" max="4" width="9.85546875" style="13" bestFit="1" customWidth="1"/>
    <col min="5" max="7" width="6.140625" style="13" customWidth="1"/>
    <col min="8" max="8" width="14.42578125" style="13" bestFit="1" customWidth="1"/>
    <col min="9" max="9" width="14.7109375" style="13" customWidth="1"/>
    <col min="10" max="10" width="12.5703125" style="13" bestFit="1" customWidth="1"/>
    <col min="11" max="11" width="9.140625" style="13"/>
    <col min="12" max="12" width="0" style="13" hidden="1" customWidth="1"/>
    <col min="13" max="16384" width="9.140625" style="13"/>
  </cols>
  <sheetData>
    <row r="2" spans="2:10" ht="6" customHeight="1" x14ac:dyDescent="0.25"/>
    <row r="3" spans="2:10" x14ac:dyDescent="0.25">
      <c r="C3" s="38" t="s">
        <v>241</v>
      </c>
      <c r="H3" s="39" t="s">
        <v>242</v>
      </c>
    </row>
    <row r="4" spans="2:10" ht="15.75" x14ac:dyDescent="0.25">
      <c r="C4" s="10"/>
      <c r="D4" s="23"/>
      <c r="E4" s="40"/>
      <c r="F4" s="40"/>
      <c r="G4" s="41"/>
      <c r="H4" s="198"/>
      <c r="I4" s="198"/>
      <c r="J4" s="199"/>
    </row>
    <row r="5" spans="2:10" ht="6" customHeight="1" x14ac:dyDescent="0.25">
      <c r="C5" s="42"/>
      <c r="E5" s="43"/>
      <c r="F5" s="44"/>
      <c r="G5" s="43"/>
    </row>
    <row r="6" spans="2:10" x14ac:dyDescent="0.25">
      <c r="C6" s="38" t="s">
        <v>243</v>
      </c>
      <c r="H6" s="39" t="s">
        <v>244</v>
      </c>
    </row>
    <row r="7" spans="2:10" ht="15.75" x14ac:dyDescent="0.25">
      <c r="C7" s="10"/>
      <c r="E7" s="45"/>
      <c r="F7" s="40"/>
      <c r="G7" s="41"/>
      <c r="H7" s="200"/>
      <c r="I7" s="200"/>
      <c r="J7" s="201"/>
    </row>
    <row r="8" spans="2:10" ht="6" customHeight="1" x14ac:dyDescent="0.25">
      <c r="C8" s="46"/>
      <c r="E8" s="43"/>
      <c r="F8" s="43"/>
      <c r="G8" s="43"/>
    </row>
    <row r="9" spans="2:10" x14ac:dyDescent="0.25">
      <c r="C9" s="38" t="s">
        <v>245</v>
      </c>
      <c r="E9" s="21"/>
      <c r="H9" s="39" t="s">
        <v>1744</v>
      </c>
    </row>
    <row r="10" spans="2:10" ht="15.75" x14ac:dyDescent="0.25">
      <c r="C10" s="11"/>
      <c r="E10" s="40"/>
      <c r="F10" s="40"/>
      <c r="G10" s="41"/>
      <c r="H10" s="202"/>
      <c r="I10" s="198"/>
      <c r="J10" s="199"/>
    </row>
    <row r="11" spans="2:10" ht="6" customHeight="1" x14ac:dyDescent="0.25">
      <c r="C11" s="46"/>
      <c r="E11" s="47"/>
      <c r="F11" s="47"/>
      <c r="G11" s="47"/>
    </row>
    <row r="12" spans="2:10" x14ac:dyDescent="0.25">
      <c r="C12" s="38" t="s">
        <v>246</v>
      </c>
    </row>
    <row r="13" spans="2:10" ht="15.75" x14ac:dyDescent="0.25">
      <c r="B13" s="21"/>
      <c r="C13" s="10"/>
    </row>
    <row r="14" spans="2:10" ht="6" customHeight="1" x14ac:dyDescent="0.25">
      <c r="B14" s="21"/>
      <c r="C14" s="46"/>
      <c r="D14" s="21"/>
    </row>
    <row r="15" spans="2:10" x14ac:dyDescent="0.25">
      <c r="B15" s="21"/>
      <c r="C15" s="38" t="s">
        <v>247</v>
      </c>
    </row>
    <row r="16" spans="2:10" ht="15.75" x14ac:dyDescent="0.25">
      <c r="C16" s="11"/>
    </row>
    <row r="17" spans="2:12" ht="15.75" x14ac:dyDescent="0.25">
      <c r="B17" s="48"/>
      <c r="C17" s="49"/>
      <c r="D17" s="50"/>
      <c r="E17" s="48"/>
      <c r="F17" s="48"/>
      <c r="G17" s="48"/>
      <c r="H17" s="48"/>
      <c r="I17" s="48"/>
      <c r="J17" s="48"/>
    </row>
    <row r="18" spans="2:12" x14ac:dyDescent="0.25">
      <c r="B18" s="23"/>
      <c r="C18" s="51"/>
      <c r="D18" s="52"/>
      <c r="E18" s="23"/>
      <c r="F18" s="23"/>
      <c r="G18" s="23"/>
      <c r="H18" s="23"/>
    </row>
    <row r="19" spans="2:12" x14ac:dyDescent="0.25">
      <c r="B19" s="23"/>
      <c r="C19" s="51"/>
      <c r="D19" s="23"/>
      <c r="E19" s="23"/>
      <c r="F19" s="23"/>
      <c r="G19" s="23"/>
      <c r="H19" s="23"/>
    </row>
    <row r="20" spans="2:12" ht="26.25" x14ac:dyDescent="0.25">
      <c r="C20" s="53" t="s">
        <v>248</v>
      </c>
    </row>
    <row r="21" spans="2:12" ht="75" x14ac:dyDescent="0.25">
      <c r="C21" s="54"/>
      <c r="D21" s="89" t="s">
        <v>491</v>
      </c>
      <c r="E21" s="55" t="s">
        <v>223</v>
      </c>
      <c r="F21" s="55" t="s">
        <v>239</v>
      </c>
      <c r="G21" s="188" t="s">
        <v>1736</v>
      </c>
      <c r="H21" s="181" t="s">
        <v>479</v>
      </c>
      <c r="I21" s="89" t="s">
        <v>981</v>
      </c>
      <c r="J21" s="89" t="s">
        <v>937</v>
      </c>
    </row>
    <row r="22" spans="2:12" ht="28.15" customHeight="1" x14ac:dyDescent="0.25">
      <c r="B22" s="13" t="s">
        <v>467</v>
      </c>
      <c r="C22" s="180" t="s">
        <v>470</v>
      </c>
      <c r="D22" s="24">
        <f>'1. GENERAL VESSEL MANAGEMENT'!C2</f>
        <v>22</v>
      </c>
      <c r="E22" s="14">
        <f>'1. GENERAL VESSEL MANAGEMENT'!C3</f>
        <v>0</v>
      </c>
      <c r="F22" s="14">
        <f>'1. GENERAL VESSEL MANAGEMENT'!C4</f>
        <v>0</v>
      </c>
      <c r="G22" s="14">
        <f>'1. GENERAL VESSEL MANAGEMENT'!C5</f>
        <v>22</v>
      </c>
      <c r="H22" s="96" t="str">
        <f t="shared" ref="H22:H28" si="0">IF((G22=D22),"N.A.",(E22/(D22-G22)))</f>
        <v>N.A.</v>
      </c>
      <c r="I22" s="95">
        <f>IFERROR('1. GENERAL VESSEL MANAGEMENT'!H31/('1. GENERAL VESSEL MANAGEMENT'!F31-'1. GENERAL VESSEL MANAGEMENT'!G31), "N.A.")</f>
        <v>0</v>
      </c>
      <c r="J22" s="197">
        <f>SUM(I22:I32)/L33</f>
        <v>0</v>
      </c>
      <c r="K22" s="56"/>
      <c r="L22" s="13">
        <f>IF(I22="N.A.",0,1)</f>
        <v>1</v>
      </c>
    </row>
    <row r="23" spans="2:12" ht="15" customHeight="1" x14ac:dyDescent="0.25">
      <c r="B23" s="13" t="s">
        <v>468</v>
      </c>
      <c r="C23" s="57" t="s">
        <v>469</v>
      </c>
      <c r="D23" s="14">
        <f>'2. HULL'!C2</f>
        <v>9</v>
      </c>
      <c r="E23" s="14">
        <f>'2. HULL'!C3</f>
        <v>0</v>
      </c>
      <c r="F23" s="14">
        <f>'2. HULL'!C4</f>
        <v>0</v>
      </c>
      <c r="G23" s="14">
        <f>'2. HULL'!C5</f>
        <v>9</v>
      </c>
      <c r="H23" s="96" t="str">
        <f t="shared" si="0"/>
        <v>N.A.</v>
      </c>
      <c r="I23" s="95" t="str">
        <f>IFERROR('2. HULL'!H18/('2. HULL'!F18-'2. HULL'!G18), "N.A.")</f>
        <v>N.A.</v>
      </c>
      <c r="J23" s="197"/>
      <c r="K23" s="56"/>
      <c r="L23" s="13">
        <f t="shared" ref="L23:L32" si="1">IF(I23="N.A.",0,1)</f>
        <v>0</v>
      </c>
    </row>
    <row r="24" spans="2:12" ht="28.9" customHeight="1" x14ac:dyDescent="0.25">
      <c r="B24" s="13" t="s">
        <v>471</v>
      </c>
      <c r="C24" s="182" t="s">
        <v>474</v>
      </c>
      <c r="D24" s="14">
        <f>'3. SUPERSTRUCTURE – EXTERNAL'!C2</f>
        <v>6</v>
      </c>
      <c r="E24" s="14">
        <f>'3. SUPERSTRUCTURE – EXTERNAL'!C3</f>
        <v>0</v>
      </c>
      <c r="F24" s="14">
        <f>'3. SUPERSTRUCTURE – EXTERNAL'!C4</f>
        <v>0</v>
      </c>
      <c r="G24" s="14">
        <f>'3. SUPERSTRUCTURE – EXTERNAL'!C5</f>
        <v>6</v>
      </c>
      <c r="H24" s="96" t="str">
        <f t="shared" si="0"/>
        <v>N.A.</v>
      </c>
      <c r="I24" s="95" t="str">
        <f>IFERROR('3. SUPERSTRUCTURE – EXTERNAL'!H15/('3. SUPERSTRUCTURE – EXTERNAL'!F15-'3. SUPERSTRUCTURE – EXTERNAL'!G15), "N.A")</f>
        <v>N.A</v>
      </c>
      <c r="J24" s="197"/>
      <c r="K24" s="56"/>
      <c r="L24" s="13">
        <f t="shared" si="1"/>
        <v>1</v>
      </c>
    </row>
    <row r="25" spans="2:12" ht="15" customHeight="1" x14ac:dyDescent="0.25">
      <c r="B25" s="13" t="s">
        <v>472</v>
      </c>
      <c r="C25" s="57" t="s">
        <v>473</v>
      </c>
      <c r="D25" s="14">
        <f>'4. DECKS'!C2</f>
        <v>87</v>
      </c>
      <c r="E25" s="14">
        <f>'4. DECKS'!C3</f>
        <v>0</v>
      </c>
      <c r="F25" s="14">
        <f>'4. DECKS'!C4</f>
        <v>0</v>
      </c>
      <c r="G25" s="14">
        <f>'4. DECKS'!C5</f>
        <v>87</v>
      </c>
      <c r="H25" s="96" t="str">
        <f t="shared" si="0"/>
        <v>N.A.</v>
      </c>
      <c r="I25" s="95" t="str">
        <f>IFERROR('4. DECKS'!H110/('4. DECKS'!F110-'4. DECKS'!G110), "N.A.")</f>
        <v>N.A.</v>
      </c>
      <c r="J25" s="197"/>
      <c r="K25" s="56"/>
      <c r="L25" s="13">
        <f t="shared" si="1"/>
        <v>0</v>
      </c>
    </row>
    <row r="26" spans="2:12" ht="30.75" customHeight="1" x14ac:dyDescent="0.25">
      <c r="B26" s="13" t="s">
        <v>475</v>
      </c>
      <c r="C26" s="182" t="s">
        <v>476</v>
      </c>
      <c r="D26" s="14">
        <f>'5. DECK MACHINERY'!C2</f>
        <v>19</v>
      </c>
      <c r="E26" s="14">
        <f>'5. DECK MACHINERY'!C3</f>
        <v>0</v>
      </c>
      <c r="F26" s="14">
        <f>'5. DECK MACHINERY'!C4</f>
        <v>0</v>
      </c>
      <c r="G26" s="14">
        <f>'5. DECK MACHINERY'!C5</f>
        <v>19</v>
      </c>
      <c r="H26" s="96" t="str">
        <f t="shared" si="0"/>
        <v>N.A.</v>
      </c>
      <c r="I26" s="95" t="str">
        <f>IFERROR('5. DECK MACHINERY'!H28/('5. DECK MACHINERY'!F28-'5. DECK MACHINERY'!G28), "N.A.")</f>
        <v>N.A.</v>
      </c>
      <c r="J26" s="197"/>
      <c r="K26" s="56"/>
      <c r="L26" s="13">
        <f t="shared" si="1"/>
        <v>0</v>
      </c>
    </row>
    <row r="27" spans="2:12" ht="15" customHeight="1" x14ac:dyDescent="0.25">
      <c r="B27" s="13" t="s">
        <v>478</v>
      </c>
      <c r="C27" s="57" t="s">
        <v>477</v>
      </c>
      <c r="D27" s="14">
        <f>'6. WHEELHOUSE'!C2</f>
        <v>26</v>
      </c>
      <c r="E27" s="14">
        <f>'6. WHEELHOUSE'!C3</f>
        <v>0</v>
      </c>
      <c r="F27" s="14">
        <f>'6. WHEELHOUSE'!C4</f>
        <v>0</v>
      </c>
      <c r="G27" s="14">
        <f>'6. WHEELHOUSE'!C5</f>
        <v>26</v>
      </c>
      <c r="H27" s="96" t="str">
        <f t="shared" si="0"/>
        <v>N.A.</v>
      </c>
      <c r="I27" s="95" t="str">
        <f>IFERROR('6. WHEELHOUSE'!H35/('6. WHEELHOUSE'!F35-'6. WHEELHOUSE'!G35), "N.A.")</f>
        <v>N.A.</v>
      </c>
      <c r="J27" s="197"/>
      <c r="K27" s="56"/>
      <c r="L27" s="13">
        <f t="shared" si="1"/>
        <v>0</v>
      </c>
    </row>
    <row r="28" spans="2:12" ht="28.9" customHeight="1" x14ac:dyDescent="0.25">
      <c r="B28" s="13" t="s">
        <v>480</v>
      </c>
      <c r="C28" s="182" t="s">
        <v>485</v>
      </c>
      <c r="D28" s="14">
        <f>'7. ACCOMODATION'!C2</f>
        <v>36</v>
      </c>
      <c r="E28" s="14">
        <f>'7. ACCOMODATION'!C3</f>
        <v>0</v>
      </c>
      <c r="F28" s="14">
        <f>'7. ACCOMODATION'!C4</f>
        <v>0</v>
      </c>
      <c r="G28" s="14">
        <f>'7. ACCOMODATION'!C5</f>
        <v>36</v>
      </c>
      <c r="H28" s="96" t="str">
        <f t="shared" si="0"/>
        <v>N.A.</v>
      </c>
      <c r="I28" s="95" t="str">
        <f>IFERROR('7. ACCOMODATION'!H50/('7. ACCOMODATION'!F50-'7. ACCOMODATION'!G50), "N.A.")</f>
        <v>N.A.</v>
      </c>
      <c r="J28" s="197"/>
      <c r="K28" s="56"/>
      <c r="L28" s="13">
        <f t="shared" si="1"/>
        <v>0</v>
      </c>
    </row>
    <row r="29" spans="2:12" ht="28.15" customHeight="1" x14ac:dyDescent="0.25">
      <c r="B29" s="13" t="s">
        <v>481</v>
      </c>
      <c r="C29" s="182" t="s">
        <v>486</v>
      </c>
      <c r="D29" s="14">
        <f>'8. GALLEY, LAUNDRY &amp; STORES'!C2</f>
        <v>27</v>
      </c>
      <c r="E29" s="14">
        <f>'8. GALLEY, LAUNDRY &amp; STORES'!C3</f>
        <v>0</v>
      </c>
      <c r="F29" s="14">
        <f>'8. GALLEY, LAUNDRY &amp; STORES'!C4</f>
        <v>0</v>
      </c>
      <c r="G29" s="14">
        <f>'8. GALLEY, LAUNDRY &amp; STORES'!C5</f>
        <v>27</v>
      </c>
      <c r="H29" s="96" t="str">
        <f>IF((G29=D29),"N.A.",(E29/(D29-G29)))</f>
        <v>N.A.</v>
      </c>
      <c r="I29" s="95" t="str">
        <f>IFERROR('8. GALLEY, LAUNDRY &amp; STORES'!H36/('8. GALLEY, LAUNDRY &amp; STORES'!F36-'8. GALLEY, LAUNDRY &amp; STORES'!G36), "N.A.")</f>
        <v>N.A.</v>
      </c>
      <c r="J29" s="197"/>
      <c r="K29" s="56"/>
      <c r="L29" s="13">
        <f t="shared" si="1"/>
        <v>0</v>
      </c>
    </row>
    <row r="30" spans="2:12" ht="30.2" customHeight="1" x14ac:dyDescent="0.25">
      <c r="B30" s="13" t="s">
        <v>482</v>
      </c>
      <c r="C30" s="182" t="s">
        <v>487</v>
      </c>
      <c r="D30" s="14">
        <f>'9. TECHNICAL SPACES'!C2</f>
        <v>175</v>
      </c>
      <c r="E30" s="14">
        <f>'9. TECHNICAL SPACES'!C3</f>
        <v>0</v>
      </c>
      <c r="F30" s="14">
        <f>'9. TECHNICAL SPACES'!C4</f>
        <v>0</v>
      </c>
      <c r="G30" s="14">
        <f>'9. TECHNICAL SPACES'!C5</f>
        <v>175</v>
      </c>
      <c r="H30" s="96" t="str">
        <f>IF((G30=D30),"N.A.",(E30/(D30-G30)))</f>
        <v>N.A.</v>
      </c>
      <c r="I30" s="95" t="str">
        <f>IFERROR('9. TECHNICAL SPACES'!H211/('9. TECHNICAL SPACES'!F211-'9. TECHNICAL SPACES'!G211), "N.A.")</f>
        <v>N.A.</v>
      </c>
      <c r="J30" s="197"/>
      <c r="K30" s="56"/>
      <c r="L30" s="13">
        <f t="shared" si="1"/>
        <v>0</v>
      </c>
    </row>
    <row r="31" spans="2:12" ht="27.6" customHeight="1" x14ac:dyDescent="0.25">
      <c r="B31" s="13" t="s">
        <v>483</v>
      </c>
      <c r="C31" s="182" t="s">
        <v>488</v>
      </c>
      <c r="D31" s="14">
        <f>'10. TANKS, VOIDS AND STORE SPAC'!C2</f>
        <v>16</v>
      </c>
      <c r="E31" s="14">
        <f>'10. TANKS, VOIDS AND STORE SPAC'!C3</f>
        <v>0</v>
      </c>
      <c r="F31" s="14">
        <f>'10. TANKS, VOIDS AND STORE SPAC'!C4</f>
        <v>0</v>
      </c>
      <c r="G31" s="14">
        <f>'10. TANKS, VOIDS AND STORE SPAC'!C5</f>
        <v>16</v>
      </c>
      <c r="H31" s="96" t="str">
        <f>IF((G31=D31),"N.A.",(E31/(D31-G31)))</f>
        <v>N.A.</v>
      </c>
      <c r="I31" s="95" t="str">
        <f>IFERROR('10. TANKS, VOIDS AND STORE SPAC'!H25/('10. TANKS, VOIDS AND STORE SPAC'!F25-'10. TANKS, VOIDS AND STORE SPAC'!G25), "N.A.")</f>
        <v>N.A.</v>
      </c>
      <c r="J31" s="197"/>
      <c r="K31" s="56"/>
      <c r="L31" s="13">
        <f t="shared" si="1"/>
        <v>0</v>
      </c>
    </row>
    <row r="32" spans="2:12" ht="15" customHeight="1" x14ac:dyDescent="0.25">
      <c r="B32" s="48" t="s">
        <v>484</v>
      </c>
      <c r="C32" s="90" t="s">
        <v>489</v>
      </c>
      <c r="D32" s="14">
        <f>'11. SAFETY'!C2</f>
        <v>40</v>
      </c>
      <c r="E32" s="14">
        <f>'11. SAFETY'!C3</f>
        <v>0</v>
      </c>
      <c r="F32" s="14">
        <f>'11. SAFETY'!C4</f>
        <v>0</v>
      </c>
      <c r="G32" s="14">
        <f>'11. SAFETY'!C5</f>
        <v>40</v>
      </c>
      <c r="H32" s="96" t="str">
        <f>IF((G32=D32),"N.A.",(E32/(D32-G32)))</f>
        <v>N.A.</v>
      </c>
      <c r="I32" s="95" t="str">
        <f>IFERROR('11. SAFETY'!H53/('11. SAFETY'!F53-'11. SAFETY'!G53), "N.A.")</f>
        <v>N.A.</v>
      </c>
      <c r="J32" s="197"/>
      <c r="K32" s="56"/>
      <c r="L32" s="13">
        <f t="shared" si="1"/>
        <v>0</v>
      </c>
    </row>
    <row r="33" spans="2:13" ht="23.25" x14ac:dyDescent="0.35">
      <c r="C33" s="54" t="s">
        <v>492</v>
      </c>
      <c r="D33" s="97">
        <f>SUM(D22:D32)</f>
        <v>463</v>
      </c>
      <c r="E33" s="97">
        <f>SUM(E22:E32)</f>
        <v>0</v>
      </c>
      <c r="F33" s="97">
        <f>SUM(F22:F32)</f>
        <v>0</v>
      </c>
      <c r="G33" s="97">
        <f>SUM(G22:G32)</f>
        <v>463</v>
      </c>
      <c r="H33" s="59"/>
      <c r="I33" s="52"/>
      <c r="J33" s="58"/>
      <c r="K33" s="87"/>
      <c r="L33" s="13">
        <f>SUM(L22:L32)</f>
        <v>2</v>
      </c>
      <c r="M33" s="88"/>
    </row>
    <row r="34" spans="2:13" ht="23.25" x14ac:dyDescent="0.35">
      <c r="D34" s="23"/>
      <c r="E34" s="23"/>
      <c r="F34" s="23"/>
      <c r="G34" s="23"/>
      <c r="H34" s="59"/>
      <c r="I34" s="52"/>
      <c r="J34" s="58"/>
    </row>
    <row r="35" spans="2:13" x14ac:dyDescent="0.25">
      <c r="B35" s="60" t="s">
        <v>490</v>
      </c>
      <c r="L35" s="61"/>
    </row>
    <row r="36" spans="2:13" x14ac:dyDescent="0.25">
      <c r="B36" s="194"/>
      <c r="C36" s="195"/>
      <c r="D36" s="195"/>
      <c r="E36" s="195"/>
      <c r="F36" s="195"/>
      <c r="G36" s="195"/>
      <c r="H36" s="195"/>
      <c r="I36" s="195"/>
      <c r="J36" s="196"/>
    </row>
    <row r="37" spans="2:13" x14ac:dyDescent="0.25">
      <c r="B37" s="206"/>
      <c r="C37" s="207"/>
      <c r="D37" s="207"/>
      <c r="E37" s="207"/>
      <c r="F37" s="207"/>
      <c r="G37" s="207"/>
      <c r="H37" s="207"/>
      <c r="I37" s="207"/>
      <c r="J37" s="208"/>
    </row>
    <row r="38" spans="2:13" x14ac:dyDescent="0.25">
      <c r="B38" s="206"/>
      <c r="C38" s="207"/>
      <c r="D38" s="207"/>
      <c r="E38" s="207"/>
      <c r="F38" s="207"/>
      <c r="G38" s="207"/>
      <c r="H38" s="207"/>
      <c r="I38" s="207"/>
      <c r="J38" s="208"/>
    </row>
    <row r="39" spans="2:13" x14ac:dyDescent="0.25">
      <c r="B39" s="206"/>
      <c r="C39" s="207"/>
      <c r="D39" s="207"/>
      <c r="E39" s="207"/>
      <c r="F39" s="207"/>
      <c r="G39" s="207"/>
      <c r="H39" s="207"/>
      <c r="I39" s="207"/>
      <c r="J39" s="208"/>
    </row>
    <row r="40" spans="2:13" x14ac:dyDescent="0.25">
      <c r="B40" s="206"/>
      <c r="C40" s="207"/>
      <c r="D40" s="207"/>
      <c r="E40" s="207"/>
      <c r="F40" s="207"/>
      <c r="G40" s="207"/>
      <c r="H40" s="207"/>
      <c r="I40" s="207"/>
      <c r="J40" s="208"/>
    </row>
    <row r="41" spans="2:13" x14ac:dyDescent="0.25">
      <c r="B41" s="206"/>
      <c r="C41" s="207"/>
      <c r="D41" s="207"/>
      <c r="E41" s="207"/>
      <c r="F41" s="207"/>
      <c r="G41" s="207"/>
      <c r="H41" s="207"/>
      <c r="I41" s="207"/>
      <c r="J41" s="208"/>
    </row>
    <row r="42" spans="2:13" x14ac:dyDescent="0.25">
      <c r="B42" s="206"/>
      <c r="C42" s="207"/>
      <c r="D42" s="207"/>
      <c r="E42" s="207"/>
      <c r="F42" s="207"/>
      <c r="G42" s="207"/>
      <c r="H42" s="207"/>
      <c r="I42" s="207"/>
      <c r="J42" s="208"/>
    </row>
    <row r="43" spans="2:13" x14ac:dyDescent="0.25">
      <c r="B43" s="206"/>
      <c r="C43" s="207"/>
      <c r="D43" s="207"/>
      <c r="E43" s="207"/>
      <c r="F43" s="207"/>
      <c r="G43" s="207"/>
      <c r="H43" s="207"/>
      <c r="I43" s="207"/>
      <c r="J43" s="208"/>
    </row>
    <row r="44" spans="2:13" x14ac:dyDescent="0.25">
      <c r="B44" s="206"/>
      <c r="C44" s="207"/>
      <c r="D44" s="207"/>
      <c r="E44" s="207"/>
      <c r="F44" s="207"/>
      <c r="G44" s="207"/>
      <c r="H44" s="207"/>
      <c r="I44" s="207"/>
      <c r="J44" s="208"/>
    </row>
    <row r="45" spans="2:13" x14ac:dyDescent="0.25">
      <c r="B45" s="206"/>
      <c r="C45" s="207"/>
      <c r="D45" s="207"/>
      <c r="E45" s="207"/>
      <c r="F45" s="207"/>
      <c r="G45" s="207"/>
      <c r="H45" s="207"/>
      <c r="I45" s="207"/>
      <c r="J45" s="208"/>
    </row>
    <row r="46" spans="2:13" x14ac:dyDescent="0.25">
      <c r="B46" s="203"/>
      <c r="C46" s="204"/>
      <c r="D46" s="204"/>
      <c r="E46" s="204"/>
      <c r="F46" s="204"/>
      <c r="G46" s="204"/>
      <c r="H46" s="204"/>
      <c r="I46" s="204"/>
      <c r="J46" s="205"/>
    </row>
    <row r="48" spans="2:13" x14ac:dyDescent="0.25">
      <c r="B48" s="98" t="s">
        <v>996</v>
      </c>
      <c r="C48" s="98"/>
      <c r="D48" s="98" t="s">
        <v>995</v>
      </c>
      <c r="F48" s="98"/>
      <c r="G48" s="98"/>
      <c r="H48" s="98"/>
      <c r="I48" s="71" t="s">
        <v>998</v>
      </c>
      <c r="J48" s="98"/>
    </row>
    <row r="51" spans="2:10" x14ac:dyDescent="0.25">
      <c r="B51" s="48"/>
      <c r="C51" s="70"/>
      <c r="D51" s="48"/>
      <c r="E51" s="48"/>
      <c r="F51" s="48"/>
      <c r="G51" s="48"/>
      <c r="H51" s="48"/>
      <c r="I51" s="48"/>
      <c r="J51" s="48"/>
    </row>
    <row r="52" spans="2:10" x14ac:dyDescent="0.25">
      <c r="B52" s="23"/>
      <c r="C52" s="51"/>
      <c r="D52" s="23"/>
      <c r="E52" s="23"/>
      <c r="F52" s="23"/>
      <c r="G52" s="23"/>
      <c r="H52" s="23"/>
      <c r="I52" s="23"/>
      <c r="J52" s="23"/>
    </row>
    <row r="53" spans="2:10" x14ac:dyDescent="0.25">
      <c r="B53" s="23"/>
      <c r="C53" s="51"/>
      <c r="D53" s="23"/>
      <c r="E53" s="23"/>
      <c r="F53" s="23"/>
      <c r="G53" s="23"/>
      <c r="H53" s="23"/>
      <c r="I53" s="23"/>
      <c r="J53" s="23"/>
    </row>
    <row r="54" spans="2:10" x14ac:dyDescent="0.25">
      <c r="B54" s="98" t="s">
        <v>997</v>
      </c>
      <c r="C54" s="98"/>
      <c r="D54" s="98" t="s">
        <v>1030</v>
      </c>
      <c r="E54" s="98"/>
      <c r="F54" s="98"/>
      <c r="G54" s="98"/>
      <c r="H54" s="98"/>
      <c r="I54" s="71" t="s">
        <v>1031</v>
      </c>
      <c r="J54" s="98"/>
    </row>
    <row r="57" spans="2:10" x14ac:dyDescent="0.25">
      <c r="B57" s="48"/>
      <c r="C57" s="70"/>
      <c r="D57" s="48"/>
      <c r="E57" s="48"/>
      <c r="F57" s="48"/>
      <c r="G57" s="48"/>
      <c r="H57" s="48"/>
      <c r="I57" s="48"/>
      <c r="J57" s="48"/>
    </row>
    <row r="73" spans="3:3" x14ac:dyDescent="0.25">
      <c r="C73" s="191"/>
    </row>
    <row r="193" spans="2:2" x14ac:dyDescent="0.25">
      <c r="B193" s="21"/>
    </row>
  </sheetData>
  <sheetProtection selectLockedCells="1"/>
  <mergeCells count="15">
    <mergeCell ref="B46:J46"/>
    <mergeCell ref="B37:J37"/>
    <mergeCell ref="B38:J38"/>
    <mergeCell ref="B39:J39"/>
    <mergeCell ref="B40:J40"/>
    <mergeCell ref="B41:J41"/>
    <mergeCell ref="B42:J42"/>
    <mergeCell ref="B43:J43"/>
    <mergeCell ref="B44:J44"/>
    <mergeCell ref="B45:J45"/>
    <mergeCell ref="B36:J36"/>
    <mergeCell ref="J22:J32"/>
    <mergeCell ref="H4:J4"/>
    <mergeCell ref="H7:J7"/>
    <mergeCell ref="H10:J10"/>
  </mergeCells>
  <phoneticPr fontId="0" type="noConversion"/>
  <conditionalFormatting sqref="H22:H32">
    <cfRule type="colorScale" priority="21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J33:J34">
    <cfRule type="colorScale" priority="2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J22">
    <cfRule type="colorScale" priority="1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pageMargins left="3.937007874015748E-2" right="3.937007874015748E-2" top="0.94488188976377963" bottom="0.74803149606299213" header="0.19685039370078741" footer="0.31496062992125984"/>
  <pageSetup paperSize="9" scale="86" orientation="portrait" r:id="rId1"/>
  <headerFooter>
    <oddHeader>&amp;L&amp;G&amp;C&amp;A&amp;R</oddHeader>
    <oddFooter>&amp;L&amp;F&amp;C&amp;RPage &amp;P / &amp;N</oddFooter>
  </headerFooter>
  <ignoredErrors>
    <ignoredError sqref="B22:B32" numberStoredAsText="1"/>
    <ignoredError sqref="H29" formula="1"/>
  </ignoredErrors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3">
    <pageSetUpPr fitToPage="1"/>
  </sheetPr>
  <dimension ref="A1:B99"/>
  <sheetViews>
    <sheetView showGridLines="0" zoomScaleNormal="100" workbookViewId="0">
      <selection activeCell="A49" sqref="A49"/>
    </sheetView>
  </sheetViews>
  <sheetFormatPr defaultColWidth="9.140625" defaultRowHeight="15" x14ac:dyDescent="0.25"/>
  <cols>
    <col min="1" max="1" width="102.42578125" style="13" bestFit="1" customWidth="1"/>
    <col min="2" max="2" width="20.7109375" style="13" customWidth="1"/>
    <col min="3" max="16384" width="9.140625" style="13"/>
  </cols>
  <sheetData>
    <row r="1" spans="1:2" x14ac:dyDescent="0.25">
      <c r="A1" s="13" t="s">
        <v>999</v>
      </c>
    </row>
    <row r="2" spans="1:2" x14ac:dyDescent="0.25">
      <c r="A2" s="99" t="s">
        <v>1000</v>
      </c>
    </row>
    <row r="3" spans="1:2" ht="60" x14ac:dyDescent="0.25">
      <c r="A3" s="192" t="s">
        <v>1745</v>
      </c>
    </row>
    <row r="4" spans="1:2" x14ac:dyDescent="0.25">
      <c r="A4" s="99" t="s">
        <v>1001</v>
      </c>
    </row>
    <row r="5" spans="1:2" ht="30" x14ac:dyDescent="0.25">
      <c r="A5" s="183" t="s">
        <v>1040</v>
      </c>
    </row>
    <row r="8" spans="1:2" ht="51.75" customHeight="1" x14ac:dyDescent="0.25">
      <c r="A8" s="193" t="s">
        <v>1746</v>
      </c>
      <c r="B8" s="111" t="s">
        <v>1737</v>
      </c>
    </row>
    <row r="9" spans="1:2" x14ac:dyDescent="0.25">
      <c r="A9" s="177"/>
      <c r="B9" s="104"/>
    </row>
    <row r="10" spans="1:2" x14ac:dyDescent="0.25">
      <c r="A10" s="178"/>
      <c r="B10" s="105"/>
    </row>
    <row r="11" spans="1:2" x14ac:dyDescent="0.25">
      <c r="A11" s="178"/>
      <c r="B11" s="105"/>
    </row>
    <row r="12" spans="1:2" x14ac:dyDescent="0.25">
      <c r="A12" s="178"/>
      <c r="B12" s="105"/>
    </row>
    <row r="13" spans="1:2" x14ac:dyDescent="0.25">
      <c r="A13" s="178"/>
      <c r="B13" s="105"/>
    </row>
    <row r="14" spans="1:2" x14ac:dyDescent="0.25">
      <c r="A14" s="178"/>
      <c r="B14" s="105"/>
    </row>
    <row r="15" spans="1:2" x14ac:dyDescent="0.25">
      <c r="A15" s="178"/>
      <c r="B15" s="105"/>
    </row>
    <row r="16" spans="1:2" x14ac:dyDescent="0.25">
      <c r="A16" s="178"/>
      <c r="B16" s="105"/>
    </row>
    <row r="17" spans="1:2" x14ac:dyDescent="0.25">
      <c r="A17" s="178"/>
      <c r="B17" s="105"/>
    </row>
    <row r="18" spans="1:2" x14ac:dyDescent="0.25">
      <c r="A18" s="178"/>
      <c r="B18" s="105"/>
    </row>
    <row r="19" spans="1:2" x14ac:dyDescent="0.25">
      <c r="A19" s="178"/>
      <c r="B19" s="105"/>
    </row>
    <row r="20" spans="1:2" x14ac:dyDescent="0.25">
      <c r="A20" s="178"/>
      <c r="B20" s="105"/>
    </row>
    <row r="21" spans="1:2" x14ac:dyDescent="0.25">
      <c r="A21" s="178"/>
      <c r="B21" s="105"/>
    </row>
    <row r="22" spans="1:2" x14ac:dyDescent="0.25">
      <c r="A22" s="178"/>
      <c r="B22" s="105"/>
    </row>
    <row r="23" spans="1:2" x14ac:dyDescent="0.25">
      <c r="A23" s="178"/>
      <c r="B23" s="105"/>
    </row>
    <row r="24" spans="1:2" x14ac:dyDescent="0.25">
      <c r="A24" s="178"/>
      <c r="B24" s="105"/>
    </row>
    <row r="25" spans="1:2" x14ac:dyDescent="0.25">
      <c r="A25" s="178"/>
      <c r="B25" s="105"/>
    </row>
    <row r="26" spans="1:2" x14ac:dyDescent="0.25">
      <c r="A26" s="178"/>
      <c r="B26" s="105"/>
    </row>
    <row r="27" spans="1:2" x14ac:dyDescent="0.25">
      <c r="A27" s="178"/>
      <c r="B27" s="105"/>
    </row>
    <row r="28" spans="1:2" x14ac:dyDescent="0.25">
      <c r="A28" s="178"/>
      <c r="B28" s="105"/>
    </row>
    <row r="29" spans="1:2" x14ac:dyDescent="0.25">
      <c r="A29" s="178"/>
      <c r="B29" s="105"/>
    </row>
    <row r="30" spans="1:2" x14ac:dyDescent="0.25">
      <c r="A30" s="178"/>
      <c r="B30" s="105"/>
    </row>
    <row r="31" spans="1:2" x14ac:dyDescent="0.25">
      <c r="A31" s="178"/>
      <c r="B31" s="105"/>
    </row>
    <row r="32" spans="1:2" x14ac:dyDescent="0.25">
      <c r="A32" s="178"/>
      <c r="B32" s="105"/>
    </row>
    <row r="33" spans="1:2" x14ac:dyDescent="0.25">
      <c r="A33" s="178"/>
      <c r="B33" s="105"/>
    </row>
    <row r="34" spans="1:2" x14ac:dyDescent="0.25">
      <c r="A34" s="178"/>
      <c r="B34" s="105"/>
    </row>
    <row r="35" spans="1:2" x14ac:dyDescent="0.25">
      <c r="A35" s="178"/>
      <c r="B35" s="105"/>
    </row>
    <row r="36" spans="1:2" x14ac:dyDescent="0.25">
      <c r="A36" s="178"/>
      <c r="B36" s="105"/>
    </row>
    <row r="37" spans="1:2" x14ac:dyDescent="0.25">
      <c r="A37" s="178"/>
      <c r="B37" s="105"/>
    </row>
    <row r="38" spans="1:2" x14ac:dyDescent="0.25">
      <c r="A38" s="178"/>
      <c r="B38" s="105"/>
    </row>
    <row r="39" spans="1:2" x14ac:dyDescent="0.25">
      <c r="A39" s="178"/>
      <c r="B39" s="105"/>
    </row>
    <row r="40" spans="1:2" x14ac:dyDescent="0.25">
      <c r="A40" s="178"/>
      <c r="B40" s="105"/>
    </row>
    <row r="41" spans="1:2" x14ac:dyDescent="0.25">
      <c r="A41" s="178"/>
      <c r="B41" s="105"/>
    </row>
    <row r="42" spans="1:2" x14ac:dyDescent="0.25">
      <c r="A42" s="178"/>
      <c r="B42" s="105"/>
    </row>
    <row r="43" spans="1:2" x14ac:dyDescent="0.25">
      <c r="A43" s="178"/>
      <c r="B43" s="105"/>
    </row>
    <row r="44" spans="1:2" x14ac:dyDescent="0.25">
      <c r="A44" s="178"/>
      <c r="B44" s="105"/>
    </row>
    <row r="45" spans="1:2" x14ac:dyDescent="0.25">
      <c r="A45" s="178"/>
      <c r="B45" s="105"/>
    </row>
    <row r="46" spans="1:2" x14ac:dyDescent="0.25">
      <c r="A46" s="178"/>
      <c r="B46" s="105"/>
    </row>
    <row r="47" spans="1:2" x14ac:dyDescent="0.25">
      <c r="A47" s="178"/>
      <c r="B47" s="105"/>
    </row>
    <row r="48" spans="1:2" x14ac:dyDescent="0.25">
      <c r="A48" s="178"/>
      <c r="B48" s="105"/>
    </row>
    <row r="49" spans="1:2" x14ac:dyDescent="0.25">
      <c r="A49" s="178"/>
      <c r="B49" s="105"/>
    </row>
    <row r="50" spans="1:2" x14ac:dyDescent="0.25">
      <c r="A50" s="179"/>
      <c r="B50" s="106"/>
    </row>
    <row r="51" spans="1:2" x14ac:dyDescent="0.25">
      <c r="A51" s="91"/>
    </row>
    <row r="52" spans="1:2" x14ac:dyDescent="0.25">
      <c r="A52" s="91"/>
    </row>
    <row r="54" spans="1:2" ht="60" x14ac:dyDescent="0.25">
      <c r="A54" s="193" t="s">
        <v>1746</v>
      </c>
      <c r="B54" s="101" t="s">
        <v>1002</v>
      </c>
    </row>
    <row r="55" spans="1:2" x14ac:dyDescent="0.25">
      <c r="A55" s="177"/>
      <c r="B55" s="104"/>
    </row>
    <row r="56" spans="1:2" x14ac:dyDescent="0.25">
      <c r="A56" s="178"/>
      <c r="B56" s="105"/>
    </row>
    <row r="57" spans="1:2" x14ac:dyDescent="0.25">
      <c r="A57" s="178"/>
      <c r="B57" s="105"/>
    </row>
    <row r="58" spans="1:2" x14ac:dyDescent="0.25">
      <c r="A58" s="178"/>
      <c r="B58" s="105"/>
    </row>
    <row r="59" spans="1:2" x14ac:dyDescent="0.25">
      <c r="A59" s="178"/>
      <c r="B59" s="105"/>
    </row>
    <row r="60" spans="1:2" x14ac:dyDescent="0.25">
      <c r="A60" s="178"/>
      <c r="B60" s="105"/>
    </row>
    <row r="61" spans="1:2" x14ac:dyDescent="0.25">
      <c r="A61" s="178"/>
      <c r="B61" s="105"/>
    </row>
    <row r="62" spans="1:2" x14ac:dyDescent="0.25">
      <c r="A62" s="178"/>
      <c r="B62" s="105"/>
    </row>
    <row r="63" spans="1:2" x14ac:dyDescent="0.25">
      <c r="A63" s="178"/>
      <c r="B63" s="105"/>
    </row>
    <row r="64" spans="1:2" x14ac:dyDescent="0.25">
      <c r="A64" s="178"/>
      <c r="B64" s="105"/>
    </row>
    <row r="65" spans="1:2" x14ac:dyDescent="0.25">
      <c r="A65" s="178"/>
      <c r="B65" s="105"/>
    </row>
    <row r="66" spans="1:2" x14ac:dyDescent="0.25">
      <c r="A66" s="178"/>
      <c r="B66" s="105"/>
    </row>
    <row r="67" spans="1:2" x14ac:dyDescent="0.25">
      <c r="A67" s="178"/>
      <c r="B67" s="105"/>
    </row>
    <row r="68" spans="1:2" x14ac:dyDescent="0.25">
      <c r="A68" s="178"/>
      <c r="B68" s="105"/>
    </row>
    <row r="69" spans="1:2" x14ac:dyDescent="0.25">
      <c r="A69" s="178"/>
      <c r="B69" s="105"/>
    </row>
    <row r="70" spans="1:2" x14ac:dyDescent="0.25">
      <c r="A70" s="178"/>
      <c r="B70" s="105"/>
    </row>
    <row r="71" spans="1:2" x14ac:dyDescent="0.25">
      <c r="A71" s="178"/>
      <c r="B71" s="105"/>
    </row>
    <row r="72" spans="1:2" x14ac:dyDescent="0.25">
      <c r="A72" s="178"/>
      <c r="B72" s="105"/>
    </row>
    <row r="73" spans="1:2" x14ac:dyDescent="0.25">
      <c r="A73" s="178"/>
      <c r="B73" s="105"/>
    </row>
    <row r="74" spans="1:2" x14ac:dyDescent="0.25">
      <c r="A74" s="178"/>
      <c r="B74" s="105"/>
    </row>
    <row r="75" spans="1:2" x14ac:dyDescent="0.25">
      <c r="A75" s="178"/>
      <c r="B75" s="105"/>
    </row>
    <row r="76" spans="1:2" x14ac:dyDescent="0.25">
      <c r="A76" s="178"/>
      <c r="B76" s="105"/>
    </row>
    <row r="77" spans="1:2" x14ac:dyDescent="0.25">
      <c r="A77" s="178"/>
      <c r="B77" s="105"/>
    </row>
    <row r="78" spans="1:2" x14ac:dyDescent="0.25">
      <c r="A78" s="178"/>
      <c r="B78" s="105"/>
    </row>
    <row r="79" spans="1:2" x14ac:dyDescent="0.25">
      <c r="A79" s="178"/>
      <c r="B79" s="105"/>
    </row>
    <row r="80" spans="1:2" x14ac:dyDescent="0.25">
      <c r="A80" s="178"/>
      <c r="B80" s="105"/>
    </row>
    <row r="81" spans="1:2" x14ac:dyDescent="0.25">
      <c r="A81" s="178"/>
      <c r="B81" s="105"/>
    </row>
    <row r="82" spans="1:2" x14ac:dyDescent="0.25">
      <c r="A82" s="178"/>
      <c r="B82" s="105"/>
    </row>
    <row r="83" spans="1:2" x14ac:dyDescent="0.25">
      <c r="A83" s="178"/>
      <c r="B83" s="105"/>
    </row>
    <row r="84" spans="1:2" x14ac:dyDescent="0.25">
      <c r="A84" s="178"/>
      <c r="B84" s="105"/>
    </row>
    <row r="85" spans="1:2" x14ac:dyDescent="0.25">
      <c r="A85" s="178"/>
      <c r="B85" s="105"/>
    </row>
    <row r="86" spans="1:2" x14ac:dyDescent="0.25">
      <c r="A86" s="178"/>
      <c r="B86" s="105"/>
    </row>
    <row r="87" spans="1:2" x14ac:dyDescent="0.25">
      <c r="A87" s="178"/>
      <c r="B87" s="105"/>
    </row>
    <row r="88" spans="1:2" x14ac:dyDescent="0.25">
      <c r="A88" s="178"/>
      <c r="B88" s="105"/>
    </row>
    <row r="89" spans="1:2" x14ac:dyDescent="0.25">
      <c r="A89" s="178"/>
      <c r="B89" s="105"/>
    </row>
    <row r="90" spans="1:2" x14ac:dyDescent="0.25">
      <c r="A90" s="178"/>
      <c r="B90" s="105"/>
    </row>
    <row r="91" spans="1:2" x14ac:dyDescent="0.25">
      <c r="A91" s="178"/>
      <c r="B91" s="105"/>
    </row>
    <row r="92" spans="1:2" x14ac:dyDescent="0.25">
      <c r="A92" s="178"/>
      <c r="B92" s="105"/>
    </row>
    <row r="93" spans="1:2" x14ac:dyDescent="0.25">
      <c r="A93" s="178"/>
      <c r="B93" s="105"/>
    </row>
    <row r="94" spans="1:2" x14ac:dyDescent="0.25">
      <c r="A94" s="178"/>
      <c r="B94" s="105"/>
    </row>
    <row r="95" spans="1:2" x14ac:dyDescent="0.25">
      <c r="A95" s="178"/>
      <c r="B95" s="105"/>
    </row>
    <row r="96" spans="1:2" x14ac:dyDescent="0.25">
      <c r="A96" s="178"/>
      <c r="B96" s="105"/>
    </row>
    <row r="97" spans="1:2" x14ac:dyDescent="0.25">
      <c r="A97" s="178"/>
      <c r="B97" s="105"/>
    </row>
    <row r="98" spans="1:2" x14ac:dyDescent="0.25">
      <c r="A98" s="178"/>
      <c r="B98" s="105"/>
    </row>
    <row r="99" spans="1:2" x14ac:dyDescent="0.25">
      <c r="A99" s="179"/>
      <c r="B99" s="106"/>
    </row>
  </sheetData>
  <sheetProtection insertRows="0" insertHyperlinks="0" deleteRows="0" selectLockedCells="1"/>
  <phoneticPr fontId="0" type="noConversion"/>
  <pageMargins left="3.937007874015748E-2" right="3.937007874015748E-2" top="0.94488188976377963" bottom="0.74803149606299213" header="0.19685039370078741" footer="0.31496062992125984"/>
  <pageSetup paperSize="9" scale="89" fitToHeight="0" orientation="portrait" r:id="rId1"/>
  <headerFooter>
    <oddHeader>&amp;L&amp;G&amp;C&amp;A&amp;R</oddHeader>
    <oddFooter>&amp;L&amp;F&amp;C&amp;RPage &amp;P / &amp;N</oddFooter>
  </headerFooter>
  <legacy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pageSetUpPr fitToPage="1"/>
  </sheetPr>
  <dimension ref="A1:S34"/>
  <sheetViews>
    <sheetView showGridLines="0" zoomScaleNormal="100" workbookViewId="0">
      <pane ySplit="8" topLeftCell="A9" activePane="bottomLeft" state="frozen"/>
      <selection activeCell="B39" sqref="B39:J39"/>
      <selection pane="bottomLeft" activeCell="D11" sqref="D11"/>
    </sheetView>
  </sheetViews>
  <sheetFormatPr defaultColWidth="9.140625" defaultRowHeight="15" x14ac:dyDescent="0.25"/>
  <cols>
    <col min="1" max="1" width="9.140625" style="13"/>
    <col min="2" max="2" width="52.140625" style="13" bestFit="1" customWidth="1"/>
    <col min="3" max="5" width="10.7109375" style="14" customWidth="1"/>
    <col min="6" max="7" width="10.7109375" style="15" hidden="1" customWidth="1"/>
    <col min="8" max="8" width="10.7109375" style="13" hidden="1" customWidth="1"/>
    <col min="9" max="9" width="33.42578125" style="13" customWidth="1"/>
    <col min="10" max="10" width="20.7109375" style="13" customWidth="1"/>
    <col min="11" max="11" width="0" style="13" hidden="1" customWidth="1"/>
    <col min="12" max="16384" width="9.140625" style="13"/>
  </cols>
  <sheetData>
    <row r="1" spans="1:19" ht="15" hidden="1" customHeight="1" x14ac:dyDescent="0.25">
      <c r="S1" s="21"/>
    </row>
    <row r="2" spans="1:19" ht="15" hidden="1" customHeight="1" x14ac:dyDescent="0.25">
      <c r="B2" s="16" t="s">
        <v>235</v>
      </c>
      <c r="C2" s="16">
        <f>COUNTA(K9:K55)</f>
        <v>22</v>
      </c>
    </row>
    <row r="3" spans="1:19" ht="15" hidden="1" customHeight="1" x14ac:dyDescent="0.25">
      <c r="B3" s="16" t="s">
        <v>236</v>
      </c>
      <c r="C3" s="17">
        <f xml:space="preserve"> COUNTA(C9:C55)</f>
        <v>0</v>
      </c>
      <c r="E3" s="16"/>
    </row>
    <row r="4" spans="1:19" ht="15" hidden="1" customHeight="1" x14ac:dyDescent="0.25">
      <c r="B4" s="16" t="s">
        <v>237</v>
      </c>
      <c r="C4" s="17">
        <f xml:space="preserve"> COUNTA(D9:D55)</f>
        <v>0</v>
      </c>
      <c r="E4" s="16"/>
    </row>
    <row r="5" spans="1:19" ht="15" hidden="1" customHeight="1" x14ac:dyDescent="0.25">
      <c r="B5" s="16" t="s">
        <v>238</v>
      </c>
      <c r="C5" s="17">
        <f xml:space="preserve"> COUNTA(E9:E55)</f>
        <v>22</v>
      </c>
      <c r="D5" s="18"/>
      <c r="E5" s="18">
        <f>SUM(C3:C5)</f>
        <v>22</v>
      </c>
    </row>
    <row r="6" spans="1:19" ht="69.95" customHeight="1" x14ac:dyDescent="0.25">
      <c r="A6" s="232"/>
      <c r="B6" s="232"/>
      <c r="C6" s="230" t="s">
        <v>1747</v>
      </c>
      <c r="D6" s="230"/>
      <c r="E6" s="230"/>
      <c r="F6" s="230"/>
      <c r="G6" s="230"/>
      <c r="H6" s="230"/>
      <c r="I6" s="230"/>
      <c r="J6" s="231"/>
    </row>
    <row r="7" spans="1:19" ht="24.95" customHeight="1" x14ac:dyDescent="0.35">
      <c r="A7" s="209" t="s">
        <v>234</v>
      </c>
      <c r="B7" s="209"/>
      <c r="C7" s="209"/>
      <c r="D7" s="209"/>
      <c r="E7" s="209"/>
      <c r="F7" s="210"/>
      <c r="G7" s="210"/>
      <c r="H7" s="211"/>
      <c r="I7" s="212" t="s">
        <v>1768</v>
      </c>
      <c r="J7" s="213"/>
    </row>
    <row r="8" spans="1:19" ht="43.9" customHeight="1" x14ac:dyDescent="0.25">
      <c r="A8" s="74" t="s">
        <v>493</v>
      </c>
      <c r="B8" s="189" t="s">
        <v>1738</v>
      </c>
      <c r="C8" s="100" t="s">
        <v>1052</v>
      </c>
      <c r="D8" s="100" t="s">
        <v>1053</v>
      </c>
      <c r="E8" s="100" t="s">
        <v>1054</v>
      </c>
      <c r="F8" s="100" t="s">
        <v>980</v>
      </c>
      <c r="G8" s="100" t="s">
        <v>993</v>
      </c>
      <c r="H8" s="100" t="s">
        <v>979</v>
      </c>
      <c r="I8" s="184" t="s">
        <v>224</v>
      </c>
      <c r="J8" s="111" t="s">
        <v>1055</v>
      </c>
    </row>
    <row r="9" spans="1:19" x14ac:dyDescent="0.25">
      <c r="A9" s="139">
        <v>115.001</v>
      </c>
      <c r="B9" s="19" t="s">
        <v>217</v>
      </c>
      <c r="C9" s="113"/>
      <c r="D9" s="113"/>
      <c r="E9" s="113" t="s">
        <v>992</v>
      </c>
      <c r="F9" s="114">
        <v>5</v>
      </c>
      <c r="G9" s="20">
        <f>IF(E9="X",F9,0)</f>
        <v>5</v>
      </c>
      <c r="H9" s="20">
        <f>IF(C9="Y",F9,0)</f>
        <v>0</v>
      </c>
      <c r="I9" s="114"/>
      <c r="J9" s="140"/>
      <c r="K9" s="92" t="s">
        <v>304</v>
      </c>
    </row>
    <row r="10" spans="1:19" ht="51" x14ac:dyDescent="0.25">
      <c r="A10" s="139"/>
      <c r="B10" s="20" t="s">
        <v>218</v>
      </c>
      <c r="C10" s="113"/>
      <c r="D10" s="113"/>
      <c r="E10" s="113" t="s">
        <v>1056</v>
      </c>
      <c r="F10" s="114">
        <v>5</v>
      </c>
      <c r="G10" s="20">
        <f t="shared" ref="G10:G30" si="0">IF(E10="X",F10,0)</f>
        <v>5</v>
      </c>
      <c r="H10" s="20">
        <f t="shared" ref="H10:H30" si="1">IF(C10="Y",F10,0)</f>
        <v>0</v>
      </c>
      <c r="I10" s="114"/>
      <c r="J10" s="140"/>
      <c r="K10" s="92" t="s">
        <v>1057</v>
      </c>
    </row>
    <row r="11" spans="1:19" ht="38.25" x14ac:dyDescent="0.25">
      <c r="A11" s="139"/>
      <c r="B11" s="19" t="s">
        <v>938</v>
      </c>
      <c r="C11" s="113"/>
      <c r="D11" s="113"/>
      <c r="E11" s="113" t="s">
        <v>1058</v>
      </c>
      <c r="F11" s="114">
        <v>4</v>
      </c>
      <c r="G11" s="20">
        <f t="shared" si="0"/>
        <v>4</v>
      </c>
      <c r="H11" s="20">
        <f t="shared" si="1"/>
        <v>0</v>
      </c>
      <c r="I11" s="114"/>
      <c r="J11" s="140"/>
      <c r="K11" s="92" t="s">
        <v>1059</v>
      </c>
    </row>
    <row r="12" spans="1:19" ht="38.25" x14ac:dyDescent="0.25">
      <c r="A12" s="139" t="s">
        <v>982</v>
      </c>
      <c r="B12" s="19" t="s">
        <v>983</v>
      </c>
      <c r="C12" s="113"/>
      <c r="D12" s="113"/>
      <c r="E12" s="113" t="s">
        <v>1060</v>
      </c>
      <c r="F12" s="114">
        <v>4</v>
      </c>
      <c r="G12" s="20">
        <f t="shared" si="0"/>
        <v>4</v>
      </c>
      <c r="H12" s="20">
        <f t="shared" si="1"/>
        <v>0</v>
      </c>
      <c r="I12" s="114"/>
      <c r="J12" s="140"/>
      <c r="K12" s="92" t="s">
        <v>1061</v>
      </c>
    </row>
    <row r="13" spans="1:19" ht="25.5" x14ac:dyDescent="0.25">
      <c r="A13" s="139" t="s">
        <v>494</v>
      </c>
      <c r="B13" s="19" t="s">
        <v>939</v>
      </c>
      <c r="C13" s="113"/>
      <c r="D13" s="113"/>
      <c r="E13" s="113" t="s">
        <v>1062</v>
      </c>
      <c r="F13" s="114">
        <v>4</v>
      </c>
      <c r="G13" s="20">
        <f t="shared" si="0"/>
        <v>4</v>
      </c>
      <c r="H13" s="20">
        <f t="shared" si="1"/>
        <v>0</v>
      </c>
      <c r="I13" s="114"/>
      <c r="J13" s="140"/>
      <c r="K13" s="92" t="s">
        <v>1063</v>
      </c>
    </row>
    <row r="14" spans="1:19" ht="25.5" x14ac:dyDescent="0.25">
      <c r="A14" s="139" t="s">
        <v>495</v>
      </c>
      <c r="B14" s="19" t="s">
        <v>940</v>
      </c>
      <c r="C14" s="113"/>
      <c r="D14" s="113"/>
      <c r="E14" s="113" t="s">
        <v>1064</v>
      </c>
      <c r="F14" s="114">
        <v>4</v>
      </c>
      <c r="G14" s="20">
        <f t="shared" si="0"/>
        <v>4</v>
      </c>
      <c r="H14" s="20">
        <f t="shared" si="1"/>
        <v>0</v>
      </c>
      <c r="I14" s="114"/>
      <c r="J14" s="140"/>
      <c r="K14" s="92" t="s">
        <v>1065</v>
      </c>
    </row>
    <row r="15" spans="1:19" ht="25.5" x14ac:dyDescent="0.25">
      <c r="A15" s="139"/>
      <c r="B15" s="19" t="s">
        <v>941</v>
      </c>
      <c r="C15" s="113"/>
      <c r="D15" s="113"/>
      <c r="E15" s="113" t="s">
        <v>1066</v>
      </c>
      <c r="F15" s="114">
        <v>4</v>
      </c>
      <c r="G15" s="20">
        <f t="shared" si="0"/>
        <v>4</v>
      </c>
      <c r="H15" s="20">
        <f t="shared" si="1"/>
        <v>0</v>
      </c>
      <c r="I15" s="114"/>
      <c r="J15" s="140"/>
      <c r="K15" s="92" t="s">
        <v>1067</v>
      </c>
    </row>
    <row r="16" spans="1:19" ht="25.5" x14ac:dyDescent="0.25">
      <c r="A16" s="139"/>
      <c r="B16" s="19" t="s">
        <v>942</v>
      </c>
      <c r="C16" s="113"/>
      <c r="D16" s="113"/>
      <c r="E16" s="113" t="s">
        <v>1068</v>
      </c>
      <c r="F16" s="114">
        <v>4</v>
      </c>
      <c r="G16" s="20">
        <f t="shared" si="0"/>
        <v>4</v>
      </c>
      <c r="H16" s="20">
        <f t="shared" si="1"/>
        <v>0</v>
      </c>
      <c r="I16" s="114"/>
      <c r="J16" s="140"/>
      <c r="K16" s="92" t="s">
        <v>1069</v>
      </c>
    </row>
    <row r="17" spans="1:11" ht="25.5" x14ac:dyDescent="0.25">
      <c r="A17" s="139"/>
      <c r="B17" s="19" t="s">
        <v>219</v>
      </c>
      <c r="C17" s="113"/>
      <c r="D17" s="113"/>
      <c r="E17" s="113" t="s">
        <v>1070</v>
      </c>
      <c r="F17" s="114">
        <v>5</v>
      </c>
      <c r="G17" s="20">
        <f t="shared" si="0"/>
        <v>0</v>
      </c>
      <c r="H17" s="20">
        <f t="shared" si="1"/>
        <v>0</v>
      </c>
      <c r="I17" s="114"/>
      <c r="J17" s="140"/>
      <c r="K17" s="92" t="s">
        <v>1071</v>
      </c>
    </row>
    <row r="18" spans="1:11" ht="38.25" x14ac:dyDescent="0.25">
      <c r="A18" s="139"/>
      <c r="B18" s="19" t="s">
        <v>943</v>
      </c>
      <c r="C18" s="113"/>
      <c r="D18" s="113"/>
      <c r="E18" s="113" t="s">
        <v>1072</v>
      </c>
      <c r="F18" s="114">
        <v>5</v>
      </c>
      <c r="G18" s="20">
        <f t="shared" si="0"/>
        <v>5</v>
      </c>
      <c r="H18" s="20">
        <f t="shared" si="1"/>
        <v>0</v>
      </c>
      <c r="I18" s="114"/>
      <c r="J18" s="140"/>
      <c r="K18" s="92" t="s">
        <v>1073</v>
      </c>
    </row>
    <row r="19" spans="1:11" ht="25.5" x14ac:dyDescent="0.25">
      <c r="A19" s="139"/>
      <c r="B19" s="19" t="s">
        <v>1042</v>
      </c>
      <c r="C19" s="113"/>
      <c r="D19" s="113"/>
      <c r="E19" s="113" t="s">
        <v>1074</v>
      </c>
      <c r="F19" s="114">
        <v>5</v>
      </c>
      <c r="G19" s="20">
        <f t="shared" si="0"/>
        <v>5</v>
      </c>
      <c r="H19" s="20">
        <f t="shared" si="1"/>
        <v>0</v>
      </c>
      <c r="I19" s="114"/>
      <c r="J19" s="140"/>
      <c r="K19" s="92" t="s">
        <v>1075</v>
      </c>
    </row>
    <row r="20" spans="1:11" ht="38.25" x14ac:dyDescent="0.25">
      <c r="A20" s="139"/>
      <c r="B20" s="19" t="s">
        <v>220</v>
      </c>
      <c r="C20" s="113"/>
      <c r="D20" s="113"/>
      <c r="E20" s="113" t="s">
        <v>1076</v>
      </c>
      <c r="F20" s="114">
        <v>5</v>
      </c>
      <c r="G20" s="20">
        <f t="shared" si="0"/>
        <v>5</v>
      </c>
      <c r="H20" s="20">
        <f t="shared" si="1"/>
        <v>0</v>
      </c>
      <c r="I20" s="114"/>
      <c r="J20" s="140"/>
      <c r="K20" s="92" t="s">
        <v>1077</v>
      </c>
    </row>
    <row r="21" spans="1:11" ht="25.5" x14ac:dyDescent="0.25">
      <c r="A21" s="139" t="s">
        <v>496</v>
      </c>
      <c r="B21" s="19" t="s">
        <v>221</v>
      </c>
      <c r="C21" s="113"/>
      <c r="D21" s="113"/>
      <c r="E21" s="113" t="s">
        <v>1078</v>
      </c>
      <c r="F21" s="114">
        <v>5</v>
      </c>
      <c r="G21" s="20">
        <f t="shared" si="0"/>
        <v>5</v>
      </c>
      <c r="H21" s="20">
        <f t="shared" si="1"/>
        <v>0</v>
      </c>
      <c r="I21" s="114"/>
      <c r="J21" s="140"/>
      <c r="K21" s="92" t="s">
        <v>1079</v>
      </c>
    </row>
    <row r="22" spans="1:11" ht="25.5" x14ac:dyDescent="0.25">
      <c r="A22" s="139"/>
      <c r="B22" s="19" t="s">
        <v>944</v>
      </c>
      <c r="C22" s="113"/>
      <c r="D22" s="113"/>
      <c r="E22" s="113" t="s">
        <v>1080</v>
      </c>
      <c r="F22" s="114">
        <v>3</v>
      </c>
      <c r="G22" s="20">
        <f t="shared" si="0"/>
        <v>3</v>
      </c>
      <c r="H22" s="20">
        <f t="shared" si="1"/>
        <v>0</v>
      </c>
      <c r="I22" s="114"/>
      <c r="J22" s="140"/>
      <c r="K22" s="92" t="s">
        <v>1081</v>
      </c>
    </row>
    <row r="23" spans="1:11" ht="25.5" x14ac:dyDescent="0.25">
      <c r="A23" s="139"/>
      <c r="B23" s="19" t="s">
        <v>945</v>
      </c>
      <c r="C23" s="113"/>
      <c r="D23" s="113"/>
      <c r="E23" s="113" t="s">
        <v>1082</v>
      </c>
      <c r="F23" s="114">
        <v>3</v>
      </c>
      <c r="G23" s="20">
        <f t="shared" si="0"/>
        <v>3</v>
      </c>
      <c r="H23" s="20">
        <f t="shared" si="1"/>
        <v>0</v>
      </c>
      <c r="I23" s="114"/>
      <c r="J23" s="140"/>
      <c r="K23" s="92" t="s">
        <v>1083</v>
      </c>
    </row>
    <row r="24" spans="1:11" ht="25.5" x14ac:dyDescent="0.25">
      <c r="A24" s="139"/>
      <c r="B24" s="19" t="s">
        <v>222</v>
      </c>
      <c r="C24" s="113"/>
      <c r="D24" s="113"/>
      <c r="E24" s="113" t="s">
        <v>1084</v>
      </c>
      <c r="F24" s="114">
        <v>5</v>
      </c>
      <c r="G24" s="20">
        <f t="shared" si="0"/>
        <v>5</v>
      </c>
      <c r="H24" s="20">
        <f t="shared" si="1"/>
        <v>0</v>
      </c>
      <c r="I24" s="114"/>
      <c r="J24" s="140"/>
      <c r="K24" s="92" t="s">
        <v>1085</v>
      </c>
    </row>
    <row r="25" spans="1:11" ht="25.5" x14ac:dyDescent="0.25">
      <c r="A25" s="139"/>
      <c r="B25" s="19" t="s">
        <v>946</v>
      </c>
      <c r="C25" s="113"/>
      <c r="D25" s="113"/>
      <c r="E25" s="113" t="s">
        <v>1086</v>
      </c>
      <c r="F25" s="114">
        <v>4</v>
      </c>
      <c r="G25" s="20">
        <f t="shared" si="0"/>
        <v>4</v>
      </c>
      <c r="H25" s="20">
        <f t="shared" si="1"/>
        <v>0</v>
      </c>
      <c r="I25" s="114"/>
      <c r="J25" s="140"/>
      <c r="K25" s="92" t="s">
        <v>1087</v>
      </c>
    </row>
    <row r="26" spans="1:11" ht="38.25" x14ac:dyDescent="0.25">
      <c r="A26" s="139" t="s">
        <v>497</v>
      </c>
      <c r="B26" s="19" t="s">
        <v>1043</v>
      </c>
      <c r="C26" s="113"/>
      <c r="D26" s="113"/>
      <c r="E26" s="113" t="s">
        <v>1088</v>
      </c>
      <c r="F26" s="114">
        <v>3</v>
      </c>
      <c r="G26" s="20">
        <f t="shared" si="0"/>
        <v>3</v>
      </c>
      <c r="H26" s="20">
        <f t="shared" si="1"/>
        <v>0</v>
      </c>
      <c r="I26" s="114"/>
      <c r="J26" s="140"/>
      <c r="K26" s="92" t="s">
        <v>1089</v>
      </c>
    </row>
    <row r="27" spans="1:11" ht="25.5" x14ac:dyDescent="0.25">
      <c r="A27" s="139"/>
      <c r="B27" s="19" t="s">
        <v>1044</v>
      </c>
      <c r="C27" s="113"/>
      <c r="D27" s="113"/>
      <c r="E27" s="113" t="s">
        <v>1090</v>
      </c>
      <c r="F27" s="114">
        <v>2</v>
      </c>
      <c r="G27" s="20">
        <f t="shared" si="0"/>
        <v>2</v>
      </c>
      <c r="H27" s="20">
        <f t="shared" si="1"/>
        <v>0</v>
      </c>
      <c r="I27" s="114"/>
      <c r="J27" s="140"/>
      <c r="K27" s="92" t="s">
        <v>1091</v>
      </c>
    </row>
    <row r="28" spans="1:11" ht="38.25" x14ac:dyDescent="0.25">
      <c r="A28" s="139"/>
      <c r="B28" s="19" t="s">
        <v>948</v>
      </c>
      <c r="C28" s="113"/>
      <c r="D28" s="113"/>
      <c r="E28" s="113" t="s">
        <v>1092</v>
      </c>
      <c r="F28" s="114">
        <v>4</v>
      </c>
      <c r="G28" s="20">
        <f t="shared" si="0"/>
        <v>4</v>
      </c>
      <c r="H28" s="20">
        <f t="shared" si="1"/>
        <v>0</v>
      </c>
      <c r="I28" s="114"/>
      <c r="J28" s="140"/>
      <c r="K28" s="92" t="s">
        <v>1093</v>
      </c>
    </row>
    <row r="29" spans="1:11" ht="25.5" x14ac:dyDescent="0.25">
      <c r="A29" s="139"/>
      <c r="B29" s="19" t="s">
        <v>1748</v>
      </c>
      <c r="C29" s="113"/>
      <c r="D29" s="113"/>
      <c r="E29" s="113" t="s">
        <v>1094</v>
      </c>
      <c r="F29" s="114">
        <v>4</v>
      </c>
      <c r="G29" s="20">
        <f t="shared" si="0"/>
        <v>4</v>
      </c>
      <c r="H29" s="20">
        <f t="shared" si="1"/>
        <v>0</v>
      </c>
      <c r="I29" s="114"/>
      <c r="J29" s="140"/>
      <c r="K29" s="92" t="s">
        <v>1095</v>
      </c>
    </row>
    <row r="30" spans="1:11" ht="38.25" x14ac:dyDescent="0.25">
      <c r="A30" s="139"/>
      <c r="B30" s="19" t="s">
        <v>1749</v>
      </c>
      <c r="C30" s="113"/>
      <c r="D30" s="113"/>
      <c r="E30" s="113" t="s">
        <v>1096</v>
      </c>
      <c r="F30" s="114">
        <v>4</v>
      </c>
      <c r="G30" s="20">
        <f t="shared" si="0"/>
        <v>4</v>
      </c>
      <c r="H30" s="20">
        <f t="shared" si="1"/>
        <v>0</v>
      </c>
      <c r="I30" s="114"/>
      <c r="J30" s="114"/>
      <c r="K30" s="92" t="s">
        <v>1097</v>
      </c>
    </row>
    <row r="31" spans="1:11" x14ac:dyDescent="0.25">
      <c r="F31" s="81">
        <f>SUM(F9:F30)</f>
        <v>91</v>
      </c>
      <c r="G31" s="81">
        <f>SUM(G9:G30)</f>
        <v>86</v>
      </c>
      <c r="H31" s="73">
        <f>SUM(H9:H30)</f>
        <v>0</v>
      </c>
    </row>
    <row r="34" spans="2:2" x14ac:dyDescent="0.25">
      <c r="B34" s="23"/>
    </row>
  </sheetData>
  <sheetProtection formatCells="0" selectLockedCells="1"/>
  <mergeCells count="3">
    <mergeCell ref="I7:J7"/>
    <mergeCell ref="A7:E7"/>
    <mergeCell ref="C6:J6"/>
  </mergeCells>
  <phoneticPr fontId="0" type="noConversion"/>
  <pageMargins left="3.937007874015748E-2" right="3.937007874015748E-2" top="0.94488188976377963" bottom="0.74803149606299213" header="0.19685039370078741" footer="0.31496062992125984"/>
  <pageSetup paperSize="9" scale="68" fitToHeight="0" orientation="portrait" r:id="rId1"/>
  <headerFooter>
    <oddHeader>&amp;L&amp;G&amp;C&amp;A&amp;R</oddHeader>
    <oddFooter>&amp;L&amp;F&amp;C&amp;RPage &amp;P / &amp;N</oddFooter>
  </headerFooter>
  <ignoredErrors>
    <ignoredError sqref="A12:A26" numberStoredAsText="1"/>
  </ignoredErrors>
  <drawing r:id="rId2"/>
  <legacyDrawing r:id="rId3"/>
  <legacyDrawingHF r:id="rId4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K30"/>
  <sheetViews>
    <sheetView showGridLines="0" zoomScaleNormal="100" workbookViewId="0">
      <pane ySplit="8" topLeftCell="A9" activePane="bottomLeft" state="frozen"/>
      <selection activeCell="B39" sqref="B39:J39"/>
      <selection pane="bottomLeft" activeCell="A6" sqref="A6"/>
    </sheetView>
  </sheetViews>
  <sheetFormatPr defaultColWidth="9.140625" defaultRowHeight="16.5" customHeight="1" x14ac:dyDescent="0.25"/>
  <cols>
    <col min="1" max="1" width="9.140625" style="13"/>
    <col min="2" max="2" width="50.7109375" style="13" customWidth="1"/>
    <col min="3" max="5" width="10.7109375" style="14" customWidth="1"/>
    <col min="6" max="7" width="10.7109375" style="15" hidden="1" customWidth="1"/>
    <col min="8" max="8" width="10.7109375" style="13" hidden="1" customWidth="1"/>
    <col min="9" max="9" width="39" style="13" customWidth="1"/>
    <col min="10" max="10" width="20.7109375" style="13" customWidth="1"/>
    <col min="11" max="11" width="0" style="13" hidden="1" customWidth="1"/>
    <col min="12" max="16384" width="9.140625" style="13"/>
  </cols>
  <sheetData>
    <row r="1" spans="1:11" ht="16.5" hidden="1" customHeight="1" x14ac:dyDescent="0.25"/>
    <row r="2" spans="1:11" ht="16.5" hidden="1" customHeight="1" x14ac:dyDescent="0.25">
      <c r="B2" s="16" t="s">
        <v>1098</v>
      </c>
      <c r="C2" s="16">
        <f>COUNTA(K9:K46)</f>
        <v>9</v>
      </c>
    </row>
    <row r="3" spans="1:11" ht="16.5" hidden="1" customHeight="1" x14ac:dyDescent="0.25">
      <c r="B3" s="16" t="s">
        <v>1099</v>
      </c>
      <c r="C3" s="17">
        <f xml:space="preserve"> COUNTA(C9:C46)</f>
        <v>0</v>
      </c>
      <c r="E3" s="16"/>
    </row>
    <row r="4" spans="1:11" ht="16.5" hidden="1" customHeight="1" x14ac:dyDescent="0.25">
      <c r="B4" s="16" t="s">
        <v>1100</v>
      </c>
      <c r="C4" s="17">
        <f xml:space="preserve"> COUNTA(D9:D46)</f>
        <v>0</v>
      </c>
      <c r="E4" s="16"/>
    </row>
    <row r="5" spans="1:11" ht="16.5" hidden="1" customHeight="1" x14ac:dyDescent="0.25">
      <c r="B5" s="16" t="s">
        <v>1101</v>
      </c>
      <c r="C5" s="17">
        <f xml:space="preserve"> COUNTA(E9:E46)</f>
        <v>9</v>
      </c>
      <c r="D5" s="18"/>
      <c r="E5" s="18">
        <f>SUM(C3:C5)</f>
        <v>9</v>
      </c>
    </row>
    <row r="6" spans="1:11" ht="69.95" customHeight="1" x14ac:dyDescent="0.25">
      <c r="A6" s="229"/>
      <c r="B6" s="229"/>
      <c r="C6" s="214" t="s">
        <v>1747</v>
      </c>
      <c r="D6" s="214"/>
      <c r="E6" s="214"/>
      <c r="F6" s="214"/>
      <c r="G6" s="214"/>
      <c r="H6" s="214"/>
      <c r="I6" s="214"/>
      <c r="J6" s="214"/>
    </row>
    <row r="7" spans="1:11" ht="24.95" customHeight="1" x14ac:dyDescent="0.35">
      <c r="A7" s="215" t="s">
        <v>249</v>
      </c>
      <c r="B7" s="216"/>
      <c r="C7" s="217"/>
      <c r="D7" s="217"/>
      <c r="E7" s="217"/>
      <c r="F7" s="218"/>
      <c r="G7" s="218"/>
      <c r="H7" s="216"/>
      <c r="I7" s="216"/>
      <c r="J7" s="216"/>
    </row>
    <row r="8" spans="1:11" ht="43.9" customHeight="1" x14ac:dyDescent="0.25">
      <c r="A8" s="74" t="s">
        <v>1102</v>
      </c>
      <c r="B8" s="189" t="s">
        <v>1738</v>
      </c>
      <c r="C8" s="102" t="s">
        <v>1103</v>
      </c>
      <c r="D8" s="102" t="s">
        <v>1104</v>
      </c>
      <c r="E8" s="102" t="s">
        <v>1105</v>
      </c>
      <c r="F8" s="100" t="s">
        <v>1106</v>
      </c>
      <c r="G8" s="100" t="s">
        <v>1107</v>
      </c>
      <c r="H8" s="100" t="s">
        <v>1108</v>
      </c>
      <c r="I8" s="185" t="s">
        <v>1109</v>
      </c>
      <c r="J8" s="111" t="s">
        <v>1110</v>
      </c>
    </row>
    <row r="9" spans="1:11" ht="25.5" x14ac:dyDescent="0.25">
      <c r="A9" s="139">
        <v>201.00399999999999</v>
      </c>
      <c r="B9" s="19" t="s">
        <v>225</v>
      </c>
      <c r="C9" s="113"/>
      <c r="D9" s="113"/>
      <c r="E9" s="113" t="s">
        <v>1111</v>
      </c>
      <c r="F9" s="116">
        <v>3</v>
      </c>
      <c r="G9" s="20">
        <f>IF(E9="X",F9,0)</f>
        <v>3</v>
      </c>
      <c r="H9" s="20">
        <f>IF(C9="Y",F9,0)</f>
        <v>0</v>
      </c>
      <c r="I9" s="114"/>
      <c r="J9" s="140"/>
      <c r="K9" s="13" t="s">
        <v>1112</v>
      </c>
    </row>
    <row r="10" spans="1:11" ht="25.5" x14ac:dyDescent="0.25">
      <c r="A10" s="139">
        <v>746.00800000000004</v>
      </c>
      <c r="B10" s="19" t="s">
        <v>226</v>
      </c>
      <c r="C10" s="113"/>
      <c r="D10" s="113"/>
      <c r="E10" s="113" t="s">
        <v>1113</v>
      </c>
      <c r="F10" s="116">
        <v>2</v>
      </c>
      <c r="G10" s="20">
        <f t="shared" ref="G10:G17" si="0">IF(E10="X",F10,0)</f>
        <v>2</v>
      </c>
      <c r="H10" s="20">
        <f t="shared" ref="H10:H17" si="1">IF(C10="Y",F10,0)</f>
        <v>0</v>
      </c>
      <c r="I10" s="114"/>
      <c r="J10" s="140"/>
      <c r="K10" s="13" t="s">
        <v>1114</v>
      </c>
    </row>
    <row r="11" spans="1:11" ht="25.5" x14ac:dyDescent="0.25">
      <c r="A11" s="139">
        <v>746.00900000000001</v>
      </c>
      <c r="B11" s="19" t="s">
        <v>227</v>
      </c>
      <c r="C11" s="113"/>
      <c r="D11" s="113"/>
      <c r="E11" s="113" t="s">
        <v>1115</v>
      </c>
      <c r="F11" s="116">
        <v>2</v>
      </c>
      <c r="G11" s="20">
        <f t="shared" si="0"/>
        <v>2</v>
      </c>
      <c r="H11" s="20">
        <f t="shared" si="1"/>
        <v>0</v>
      </c>
      <c r="I11" s="114"/>
      <c r="J11" s="140"/>
      <c r="K11" s="13" t="s">
        <v>1116</v>
      </c>
    </row>
    <row r="12" spans="1:11" ht="25.5" x14ac:dyDescent="0.25">
      <c r="A12" s="139" t="s">
        <v>894</v>
      </c>
      <c r="B12" s="19" t="s">
        <v>228</v>
      </c>
      <c r="C12" s="113"/>
      <c r="D12" s="113"/>
      <c r="E12" s="113" t="s">
        <v>1117</v>
      </c>
      <c r="F12" s="116">
        <v>2</v>
      </c>
      <c r="G12" s="20">
        <f t="shared" si="0"/>
        <v>2</v>
      </c>
      <c r="H12" s="20">
        <f t="shared" si="1"/>
        <v>0</v>
      </c>
      <c r="I12" s="114"/>
      <c r="J12" s="140"/>
      <c r="K12" s="52" t="s">
        <v>1118</v>
      </c>
    </row>
    <row r="13" spans="1:11" ht="25.5" x14ac:dyDescent="0.25">
      <c r="A13" s="139" t="s">
        <v>895</v>
      </c>
      <c r="B13" s="19" t="s">
        <v>229</v>
      </c>
      <c r="C13" s="113"/>
      <c r="D13" s="113"/>
      <c r="E13" s="113" t="s">
        <v>1119</v>
      </c>
      <c r="F13" s="116">
        <v>2</v>
      </c>
      <c r="G13" s="20">
        <f t="shared" si="0"/>
        <v>2</v>
      </c>
      <c r="H13" s="20">
        <f t="shared" si="1"/>
        <v>0</v>
      </c>
      <c r="I13" s="114"/>
      <c r="J13" s="140"/>
      <c r="K13" s="52" t="s">
        <v>1120</v>
      </c>
    </row>
    <row r="14" spans="1:11" ht="25.5" x14ac:dyDescent="0.25">
      <c r="A14" s="139" t="s">
        <v>896</v>
      </c>
      <c r="B14" s="19" t="s">
        <v>230</v>
      </c>
      <c r="C14" s="113"/>
      <c r="D14" s="113"/>
      <c r="E14" s="113" t="s">
        <v>1121</v>
      </c>
      <c r="F14" s="116">
        <v>3</v>
      </c>
      <c r="G14" s="20">
        <f t="shared" si="0"/>
        <v>3</v>
      </c>
      <c r="H14" s="20">
        <f t="shared" si="1"/>
        <v>0</v>
      </c>
      <c r="I14" s="114"/>
      <c r="J14" s="140"/>
      <c r="K14" s="52" t="s">
        <v>1122</v>
      </c>
    </row>
    <row r="15" spans="1:11" ht="38.25" x14ac:dyDescent="0.25">
      <c r="A15" s="139"/>
      <c r="B15" s="19" t="s">
        <v>231</v>
      </c>
      <c r="C15" s="113"/>
      <c r="D15" s="113"/>
      <c r="E15" s="113" t="s">
        <v>1123</v>
      </c>
      <c r="F15" s="116">
        <v>3</v>
      </c>
      <c r="G15" s="20">
        <f t="shared" si="0"/>
        <v>3</v>
      </c>
      <c r="H15" s="20">
        <f t="shared" si="1"/>
        <v>0</v>
      </c>
      <c r="I15" s="114"/>
      <c r="J15" s="140"/>
      <c r="K15" s="52" t="s">
        <v>1124</v>
      </c>
    </row>
    <row r="16" spans="1:11" ht="38.25" x14ac:dyDescent="0.25">
      <c r="A16" s="139" t="s">
        <v>897</v>
      </c>
      <c r="B16" s="19" t="s">
        <v>232</v>
      </c>
      <c r="C16" s="113"/>
      <c r="D16" s="113"/>
      <c r="E16" s="113" t="s">
        <v>1125</v>
      </c>
      <c r="F16" s="116">
        <v>4</v>
      </c>
      <c r="G16" s="20">
        <f t="shared" si="0"/>
        <v>4</v>
      </c>
      <c r="H16" s="20">
        <f t="shared" si="1"/>
        <v>0</v>
      </c>
      <c r="I16" s="114"/>
      <c r="J16" s="140"/>
      <c r="K16" s="52" t="s">
        <v>1126</v>
      </c>
    </row>
    <row r="17" spans="1:11" ht="38.25" x14ac:dyDescent="0.25">
      <c r="A17" s="139" t="s">
        <v>898</v>
      </c>
      <c r="B17" s="19" t="s">
        <v>233</v>
      </c>
      <c r="C17" s="113"/>
      <c r="D17" s="113"/>
      <c r="E17" s="113" t="s">
        <v>1127</v>
      </c>
      <c r="F17" s="116">
        <v>4</v>
      </c>
      <c r="G17" s="20">
        <f t="shared" si="0"/>
        <v>4</v>
      </c>
      <c r="H17" s="20">
        <f t="shared" si="1"/>
        <v>0</v>
      </c>
      <c r="I17" s="141"/>
      <c r="J17" s="114"/>
      <c r="K17" s="52" t="s">
        <v>1128</v>
      </c>
    </row>
    <row r="18" spans="1:11" ht="16.5" customHeight="1" x14ac:dyDescent="0.25">
      <c r="F18" s="81">
        <f>SUM(F9:F17)</f>
        <v>25</v>
      </c>
      <c r="G18" s="81">
        <f>SUM(G9:G17)</f>
        <v>25</v>
      </c>
      <c r="H18" s="74">
        <f>SUM(H9:H17)</f>
        <v>0</v>
      </c>
      <c r="J18" s="103"/>
    </row>
    <row r="19" spans="1:11" ht="16.5" customHeight="1" x14ac:dyDescent="0.25">
      <c r="J19" s="103"/>
    </row>
    <row r="20" spans="1:11" ht="16.5" customHeight="1" x14ac:dyDescent="0.25">
      <c r="J20" s="103"/>
    </row>
    <row r="21" spans="1:11" ht="16.5" customHeight="1" x14ac:dyDescent="0.25">
      <c r="J21" s="103"/>
    </row>
    <row r="22" spans="1:11" ht="16.5" customHeight="1" x14ac:dyDescent="0.25">
      <c r="J22" s="103"/>
    </row>
    <row r="23" spans="1:11" ht="16.5" customHeight="1" x14ac:dyDescent="0.25">
      <c r="J23" s="103"/>
    </row>
    <row r="25" spans="1:11" s="14" customFormat="1" ht="16.5" customHeight="1" x14ac:dyDescent="0.25">
      <c r="B25" s="23"/>
      <c r="C25" s="24"/>
      <c r="F25" s="15"/>
      <c r="G25" s="15"/>
    </row>
    <row r="30" spans="1:11" ht="16.5" customHeight="1" x14ac:dyDescent="0.25">
      <c r="C30" s="24"/>
    </row>
  </sheetData>
  <sheetProtection formatCells="0" selectLockedCells="1"/>
  <mergeCells count="1">
    <mergeCell ref="C6:J6"/>
  </mergeCells>
  <phoneticPr fontId="0" type="noConversion"/>
  <pageMargins left="3.937007874015748E-2" right="3.937007874015748E-2" top="0.94488188976377963" bottom="0.74803149606299213" header="0.19685039370078741" footer="0.31496062992125984"/>
  <pageSetup paperSize="9" scale="83" fitToHeight="0" orientation="portrait" r:id="rId1"/>
  <headerFooter>
    <oddHeader>&amp;L&amp;G&amp;C&amp;A&amp;R</oddHeader>
    <oddFooter>&amp;L&amp;F&amp;C&amp;RPage &amp;P / &amp;N</oddFooter>
  </headerFooter>
  <ignoredErrors>
    <ignoredError sqref="A12:A17" numberStoredAsText="1"/>
  </ignoredErrors>
  <drawing r:id="rId2"/>
  <legacyDrawing r:id="rId3"/>
  <legacyDrawingHF r:id="rId4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pageSetUpPr fitToPage="1"/>
  </sheetPr>
  <dimension ref="A1:K55"/>
  <sheetViews>
    <sheetView showGridLines="0" zoomScaleNormal="100" workbookViewId="0">
      <pane ySplit="8" topLeftCell="A9" activePane="bottomLeft" state="frozen"/>
      <selection activeCell="B39" sqref="B39:J39"/>
      <selection pane="bottomLeft" activeCell="D6" sqref="D6:K6"/>
    </sheetView>
  </sheetViews>
  <sheetFormatPr defaultColWidth="9.140625" defaultRowHeight="15" x14ac:dyDescent="0.25"/>
  <cols>
    <col min="1" max="1" width="9.140625" style="13"/>
    <col min="2" max="2" width="45.42578125" style="13" bestFit="1" customWidth="1"/>
    <col min="3" max="5" width="10.7109375" style="14" customWidth="1"/>
    <col min="6" max="8" width="10.7109375" style="14" hidden="1" customWidth="1"/>
    <col min="9" max="9" width="45.7109375" style="15" customWidth="1"/>
    <col min="10" max="10" width="20.7109375" style="13" customWidth="1"/>
    <col min="11" max="11" width="0" style="13" hidden="1" customWidth="1"/>
    <col min="12" max="16384" width="9.140625" style="13"/>
  </cols>
  <sheetData>
    <row r="1" spans="1:11" ht="15" hidden="1" customHeight="1" x14ac:dyDescent="0.25"/>
    <row r="2" spans="1:11" ht="15" hidden="1" customHeight="1" x14ac:dyDescent="0.25">
      <c r="B2" s="16" t="s">
        <v>1129</v>
      </c>
      <c r="C2" s="16">
        <f>COUNTA(K9:K43)</f>
        <v>6</v>
      </c>
    </row>
    <row r="3" spans="1:11" ht="15" hidden="1" customHeight="1" x14ac:dyDescent="0.25">
      <c r="B3" s="16" t="s">
        <v>1130</v>
      </c>
      <c r="C3" s="17">
        <f xml:space="preserve"> COUNTA(C9:C43)</f>
        <v>0</v>
      </c>
      <c r="E3" s="16"/>
    </row>
    <row r="4" spans="1:11" ht="15" hidden="1" customHeight="1" x14ac:dyDescent="0.25">
      <c r="B4" s="16" t="s">
        <v>1131</v>
      </c>
      <c r="C4" s="17">
        <f xml:space="preserve"> COUNTA(D9:D43)</f>
        <v>0</v>
      </c>
      <c r="E4" s="16"/>
    </row>
    <row r="5" spans="1:11" ht="15" hidden="1" customHeight="1" x14ac:dyDescent="0.25">
      <c r="B5" s="16" t="s">
        <v>1132</v>
      </c>
      <c r="C5" s="17">
        <f xml:space="preserve"> COUNTA(E9:E43)</f>
        <v>6</v>
      </c>
      <c r="D5" s="18"/>
      <c r="E5" s="18">
        <f>SUM(C3:C5)</f>
        <v>6</v>
      </c>
      <c r="F5" s="18"/>
      <c r="G5" s="18"/>
      <c r="H5" s="18"/>
    </row>
    <row r="6" spans="1:11" ht="69.95" customHeight="1" x14ac:dyDescent="0.25">
      <c r="A6" s="228"/>
      <c r="B6" s="229"/>
      <c r="C6" s="229"/>
      <c r="D6" s="214" t="s">
        <v>1747</v>
      </c>
      <c r="E6" s="214"/>
      <c r="F6" s="214"/>
      <c r="G6" s="214"/>
      <c r="H6" s="214"/>
      <c r="I6" s="214"/>
      <c r="J6" s="214"/>
      <c r="K6" s="214"/>
    </row>
    <row r="7" spans="1:11" ht="24.95" customHeight="1" x14ac:dyDescent="0.35">
      <c r="A7" s="219" t="s">
        <v>250</v>
      </c>
      <c r="B7" s="216"/>
      <c r="C7" s="217"/>
      <c r="D7" s="217"/>
      <c r="E7" s="217"/>
      <c r="F7" s="217"/>
      <c r="G7" s="217"/>
      <c r="H7" s="217"/>
      <c r="I7" s="218"/>
      <c r="J7" s="216"/>
    </row>
    <row r="8" spans="1:11" ht="45.2" customHeight="1" x14ac:dyDescent="0.25">
      <c r="A8" s="74" t="s">
        <v>1133</v>
      </c>
      <c r="B8" s="189" t="s">
        <v>1738</v>
      </c>
      <c r="C8" s="100" t="s">
        <v>1134</v>
      </c>
      <c r="D8" s="100" t="s">
        <v>1135</v>
      </c>
      <c r="E8" s="100" t="s">
        <v>1136</v>
      </c>
      <c r="F8" s="100" t="s">
        <v>1137</v>
      </c>
      <c r="G8" s="100" t="s">
        <v>1138</v>
      </c>
      <c r="H8" s="100" t="s">
        <v>1139</v>
      </c>
      <c r="I8" s="184" t="s">
        <v>1140</v>
      </c>
      <c r="J8" s="111" t="s">
        <v>1141</v>
      </c>
    </row>
    <row r="9" spans="1:11" x14ac:dyDescent="0.25">
      <c r="A9" s="112" t="s">
        <v>899</v>
      </c>
      <c r="B9" s="138" t="s">
        <v>251</v>
      </c>
      <c r="C9" s="136"/>
      <c r="D9" s="113"/>
      <c r="E9" s="113" t="s">
        <v>1142</v>
      </c>
      <c r="F9" s="116">
        <v>5</v>
      </c>
      <c r="G9" s="20">
        <f t="shared" ref="G9:G14" si="0">IF(E9="X",F9,0)</f>
        <v>5</v>
      </c>
      <c r="H9" s="20">
        <f t="shared" ref="H9:H14" si="1">IF(C9="Y",F9,0)</f>
        <v>0</v>
      </c>
      <c r="I9" s="114"/>
      <c r="J9" s="142"/>
      <c r="K9" s="13" t="s">
        <v>1143</v>
      </c>
    </row>
    <row r="10" spans="1:11" ht="38.25" x14ac:dyDescent="0.25">
      <c r="A10" s="112" t="s">
        <v>900</v>
      </c>
      <c r="B10" s="138" t="s">
        <v>252</v>
      </c>
      <c r="C10" s="136"/>
      <c r="D10" s="113"/>
      <c r="E10" s="113" t="s">
        <v>1144</v>
      </c>
      <c r="F10" s="116">
        <v>4</v>
      </c>
      <c r="G10" s="20">
        <f t="shared" si="0"/>
        <v>4</v>
      </c>
      <c r="H10" s="20">
        <f t="shared" si="1"/>
        <v>0</v>
      </c>
      <c r="I10" s="114"/>
      <c r="J10" s="142"/>
      <c r="K10" s="13" t="s">
        <v>1145</v>
      </c>
    </row>
    <row r="11" spans="1:11" ht="25.5" x14ac:dyDescent="0.25">
      <c r="A11" s="112" t="s">
        <v>901</v>
      </c>
      <c r="B11" s="138" t="s">
        <v>253</v>
      </c>
      <c r="C11" s="136"/>
      <c r="D11" s="113"/>
      <c r="E11" s="113" t="s">
        <v>1146</v>
      </c>
      <c r="F11" s="116">
        <v>4</v>
      </c>
      <c r="G11" s="20">
        <f t="shared" si="0"/>
        <v>4</v>
      </c>
      <c r="H11" s="20">
        <f t="shared" si="1"/>
        <v>0</v>
      </c>
      <c r="I11" s="114"/>
      <c r="J11" s="142"/>
      <c r="K11" s="13" t="s">
        <v>1147</v>
      </c>
    </row>
    <row r="12" spans="1:11" ht="25.5" x14ac:dyDescent="0.25">
      <c r="A12" s="112" t="s">
        <v>902</v>
      </c>
      <c r="B12" s="138" t="s">
        <v>1740</v>
      </c>
      <c r="C12" s="136"/>
      <c r="D12" s="113"/>
      <c r="E12" s="113" t="s">
        <v>1148</v>
      </c>
      <c r="F12" s="116">
        <v>3</v>
      </c>
      <c r="G12" s="20">
        <f t="shared" si="0"/>
        <v>3</v>
      </c>
      <c r="H12" s="20">
        <f t="shared" si="1"/>
        <v>0</v>
      </c>
      <c r="I12" s="114"/>
      <c r="J12" s="142"/>
      <c r="K12" s="52" t="s">
        <v>1149</v>
      </c>
    </row>
    <row r="13" spans="1:11" ht="25.5" x14ac:dyDescent="0.25">
      <c r="A13" s="112" t="s">
        <v>903</v>
      </c>
      <c r="B13" s="138" t="s">
        <v>498</v>
      </c>
      <c r="C13" s="136"/>
      <c r="D13" s="113"/>
      <c r="E13" s="113" t="s">
        <v>1150</v>
      </c>
      <c r="F13" s="116">
        <v>3</v>
      </c>
      <c r="G13" s="20">
        <f t="shared" si="0"/>
        <v>3</v>
      </c>
      <c r="H13" s="20">
        <f t="shared" si="1"/>
        <v>0</v>
      </c>
      <c r="I13" s="114"/>
      <c r="J13" s="142"/>
      <c r="K13" s="52" t="s">
        <v>1151</v>
      </c>
    </row>
    <row r="14" spans="1:11" ht="38.25" x14ac:dyDescent="0.25">
      <c r="A14" s="112" t="s">
        <v>905</v>
      </c>
      <c r="B14" s="138" t="s">
        <v>904</v>
      </c>
      <c r="C14" s="136"/>
      <c r="D14" s="113"/>
      <c r="E14" s="113" t="s">
        <v>1152</v>
      </c>
      <c r="F14" s="116">
        <v>5</v>
      </c>
      <c r="G14" s="20">
        <f t="shared" si="0"/>
        <v>5</v>
      </c>
      <c r="H14" s="20">
        <f t="shared" si="1"/>
        <v>0</v>
      </c>
      <c r="I14" s="114"/>
      <c r="J14" s="142"/>
      <c r="K14" s="52" t="s">
        <v>1153</v>
      </c>
    </row>
    <row r="15" spans="1:11" x14ac:dyDescent="0.25">
      <c r="F15" s="79">
        <f>SUM(F9:F14)</f>
        <v>24</v>
      </c>
      <c r="G15" s="79">
        <f>SUM(G9:G14)</f>
        <v>24</v>
      </c>
      <c r="H15" s="80">
        <f>SUM(H9:H14)</f>
        <v>0</v>
      </c>
    </row>
    <row r="22" spans="2:9" s="14" customFormat="1" x14ac:dyDescent="0.25">
      <c r="B22" s="23"/>
      <c r="I22" s="15"/>
    </row>
    <row r="55" spans="5:5" x14ac:dyDescent="0.25">
      <c r="E55" s="24"/>
    </row>
  </sheetData>
  <sheetProtection formatCells="0" selectLockedCells="1"/>
  <mergeCells count="1">
    <mergeCell ref="D6:K6"/>
  </mergeCells>
  <phoneticPr fontId="0" type="noConversion"/>
  <pageMargins left="3.937007874015748E-2" right="3.937007874015748E-2" top="0.94488188976377963" bottom="0.74803149606299213" header="0.19685039370078741" footer="0.31496062992125984"/>
  <pageSetup paperSize="9" scale="79" fitToHeight="0" orientation="portrait" r:id="rId1"/>
  <headerFooter>
    <oddHeader>&amp;L&amp;G&amp;C&amp;A&amp;R</oddHeader>
    <oddFooter>&amp;L&amp;F&amp;C&amp;RPage &amp;P / &amp;N</oddFooter>
  </headerFooter>
  <ignoredErrors>
    <ignoredError sqref="A9:A14" numberStoredAsText="1"/>
  </ignoredErrors>
  <drawing r:id="rId2"/>
  <legacyDrawing r:id="rId3"/>
  <legacyDrawingHF r:id="rId4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pageSetUpPr fitToPage="1"/>
  </sheetPr>
  <dimension ref="A1:K110"/>
  <sheetViews>
    <sheetView showGridLines="0" zoomScaleNormal="100" workbookViewId="0">
      <pane ySplit="8" topLeftCell="A72" activePane="bottomLeft" state="frozen"/>
      <selection activeCell="B39" sqref="B39:J39"/>
      <selection pane="bottomLeft" activeCell="D6" sqref="D6:J6"/>
    </sheetView>
  </sheetViews>
  <sheetFormatPr defaultColWidth="9.140625" defaultRowHeight="15" x14ac:dyDescent="0.25"/>
  <cols>
    <col min="1" max="1" width="9.140625" style="13"/>
    <col min="2" max="2" width="50.7109375" style="13" customWidth="1"/>
    <col min="3" max="5" width="10.7109375" style="14" customWidth="1"/>
    <col min="6" max="8" width="10.7109375" style="14" hidden="1" customWidth="1"/>
    <col min="9" max="9" width="45.7109375" style="15" customWidth="1"/>
    <col min="10" max="10" width="20.7109375" style="13" customWidth="1"/>
    <col min="11" max="11" width="9.140625" style="13" hidden="1" customWidth="1"/>
    <col min="12" max="16384" width="9.140625" style="13"/>
  </cols>
  <sheetData>
    <row r="1" spans="1:11" ht="15" hidden="1" customHeight="1" x14ac:dyDescent="0.25"/>
    <row r="2" spans="1:11" ht="15" hidden="1" customHeight="1" x14ac:dyDescent="0.25">
      <c r="B2" s="16" t="s">
        <v>1154</v>
      </c>
      <c r="C2" s="16">
        <f>COUNTA(K9:K151)</f>
        <v>87</v>
      </c>
    </row>
    <row r="3" spans="1:11" ht="15" hidden="1" customHeight="1" x14ac:dyDescent="0.25">
      <c r="B3" s="16" t="s">
        <v>1155</v>
      </c>
      <c r="C3" s="17">
        <f xml:space="preserve"> COUNTA(C9:C111)</f>
        <v>0</v>
      </c>
      <c r="E3" s="16"/>
    </row>
    <row r="4" spans="1:11" ht="15" hidden="1" customHeight="1" x14ac:dyDescent="0.25">
      <c r="B4" s="16" t="s">
        <v>1156</v>
      </c>
      <c r="C4" s="17">
        <f xml:space="preserve"> COUNTA(D9:D111)</f>
        <v>0</v>
      </c>
      <c r="E4" s="16"/>
    </row>
    <row r="5" spans="1:11" ht="15" hidden="1" customHeight="1" x14ac:dyDescent="0.25">
      <c r="B5" s="16" t="s">
        <v>1157</v>
      </c>
      <c r="C5" s="17">
        <f xml:space="preserve"> COUNTA(E9:E111)</f>
        <v>87</v>
      </c>
      <c r="D5" s="18"/>
      <c r="E5" s="18">
        <f>SUM(C3:C5)</f>
        <v>87</v>
      </c>
      <c r="F5" s="18"/>
      <c r="G5" s="18"/>
      <c r="H5" s="18"/>
    </row>
    <row r="6" spans="1:11" ht="69.95" customHeight="1" x14ac:dyDescent="0.25">
      <c r="A6" s="228"/>
      <c r="B6" s="229"/>
      <c r="C6" s="229"/>
      <c r="D6" s="214" t="s">
        <v>1747</v>
      </c>
      <c r="E6" s="214"/>
      <c r="F6" s="214"/>
      <c r="G6" s="214"/>
      <c r="H6" s="214"/>
      <c r="I6" s="214"/>
      <c r="J6" s="214"/>
    </row>
    <row r="7" spans="1:11" ht="24.95" customHeight="1" x14ac:dyDescent="0.35">
      <c r="A7" s="219" t="s">
        <v>303</v>
      </c>
      <c r="B7" s="216"/>
      <c r="C7" s="217"/>
      <c r="D7" s="217"/>
      <c r="E7" s="217"/>
      <c r="F7" s="217"/>
      <c r="G7" s="217"/>
      <c r="H7" s="217"/>
      <c r="I7" s="218"/>
      <c r="J7" s="216"/>
    </row>
    <row r="8" spans="1:11" ht="44.65" customHeight="1" x14ac:dyDescent="0.25">
      <c r="A8" s="74" t="s">
        <v>1158</v>
      </c>
      <c r="B8" s="189" t="s">
        <v>1738</v>
      </c>
      <c r="C8" s="102" t="s">
        <v>1159</v>
      </c>
      <c r="D8" s="102" t="s">
        <v>1160</v>
      </c>
      <c r="E8" s="102" t="s">
        <v>1161</v>
      </c>
      <c r="F8" s="100" t="s">
        <v>1162</v>
      </c>
      <c r="G8" s="100" t="s">
        <v>1163</v>
      </c>
      <c r="H8" s="100" t="s">
        <v>1164</v>
      </c>
      <c r="I8" s="185" t="s">
        <v>1165</v>
      </c>
      <c r="J8" s="111" t="s">
        <v>1166</v>
      </c>
    </row>
    <row r="9" spans="1:11" ht="25.5" x14ac:dyDescent="0.25">
      <c r="A9" s="25">
        <v>706</v>
      </c>
      <c r="B9" s="26" t="s">
        <v>254</v>
      </c>
      <c r="C9" s="118"/>
      <c r="D9" s="119"/>
      <c r="E9" s="119"/>
      <c r="F9" s="119"/>
      <c r="G9" s="119"/>
      <c r="H9" s="119"/>
      <c r="I9" s="120"/>
      <c r="J9" s="118"/>
    </row>
    <row r="10" spans="1:11" ht="25.5" x14ac:dyDescent="0.25">
      <c r="A10" s="144"/>
      <c r="B10" s="19" t="s">
        <v>255</v>
      </c>
      <c r="C10" s="121"/>
      <c r="D10" s="113"/>
      <c r="E10" s="113" t="s">
        <v>1167</v>
      </c>
      <c r="F10" s="116">
        <v>4</v>
      </c>
      <c r="G10" s="20">
        <f>IF(E10="X",F10,0)</f>
        <v>4</v>
      </c>
      <c r="H10" s="20">
        <f>IF(C10="Y",F10,0)</f>
        <v>0</v>
      </c>
      <c r="I10" s="114"/>
      <c r="J10" s="114"/>
      <c r="K10" s="13" t="s">
        <v>1168</v>
      </c>
    </row>
    <row r="11" spans="1:11" x14ac:dyDescent="0.25">
      <c r="A11" s="144" t="s">
        <v>912</v>
      </c>
      <c r="B11" s="19" t="s">
        <v>256</v>
      </c>
      <c r="C11" s="121"/>
      <c r="D11" s="113"/>
      <c r="E11" s="113" t="s">
        <v>1169</v>
      </c>
      <c r="F11" s="116">
        <v>5</v>
      </c>
      <c r="G11" s="20">
        <f t="shared" ref="G11:G16" si="0">IF(E11="X",F11,0)</f>
        <v>5</v>
      </c>
      <c r="H11" s="20">
        <f t="shared" ref="H11:H16" si="1">IF(C11="Y",F11,0)</f>
        <v>0</v>
      </c>
      <c r="I11" s="114"/>
      <c r="J11" s="114"/>
      <c r="K11" s="13" t="s">
        <v>1170</v>
      </c>
    </row>
    <row r="12" spans="1:11" ht="25.5" x14ac:dyDescent="0.25">
      <c r="A12" s="144" t="s">
        <v>907</v>
      </c>
      <c r="B12" s="19" t="s">
        <v>257</v>
      </c>
      <c r="C12" s="121"/>
      <c r="D12" s="113"/>
      <c r="E12" s="113" t="s">
        <v>1171</v>
      </c>
      <c r="F12" s="116">
        <v>4</v>
      </c>
      <c r="G12" s="20">
        <f t="shared" si="0"/>
        <v>4</v>
      </c>
      <c r="H12" s="20">
        <f t="shared" si="1"/>
        <v>0</v>
      </c>
      <c r="I12" s="114"/>
      <c r="J12" s="114"/>
      <c r="K12" s="13" t="s">
        <v>1172</v>
      </c>
    </row>
    <row r="13" spans="1:11" ht="25.5" x14ac:dyDescent="0.25">
      <c r="A13" s="144" t="s">
        <v>908</v>
      </c>
      <c r="B13" s="145" t="s">
        <v>1047</v>
      </c>
      <c r="C13" s="121"/>
      <c r="D13" s="113"/>
      <c r="E13" s="113" t="s">
        <v>1173</v>
      </c>
      <c r="F13" s="116">
        <v>4</v>
      </c>
      <c r="G13" s="20">
        <f t="shared" si="0"/>
        <v>4</v>
      </c>
      <c r="H13" s="20">
        <f t="shared" si="1"/>
        <v>0</v>
      </c>
      <c r="I13" s="114"/>
      <c r="J13" s="114"/>
      <c r="K13" s="13" t="s">
        <v>1174</v>
      </c>
    </row>
    <row r="14" spans="1:11" ht="25.5" x14ac:dyDescent="0.25">
      <c r="A14" s="144" t="s">
        <v>909</v>
      </c>
      <c r="B14" s="145" t="s">
        <v>258</v>
      </c>
      <c r="C14" s="121"/>
      <c r="D14" s="113"/>
      <c r="E14" s="113" t="s">
        <v>1175</v>
      </c>
      <c r="F14" s="116">
        <v>5</v>
      </c>
      <c r="G14" s="20">
        <f t="shared" si="0"/>
        <v>5</v>
      </c>
      <c r="H14" s="20">
        <f t="shared" si="1"/>
        <v>0</v>
      </c>
      <c r="I14" s="114"/>
      <c r="J14" s="114"/>
      <c r="K14" s="13" t="s">
        <v>1176</v>
      </c>
    </row>
    <row r="15" spans="1:11" ht="25.5" x14ac:dyDescent="0.25">
      <c r="A15" s="144" t="s">
        <v>910</v>
      </c>
      <c r="B15" s="145" t="s">
        <v>1045</v>
      </c>
      <c r="C15" s="121"/>
      <c r="D15" s="113"/>
      <c r="E15" s="113" t="s">
        <v>1177</v>
      </c>
      <c r="F15" s="116">
        <v>5</v>
      </c>
      <c r="G15" s="20">
        <f t="shared" si="0"/>
        <v>5</v>
      </c>
      <c r="H15" s="20">
        <f t="shared" si="1"/>
        <v>0</v>
      </c>
      <c r="I15" s="143"/>
      <c r="J15" s="143"/>
      <c r="K15" s="13" t="s">
        <v>1178</v>
      </c>
    </row>
    <row r="16" spans="1:11" ht="25.5" x14ac:dyDescent="0.25">
      <c r="A16" s="144"/>
      <c r="B16" s="19" t="s">
        <v>259</v>
      </c>
      <c r="C16" s="121"/>
      <c r="D16" s="113"/>
      <c r="E16" s="113" t="s">
        <v>1179</v>
      </c>
      <c r="F16" s="116">
        <v>5</v>
      </c>
      <c r="G16" s="20">
        <f t="shared" si="0"/>
        <v>5</v>
      </c>
      <c r="H16" s="20">
        <f t="shared" si="1"/>
        <v>0</v>
      </c>
      <c r="I16" s="114"/>
      <c r="J16" s="114"/>
      <c r="K16" s="13" t="s">
        <v>1180</v>
      </c>
    </row>
    <row r="17" spans="1:11" x14ac:dyDescent="0.25">
      <c r="A17" s="29"/>
      <c r="B17" s="30"/>
      <c r="C17" s="122"/>
      <c r="D17" s="123"/>
      <c r="E17" s="123"/>
      <c r="F17" s="124"/>
      <c r="G17" s="124"/>
      <c r="H17" s="124"/>
      <c r="I17" s="125"/>
      <c r="J17" s="126"/>
    </row>
    <row r="18" spans="1:11" ht="25.5" x14ac:dyDescent="0.25">
      <c r="A18" s="25" t="s">
        <v>906</v>
      </c>
      <c r="B18" s="26" t="s">
        <v>260</v>
      </c>
      <c r="C18" s="118"/>
      <c r="D18" s="119"/>
      <c r="E18" s="119"/>
      <c r="F18" s="127"/>
      <c r="G18" s="127"/>
      <c r="H18" s="127"/>
      <c r="I18" s="120"/>
      <c r="J18" s="118"/>
    </row>
    <row r="19" spans="1:11" ht="25.5" x14ac:dyDescent="0.25">
      <c r="A19" s="144"/>
      <c r="B19" s="19" t="s">
        <v>1181</v>
      </c>
      <c r="C19" s="121"/>
      <c r="D19" s="113"/>
      <c r="E19" s="113" t="s">
        <v>1182</v>
      </c>
      <c r="F19" s="116">
        <v>4</v>
      </c>
      <c r="G19" s="20">
        <f>IF(E19="X",F19,0)</f>
        <v>4</v>
      </c>
      <c r="H19" s="20">
        <f>IF(C19="Y",F19,0)</f>
        <v>0</v>
      </c>
      <c r="I19" s="114"/>
      <c r="J19" s="114"/>
      <c r="K19" s="13" t="s">
        <v>1183</v>
      </c>
    </row>
    <row r="20" spans="1:11" x14ac:dyDescent="0.25">
      <c r="A20" s="144" t="s">
        <v>1184</v>
      </c>
      <c r="B20" s="19" t="s">
        <v>1185</v>
      </c>
      <c r="C20" s="121"/>
      <c r="D20" s="113"/>
      <c r="E20" s="113" t="s">
        <v>1186</v>
      </c>
      <c r="F20" s="116">
        <v>5</v>
      </c>
      <c r="G20" s="20">
        <f t="shared" ref="G20:G27" si="2">IF(E20="X",F20,0)</f>
        <v>5</v>
      </c>
      <c r="H20" s="20">
        <f t="shared" ref="H20:H27" si="3">IF(C20="Y",F20,0)</f>
        <v>0</v>
      </c>
      <c r="I20" s="114"/>
      <c r="J20" s="114"/>
      <c r="K20" s="13" t="s">
        <v>1187</v>
      </c>
    </row>
    <row r="21" spans="1:11" ht="25.5" x14ac:dyDescent="0.25">
      <c r="A21" s="144" t="s">
        <v>1188</v>
      </c>
      <c r="B21" s="19" t="s">
        <v>1189</v>
      </c>
      <c r="C21" s="121"/>
      <c r="D21" s="113"/>
      <c r="E21" s="113" t="s">
        <v>1190</v>
      </c>
      <c r="F21" s="116">
        <v>4</v>
      </c>
      <c r="G21" s="20">
        <f t="shared" si="2"/>
        <v>4</v>
      </c>
      <c r="H21" s="20">
        <f t="shared" si="3"/>
        <v>0</v>
      </c>
      <c r="I21" s="114"/>
      <c r="J21" s="114"/>
      <c r="K21" s="13" t="s">
        <v>1191</v>
      </c>
    </row>
    <row r="22" spans="1:11" ht="25.5" x14ac:dyDescent="0.25">
      <c r="A22" s="144"/>
      <c r="B22" s="19" t="s">
        <v>1046</v>
      </c>
      <c r="C22" s="121"/>
      <c r="D22" s="113"/>
      <c r="E22" s="113" t="s">
        <v>1192</v>
      </c>
      <c r="F22" s="116">
        <v>3</v>
      </c>
      <c r="G22" s="20">
        <f t="shared" si="2"/>
        <v>3</v>
      </c>
      <c r="H22" s="20">
        <f t="shared" si="3"/>
        <v>0</v>
      </c>
      <c r="I22" s="114"/>
      <c r="J22" s="114"/>
      <c r="K22" s="13" t="s">
        <v>1193</v>
      </c>
    </row>
    <row r="23" spans="1:11" ht="25.5" x14ac:dyDescent="0.25">
      <c r="A23" s="144"/>
      <c r="B23" s="19" t="s">
        <v>1740</v>
      </c>
      <c r="C23" s="121"/>
      <c r="D23" s="113"/>
      <c r="E23" s="113" t="s">
        <v>1194</v>
      </c>
      <c r="F23" s="116">
        <v>3</v>
      </c>
      <c r="G23" s="20">
        <f t="shared" si="2"/>
        <v>3</v>
      </c>
      <c r="H23" s="20">
        <f t="shared" si="3"/>
        <v>0</v>
      </c>
      <c r="I23" s="114"/>
      <c r="J23" s="114"/>
      <c r="K23" s="13" t="s">
        <v>1195</v>
      </c>
    </row>
    <row r="24" spans="1:11" ht="25.5" x14ac:dyDescent="0.25">
      <c r="A24" s="144" t="s">
        <v>911</v>
      </c>
      <c r="B24" s="19" t="s">
        <v>1048</v>
      </c>
      <c r="C24" s="121"/>
      <c r="D24" s="113"/>
      <c r="E24" s="113" t="s">
        <v>1196</v>
      </c>
      <c r="F24" s="116">
        <v>4</v>
      </c>
      <c r="G24" s="20">
        <f t="shared" si="2"/>
        <v>4</v>
      </c>
      <c r="H24" s="20">
        <f t="shared" si="3"/>
        <v>0</v>
      </c>
      <c r="I24" s="114"/>
      <c r="J24" s="114"/>
      <c r="K24" s="13" t="s">
        <v>1197</v>
      </c>
    </row>
    <row r="25" spans="1:11" ht="25.5" x14ac:dyDescent="0.25">
      <c r="A25" s="144" t="s">
        <v>1198</v>
      </c>
      <c r="B25" s="19" t="s">
        <v>1199</v>
      </c>
      <c r="C25" s="121"/>
      <c r="D25" s="113"/>
      <c r="E25" s="113" t="s">
        <v>1200</v>
      </c>
      <c r="F25" s="116">
        <v>5</v>
      </c>
      <c r="G25" s="20">
        <f t="shared" si="2"/>
        <v>5</v>
      </c>
      <c r="H25" s="20">
        <f t="shared" si="3"/>
        <v>0</v>
      </c>
      <c r="I25" s="114"/>
      <c r="J25" s="114"/>
      <c r="K25" s="13" t="s">
        <v>1201</v>
      </c>
    </row>
    <row r="26" spans="1:11" ht="25.5" x14ac:dyDescent="0.25">
      <c r="A26" s="144" t="s">
        <v>1202</v>
      </c>
      <c r="B26" s="19" t="s">
        <v>1203</v>
      </c>
      <c r="C26" s="121"/>
      <c r="D26" s="113"/>
      <c r="E26" s="113" t="s">
        <v>1204</v>
      </c>
      <c r="F26" s="116">
        <v>5</v>
      </c>
      <c r="G26" s="20">
        <f t="shared" si="2"/>
        <v>5</v>
      </c>
      <c r="H26" s="20">
        <f t="shared" si="3"/>
        <v>0</v>
      </c>
      <c r="I26" s="114"/>
      <c r="J26" s="114"/>
      <c r="K26" s="13" t="s">
        <v>1205</v>
      </c>
    </row>
    <row r="27" spans="1:11" ht="25.5" x14ac:dyDescent="0.25">
      <c r="A27" s="144"/>
      <c r="B27" s="19" t="s">
        <v>1206</v>
      </c>
      <c r="C27" s="121"/>
      <c r="D27" s="113"/>
      <c r="E27" s="113" t="s">
        <v>1207</v>
      </c>
      <c r="F27" s="116">
        <v>5</v>
      </c>
      <c r="G27" s="20">
        <f t="shared" si="2"/>
        <v>5</v>
      </c>
      <c r="H27" s="20">
        <f t="shared" si="3"/>
        <v>0</v>
      </c>
      <c r="I27" s="114"/>
      <c r="J27" s="114"/>
      <c r="K27" s="13" t="s">
        <v>1208</v>
      </c>
    </row>
    <row r="28" spans="1:11" x14ac:dyDescent="0.25">
      <c r="A28" s="27"/>
      <c r="B28" s="28"/>
      <c r="C28" s="122"/>
      <c r="D28" s="123"/>
      <c r="E28" s="123"/>
      <c r="F28" s="124"/>
      <c r="G28" s="124"/>
      <c r="H28" s="124"/>
      <c r="I28" s="129"/>
      <c r="J28" s="126"/>
    </row>
    <row r="29" spans="1:11" x14ac:dyDescent="0.25">
      <c r="A29" s="25"/>
      <c r="B29" s="26" t="s">
        <v>261</v>
      </c>
      <c r="C29" s="118"/>
      <c r="D29" s="119"/>
      <c r="E29" s="119"/>
      <c r="F29" s="127"/>
      <c r="G29" s="127"/>
      <c r="H29" s="127"/>
      <c r="I29" s="130"/>
      <c r="J29" s="118"/>
    </row>
    <row r="30" spans="1:11" ht="25.5" x14ac:dyDescent="0.25">
      <c r="A30" s="144"/>
      <c r="B30" s="19" t="s">
        <v>1209</v>
      </c>
      <c r="C30" s="121"/>
      <c r="D30" s="113"/>
      <c r="E30" s="113" t="s">
        <v>1210</v>
      </c>
      <c r="F30" s="116">
        <v>4</v>
      </c>
      <c r="G30" s="20">
        <f t="shared" ref="G30:G35" si="4">IF(E30="X",F30,0)</f>
        <v>4</v>
      </c>
      <c r="H30" s="20">
        <f t="shared" ref="H30:H35" si="5">IF(C30="Y",F30,0)</f>
        <v>0</v>
      </c>
      <c r="I30" s="114"/>
      <c r="J30" s="114"/>
      <c r="K30" s="13" t="s">
        <v>1211</v>
      </c>
    </row>
    <row r="31" spans="1:11" x14ac:dyDescent="0.25">
      <c r="A31" s="144" t="s">
        <v>1212</v>
      </c>
      <c r="B31" s="19" t="s">
        <v>1213</v>
      </c>
      <c r="C31" s="121"/>
      <c r="D31" s="113"/>
      <c r="E31" s="113" t="s">
        <v>1214</v>
      </c>
      <c r="F31" s="116">
        <v>5</v>
      </c>
      <c r="G31" s="20">
        <f t="shared" si="4"/>
        <v>5</v>
      </c>
      <c r="H31" s="20">
        <f t="shared" si="5"/>
        <v>0</v>
      </c>
      <c r="I31" s="114"/>
      <c r="J31" s="114"/>
      <c r="K31" s="13" t="s">
        <v>1215</v>
      </c>
    </row>
    <row r="32" spans="1:11" ht="25.5" x14ac:dyDescent="0.25">
      <c r="A32" s="144" t="s">
        <v>1216</v>
      </c>
      <c r="B32" s="19" t="s">
        <v>1217</v>
      </c>
      <c r="C32" s="121"/>
      <c r="D32" s="113"/>
      <c r="E32" s="113" t="s">
        <v>1218</v>
      </c>
      <c r="F32" s="116">
        <v>4</v>
      </c>
      <c r="G32" s="20">
        <f t="shared" si="4"/>
        <v>4</v>
      </c>
      <c r="H32" s="20">
        <f t="shared" si="5"/>
        <v>0</v>
      </c>
      <c r="I32" s="114"/>
      <c r="J32" s="114"/>
      <c r="K32" s="13" t="s">
        <v>1219</v>
      </c>
    </row>
    <row r="33" spans="1:11" ht="25.5" x14ac:dyDescent="0.25">
      <c r="A33" s="144" t="s">
        <v>1220</v>
      </c>
      <c r="B33" s="19" t="s">
        <v>1221</v>
      </c>
      <c r="C33" s="121"/>
      <c r="D33" s="113"/>
      <c r="E33" s="113" t="s">
        <v>1222</v>
      </c>
      <c r="F33" s="116">
        <v>5</v>
      </c>
      <c r="G33" s="20">
        <f t="shared" si="4"/>
        <v>5</v>
      </c>
      <c r="H33" s="20">
        <f t="shared" si="5"/>
        <v>0</v>
      </c>
      <c r="I33" s="114"/>
      <c r="J33" s="114"/>
      <c r="K33" s="13" t="s">
        <v>1223</v>
      </c>
    </row>
    <row r="34" spans="1:11" ht="25.5" x14ac:dyDescent="0.25">
      <c r="A34" s="144" t="s">
        <v>1224</v>
      </c>
      <c r="B34" s="19" t="s">
        <v>1225</v>
      </c>
      <c r="C34" s="121"/>
      <c r="D34" s="113"/>
      <c r="E34" s="113" t="s">
        <v>1226</v>
      </c>
      <c r="F34" s="116">
        <v>5</v>
      </c>
      <c r="G34" s="20">
        <f t="shared" si="4"/>
        <v>5</v>
      </c>
      <c r="H34" s="20">
        <f t="shared" si="5"/>
        <v>0</v>
      </c>
      <c r="I34" s="114"/>
      <c r="J34" s="114"/>
      <c r="K34" s="13" t="s">
        <v>1227</v>
      </c>
    </row>
    <row r="35" spans="1:11" ht="25.5" x14ac:dyDescent="0.25">
      <c r="A35" s="144"/>
      <c r="B35" s="19" t="s">
        <v>1228</v>
      </c>
      <c r="C35" s="121"/>
      <c r="D35" s="113"/>
      <c r="E35" s="113" t="s">
        <v>1229</v>
      </c>
      <c r="F35" s="116">
        <v>5</v>
      </c>
      <c r="G35" s="20">
        <f t="shared" si="4"/>
        <v>5</v>
      </c>
      <c r="H35" s="20">
        <f t="shared" si="5"/>
        <v>0</v>
      </c>
      <c r="I35" s="114"/>
      <c r="J35" s="114"/>
      <c r="K35" s="13" t="s">
        <v>1230</v>
      </c>
    </row>
    <row r="36" spans="1:11" x14ac:dyDescent="0.25">
      <c r="A36" s="27"/>
      <c r="B36" s="28"/>
      <c r="C36" s="122"/>
      <c r="D36" s="123"/>
      <c r="E36" s="123"/>
      <c r="F36" s="124"/>
      <c r="G36" s="124"/>
      <c r="H36" s="124"/>
      <c r="I36" s="129"/>
      <c r="J36" s="126"/>
    </row>
    <row r="37" spans="1:11" ht="25.5" x14ac:dyDescent="0.25">
      <c r="A37" s="25"/>
      <c r="B37" s="26" t="s">
        <v>262</v>
      </c>
      <c r="C37" s="118"/>
      <c r="D37" s="119"/>
      <c r="E37" s="119"/>
      <c r="F37" s="127"/>
      <c r="G37" s="127"/>
      <c r="H37" s="127"/>
      <c r="I37" s="130"/>
      <c r="J37" s="118"/>
    </row>
    <row r="38" spans="1:11" ht="25.5" x14ac:dyDescent="0.25">
      <c r="A38" s="144"/>
      <c r="B38" s="19" t="s">
        <v>1231</v>
      </c>
      <c r="C38" s="121"/>
      <c r="D38" s="113"/>
      <c r="E38" s="113" t="s">
        <v>1232</v>
      </c>
      <c r="F38" s="116">
        <v>4</v>
      </c>
      <c r="G38" s="20">
        <f t="shared" ref="G38:G43" si="6">IF(E38="X",F38,0)</f>
        <v>4</v>
      </c>
      <c r="H38" s="20">
        <f t="shared" ref="H38:H43" si="7">IF(C38="Y",F38,0)</f>
        <v>0</v>
      </c>
      <c r="I38" s="114"/>
      <c r="J38" s="114"/>
      <c r="K38" s="13" t="s">
        <v>1233</v>
      </c>
    </row>
    <row r="39" spans="1:11" x14ac:dyDescent="0.25">
      <c r="A39" s="144" t="s">
        <v>1234</v>
      </c>
      <c r="B39" s="19" t="s">
        <v>1235</v>
      </c>
      <c r="C39" s="121"/>
      <c r="D39" s="113"/>
      <c r="E39" s="113" t="s">
        <v>1236</v>
      </c>
      <c r="F39" s="116">
        <v>5</v>
      </c>
      <c r="G39" s="20">
        <f t="shared" si="6"/>
        <v>5</v>
      </c>
      <c r="H39" s="20">
        <f t="shared" si="7"/>
        <v>0</v>
      </c>
      <c r="I39" s="114"/>
      <c r="J39" s="114"/>
      <c r="K39" s="13" t="s">
        <v>1237</v>
      </c>
    </row>
    <row r="40" spans="1:11" ht="25.5" x14ac:dyDescent="0.25">
      <c r="A40" s="144" t="s">
        <v>1238</v>
      </c>
      <c r="B40" s="19" t="s">
        <v>1239</v>
      </c>
      <c r="C40" s="121"/>
      <c r="D40" s="113"/>
      <c r="E40" s="113" t="s">
        <v>1240</v>
      </c>
      <c r="F40" s="116">
        <v>4</v>
      </c>
      <c r="G40" s="20">
        <f t="shared" si="6"/>
        <v>4</v>
      </c>
      <c r="H40" s="20">
        <f t="shared" si="7"/>
        <v>0</v>
      </c>
      <c r="I40" s="114"/>
      <c r="J40" s="114"/>
      <c r="K40" s="13" t="s">
        <v>1241</v>
      </c>
    </row>
    <row r="41" spans="1:11" ht="25.5" x14ac:dyDescent="0.25">
      <c r="A41" s="144" t="s">
        <v>1242</v>
      </c>
      <c r="B41" s="19" t="s">
        <v>1243</v>
      </c>
      <c r="C41" s="121"/>
      <c r="D41" s="113"/>
      <c r="E41" s="113" t="s">
        <v>1244</v>
      </c>
      <c r="F41" s="116">
        <v>5</v>
      </c>
      <c r="G41" s="20">
        <f t="shared" si="6"/>
        <v>5</v>
      </c>
      <c r="H41" s="20">
        <f t="shared" si="7"/>
        <v>0</v>
      </c>
      <c r="I41" s="114"/>
      <c r="J41" s="114"/>
      <c r="K41" s="13" t="s">
        <v>1245</v>
      </c>
    </row>
    <row r="42" spans="1:11" ht="25.5" x14ac:dyDescent="0.25">
      <c r="A42" s="144" t="s">
        <v>1246</v>
      </c>
      <c r="B42" s="19" t="s">
        <v>1247</v>
      </c>
      <c r="C42" s="121"/>
      <c r="D42" s="113"/>
      <c r="E42" s="113" t="s">
        <v>1248</v>
      </c>
      <c r="F42" s="116">
        <v>5</v>
      </c>
      <c r="G42" s="20">
        <f t="shared" si="6"/>
        <v>5</v>
      </c>
      <c r="H42" s="20">
        <f t="shared" si="7"/>
        <v>0</v>
      </c>
      <c r="I42" s="114"/>
      <c r="J42" s="114"/>
      <c r="K42" s="13" t="s">
        <v>1249</v>
      </c>
    </row>
    <row r="43" spans="1:11" ht="25.5" x14ac:dyDescent="0.25">
      <c r="A43" s="144"/>
      <c r="B43" s="19" t="s">
        <v>1250</v>
      </c>
      <c r="C43" s="121"/>
      <c r="D43" s="113"/>
      <c r="E43" s="113" t="s">
        <v>1251</v>
      </c>
      <c r="F43" s="116">
        <v>5</v>
      </c>
      <c r="G43" s="20">
        <f t="shared" si="6"/>
        <v>5</v>
      </c>
      <c r="H43" s="20">
        <f t="shared" si="7"/>
        <v>0</v>
      </c>
      <c r="I43" s="114"/>
      <c r="J43" s="114"/>
      <c r="K43" s="13" t="s">
        <v>1252</v>
      </c>
    </row>
    <row r="44" spans="1:11" x14ac:dyDescent="0.25">
      <c r="A44" s="27"/>
      <c r="B44" s="28"/>
      <c r="C44" s="122"/>
      <c r="D44" s="123"/>
      <c r="E44" s="123"/>
      <c r="F44" s="124"/>
      <c r="G44" s="124"/>
      <c r="H44" s="124"/>
      <c r="I44" s="129"/>
      <c r="J44" s="126"/>
    </row>
    <row r="45" spans="1:11" x14ac:dyDescent="0.25">
      <c r="A45" s="25"/>
      <c r="B45" s="26" t="s">
        <v>263</v>
      </c>
      <c r="C45" s="118"/>
      <c r="D45" s="119"/>
      <c r="E45" s="119"/>
      <c r="F45" s="127"/>
      <c r="G45" s="127"/>
      <c r="H45" s="127"/>
      <c r="I45" s="130"/>
      <c r="J45" s="118"/>
    </row>
    <row r="46" spans="1:11" ht="25.5" x14ac:dyDescent="0.25">
      <c r="A46" s="144"/>
      <c r="B46" s="19" t="s">
        <v>1253</v>
      </c>
      <c r="C46" s="121"/>
      <c r="D46" s="113"/>
      <c r="E46" s="113" t="s">
        <v>1254</v>
      </c>
      <c r="F46" s="116">
        <v>4</v>
      </c>
      <c r="G46" s="20">
        <f t="shared" ref="G46:G51" si="8">IF(E46="X",F46,0)</f>
        <v>4</v>
      </c>
      <c r="H46" s="20">
        <f t="shared" ref="H46:H51" si="9">IF(C46="Y",F46,0)</f>
        <v>0</v>
      </c>
      <c r="I46" s="114"/>
      <c r="J46" s="114"/>
      <c r="K46" s="13" t="s">
        <v>1255</v>
      </c>
    </row>
    <row r="47" spans="1:11" x14ac:dyDescent="0.25">
      <c r="A47" s="144" t="s">
        <v>1256</v>
      </c>
      <c r="B47" s="19" t="s">
        <v>1257</v>
      </c>
      <c r="C47" s="121"/>
      <c r="D47" s="113"/>
      <c r="E47" s="113" t="s">
        <v>1258</v>
      </c>
      <c r="F47" s="116">
        <v>5</v>
      </c>
      <c r="G47" s="20">
        <f t="shared" si="8"/>
        <v>5</v>
      </c>
      <c r="H47" s="20">
        <f t="shared" si="9"/>
        <v>0</v>
      </c>
      <c r="I47" s="114"/>
      <c r="J47" s="114"/>
      <c r="K47" s="13" t="s">
        <v>1259</v>
      </c>
    </row>
    <row r="48" spans="1:11" ht="25.5" x14ac:dyDescent="0.25">
      <c r="A48" s="144" t="s">
        <v>1260</v>
      </c>
      <c r="B48" s="19" t="s">
        <v>1261</v>
      </c>
      <c r="C48" s="121"/>
      <c r="D48" s="113"/>
      <c r="E48" s="113" t="s">
        <v>1262</v>
      </c>
      <c r="F48" s="116">
        <v>4</v>
      </c>
      <c r="G48" s="20">
        <f t="shared" si="8"/>
        <v>4</v>
      </c>
      <c r="H48" s="20">
        <f t="shared" si="9"/>
        <v>0</v>
      </c>
      <c r="I48" s="114"/>
      <c r="J48" s="114"/>
      <c r="K48" s="13" t="s">
        <v>1263</v>
      </c>
    </row>
    <row r="49" spans="1:11" ht="25.5" x14ac:dyDescent="0.25">
      <c r="A49" s="144" t="s">
        <v>1264</v>
      </c>
      <c r="B49" s="19" t="s">
        <v>1265</v>
      </c>
      <c r="C49" s="121"/>
      <c r="D49" s="113"/>
      <c r="E49" s="113" t="s">
        <v>1266</v>
      </c>
      <c r="F49" s="116">
        <v>5</v>
      </c>
      <c r="G49" s="20">
        <f t="shared" si="8"/>
        <v>5</v>
      </c>
      <c r="H49" s="20">
        <f t="shared" si="9"/>
        <v>0</v>
      </c>
      <c r="I49" s="114"/>
      <c r="J49" s="114"/>
      <c r="K49" s="13" t="s">
        <v>1267</v>
      </c>
    </row>
    <row r="50" spans="1:11" ht="25.5" x14ac:dyDescent="0.25">
      <c r="A50" s="144" t="s">
        <v>1268</v>
      </c>
      <c r="B50" s="19" t="s">
        <v>1269</v>
      </c>
      <c r="C50" s="121"/>
      <c r="D50" s="113"/>
      <c r="E50" s="113" t="s">
        <v>1270</v>
      </c>
      <c r="F50" s="116">
        <v>5</v>
      </c>
      <c r="G50" s="20">
        <f t="shared" si="8"/>
        <v>5</v>
      </c>
      <c r="H50" s="20">
        <f t="shared" si="9"/>
        <v>0</v>
      </c>
      <c r="I50" s="114"/>
      <c r="J50" s="114"/>
      <c r="K50" s="13" t="s">
        <v>1271</v>
      </c>
    </row>
    <row r="51" spans="1:11" ht="25.5" x14ac:dyDescent="0.25">
      <c r="A51" s="144"/>
      <c r="B51" s="19" t="s">
        <v>1272</v>
      </c>
      <c r="C51" s="121"/>
      <c r="D51" s="113"/>
      <c r="E51" s="113" t="s">
        <v>1273</v>
      </c>
      <c r="F51" s="116">
        <v>5</v>
      </c>
      <c r="G51" s="20">
        <f t="shared" si="8"/>
        <v>5</v>
      </c>
      <c r="H51" s="20">
        <f t="shared" si="9"/>
        <v>0</v>
      </c>
      <c r="I51" s="114"/>
      <c r="J51" s="114"/>
      <c r="K51" s="13" t="s">
        <v>1274</v>
      </c>
    </row>
    <row r="52" spans="1:11" x14ac:dyDescent="0.25">
      <c r="A52" s="131"/>
      <c r="B52" s="132" t="s">
        <v>240</v>
      </c>
      <c r="C52" s="133"/>
      <c r="D52" s="123"/>
      <c r="E52" s="123"/>
      <c r="F52" s="124"/>
      <c r="G52" s="124"/>
      <c r="H52" s="20"/>
      <c r="I52" s="129"/>
      <c r="J52" s="126"/>
    </row>
    <row r="53" spans="1:11" x14ac:dyDescent="0.25">
      <c r="A53" s="25"/>
      <c r="B53" s="26" t="s">
        <v>264</v>
      </c>
      <c r="C53" s="118"/>
      <c r="D53" s="119"/>
      <c r="E53" s="119"/>
      <c r="F53" s="127"/>
      <c r="G53" s="127"/>
      <c r="H53" s="127"/>
      <c r="I53" s="130"/>
      <c r="J53" s="118"/>
    </row>
    <row r="54" spans="1:11" ht="25.5" x14ac:dyDescent="0.25">
      <c r="A54" s="144"/>
      <c r="B54" s="19" t="s">
        <v>1275</v>
      </c>
      <c r="C54" s="121"/>
      <c r="D54" s="113"/>
      <c r="E54" s="113" t="s">
        <v>1276</v>
      </c>
      <c r="F54" s="116">
        <v>4</v>
      </c>
      <c r="G54" s="20">
        <f t="shared" ref="G54:G59" si="10">IF(E54="X",F54,0)</f>
        <v>4</v>
      </c>
      <c r="H54" s="20">
        <f t="shared" ref="H54:H59" si="11">IF(C54="Y",F54,0)</f>
        <v>0</v>
      </c>
      <c r="I54" s="114"/>
      <c r="J54" s="114"/>
      <c r="K54" s="13" t="s">
        <v>1277</v>
      </c>
    </row>
    <row r="55" spans="1:11" x14ac:dyDescent="0.25">
      <c r="A55" s="144" t="s">
        <v>1278</v>
      </c>
      <c r="B55" s="19" t="s">
        <v>1279</v>
      </c>
      <c r="C55" s="121"/>
      <c r="D55" s="113"/>
      <c r="E55" s="113" t="s">
        <v>1280</v>
      </c>
      <c r="F55" s="116">
        <v>5</v>
      </c>
      <c r="G55" s="20">
        <f t="shared" si="10"/>
        <v>5</v>
      </c>
      <c r="H55" s="20">
        <f t="shared" si="11"/>
        <v>0</v>
      </c>
      <c r="I55" s="114"/>
      <c r="J55" s="114"/>
      <c r="K55" s="13" t="s">
        <v>1281</v>
      </c>
    </row>
    <row r="56" spans="1:11" ht="25.5" x14ac:dyDescent="0.25">
      <c r="A56" s="144" t="s">
        <v>1282</v>
      </c>
      <c r="B56" s="19" t="s">
        <v>1283</v>
      </c>
      <c r="C56" s="121"/>
      <c r="D56" s="113"/>
      <c r="E56" s="113" t="s">
        <v>1284</v>
      </c>
      <c r="F56" s="116">
        <v>4</v>
      </c>
      <c r="G56" s="20">
        <f t="shared" si="10"/>
        <v>4</v>
      </c>
      <c r="H56" s="20">
        <f t="shared" si="11"/>
        <v>0</v>
      </c>
      <c r="I56" s="114"/>
      <c r="J56" s="114"/>
      <c r="K56" s="13" t="s">
        <v>1285</v>
      </c>
    </row>
    <row r="57" spans="1:11" ht="25.5" x14ac:dyDescent="0.25">
      <c r="A57" s="144" t="s">
        <v>1286</v>
      </c>
      <c r="B57" s="19" t="s">
        <v>1287</v>
      </c>
      <c r="C57" s="121"/>
      <c r="D57" s="113"/>
      <c r="E57" s="113" t="s">
        <v>1288</v>
      </c>
      <c r="F57" s="116">
        <v>5</v>
      </c>
      <c r="G57" s="20">
        <f t="shared" si="10"/>
        <v>5</v>
      </c>
      <c r="H57" s="20">
        <f t="shared" si="11"/>
        <v>0</v>
      </c>
      <c r="I57" s="114"/>
      <c r="J57" s="114"/>
      <c r="K57" s="13" t="s">
        <v>1289</v>
      </c>
    </row>
    <row r="58" spans="1:11" ht="25.5" x14ac:dyDescent="0.25">
      <c r="A58" s="144" t="s">
        <v>1290</v>
      </c>
      <c r="B58" s="19" t="s">
        <v>1291</v>
      </c>
      <c r="C58" s="121"/>
      <c r="D58" s="113"/>
      <c r="E58" s="113" t="s">
        <v>1292</v>
      </c>
      <c r="F58" s="116">
        <v>5</v>
      </c>
      <c r="G58" s="20">
        <f t="shared" si="10"/>
        <v>5</v>
      </c>
      <c r="H58" s="20">
        <f t="shared" si="11"/>
        <v>0</v>
      </c>
      <c r="I58" s="114"/>
      <c r="J58" s="114"/>
      <c r="K58" s="13" t="s">
        <v>1293</v>
      </c>
    </row>
    <row r="59" spans="1:11" ht="25.5" x14ac:dyDescent="0.25">
      <c r="A59" s="144"/>
      <c r="B59" s="19" t="s">
        <v>1294</v>
      </c>
      <c r="C59" s="121"/>
      <c r="D59" s="113"/>
      <c r="E59" s="113" t="s">
        <v>1295</v>
      </c>
      <c r="F59" s="116">
        <v>5</v>
      </c>
      <c r="G59" s="20">
        <f t="shared" si="10"/>
        <v>5</v>
      </c>
      <c r="H59" s="20">
        <f t="shared" si="11"/>
        <v>0</v>
      </c>
      <c r="I59" s="114"/>
      <c r="J59" s="114"/>
      <c r="K59" s="13" t="s">
        <v>1296</v>
      </c>
    </row>
    <row r="60" spans="1:11" x14ac:dyDescent="0.25">
      <c r="A60" s="27"/>
      <c r="B60" s="28"/>
      <c r="C60" s="122"/>
      <c r="D60" s="123"/>
      <c r="E60" s="123"/>
      <c r="F60" s="124"/>
      <c r="G60" s="124"/>
      <c r="H60" s="124"/>
      <c r="I60" s="129"/>
      <c r="J60" s="126"/>
    </row>
    <row r="61" spans="1:11" ht="25.5" x14ac:dyDescent="0.25">
      <c r="A61" s="25"/>
      <c r="B61" s="26" t="s">
        <v>265</v>
      </c>
      <c r="C61" s="118"/>
      <c r="D61" s="119"/>
      <c r="E61" s="119"/>
      <c r="F61" s="127"/>
      <c r="G61" s="127"/>
      <c r="H61" s="127"/>
      <c r="I61" s="130"/>
      <c r="J61" s="118"/>
    </row>
    <row r="62" spans="1:11" x14ac:dyDescent="0.25">
      <c r="A62" s="134"/>
      <c r="B62" s="135" t="s">
        <v>266</v>
      </c>
      <c r="C62" s="121"/>
      <c r="D62" s="113"/>
      <c r="E62" s="113"/>
      <c r="F62" s="116"/>
      <c r="G62" s="116"/>
      <c r="H62" s="20"/>
      <c r="I62" s="128"/>
      <c r="J62" s="115"/>
    </row>
    <row r="63" spans="1:11" x14ac:dyDescent="0.25">
      <c r="A63" s="144" t="s">
        <v>913</v>
      </c>
      <c r="B63" s="19" t="s">
        <v>267</v>
      </c>
      <c r="C63" s="121"/>
      <c r="D63" s="113"/>
      <c r="E63" s="113" t="s">
        <v>1297</v>
      </c>
      <c r="F63" s="116">
        <v>4</v>
      </c>
      <c r="G63" s="20">
        <f>IF(E63="X",F63,0)</f>
        <v>4</v>
      </c>
      <c r="H63" s="20">
        <f t="shared" ref="H63:H109" si="12">IF(C63="Y",F63,0)</f>
        <v>0</v>
      </c>
      <c r="I63" s="114"/>
      <c r="J63" s="114"/>
      <c r="K63" s="13" t="s">
        <v>1298</v>
      </c>
    </row>
    <row r="64" spans="1:11" x14ac:dyDescent="0.25">
      <c r="A64" s="146" t="s">
        <v>914</v>
      </c>
      <c r="B64" s="20" t="s">
        <v>268</v>
      </c>
      <c r="C64" s="121"/>
      <c r="D64" s="113"/>
      <c r="E64" s="113" t="s">
        <v>1299</v>
      </c>
      <c r="F64" s="116">
        <v>4</v>
      </c>
      <c r="G64" s="20">
        <f t="shared" ref="G64:G109" si="13">IF(E64="X",F64,0)</f>
        <v>4</v>
      </c>
      <c r="H64" s="20">
        <f t="shared" si="12"/>
        <v>0</v>
      </c>
      <c r="I64" s="114"/>
      <c r="J64" s="114"/>
      <c r="K64" s="13" t="s">
        <v>1300</v>
      </c>
    </row>
    <row r="65" spans="1:11" x14ac:dyDescent="0.25">
      <c r="A65" s="146" t="s">
        <v>915</v>
      </c>
      <c r="B65" s="20" t="s">
        <v>269</v>
      </c>
      <c r="C65" s="121"/>
      <c r="D65" s="113"/>
      <c r="E65" s="113" t="s">
        <v>1301</v>
      </c>
      <c r="F65" s="116">
        <v>3</v>
      </c>
      <c r="G65" s="20">
        <f t="shared" si="13"/>
        <v>3</v>
      </c>
      <c r="H65" s="20">
        <f t="shared" si="12"/>
        <v>0</v>
      </c>
      <c r="I65" s="114"/>
      <c r="J65" s="114"/>
      <c r="K65" s="13" t="s">
        <v>1302</v>
      </c>
    </row>
    <row r="66" spans="1:11" ht="25.5" x14ac:dyDescent="0.25">
      <c r="A66" s="146" t="s">
        <v>916</v>
      </c>
      <c r="B66" s="19" t="s">
        <v>1750</v>
      </c>
      <c r="C66" s="121"/>
      <c r="D66" s="113"/>
      <c r="E66" s="113" t="s">
        <v>1303</v>
      </c>
      <c r="F66" s="116">
        <v>3</v>
      </c>
      <c r="G66" s="20">
        <f t="shared" si="13"/>
        <v>3</v>
      </c>
      <c r="H66" s="20">
        <f t="shared" si="12"/>
        <v>0</v>
      </c>
      <c r="I66" s="114"/>
      <c r="J66" s="114"/>
      <c r="K66" s="13" t="s">
        <v>1304</v>
      </c>
    </row>
    <row r="67" spans="1:11" x14ac:dyDescent="0.25">
      <c r="A67" s="146" t="s">
        <v>917</v>
      </c>
      <c r="B67" s="19" t="s">
        <v>1751</v>
      </c>
      <c r="C67" s="121"/>
      <c r="D67" s="113"/>
      <c r="E67" s="113" t="s">
        <v>1305</v>
      </c>
      <c r="F67" s="116">
        <v>3</v>
      </c>
      <c r="G67" s="20">
        <f t="shared" si="13"/>
        <v>3</v>
      </c>
      <c r="H67" s="20">
        <f t="shared" si="12"/>
        <v>0</v>
      </c>
      <c r="I67" s="114"/>
      <c r="J67" s="114"/>
      <c r="K67" s="13" t="s">
        <v>1306</v>
      </c>
    </row>
    <row r="68" spans="1:11" ht="25.5" x14ac:dyDescent="0.25">
      <c r="A68" s="146" t="s">
        <v>919</v>
      </c>
      <c r="B68" s="20" t="s">
        <v>270</v>
      </c>
      <c r="C68" s="121"/>
      <c r="D68" s="113"/>
      <c r="E68" s="113" t="s">
        <v>1307</v>
      </c>
      <c r="F68" s="116">
        <v>3</v>
      </c>
      <c r="G68" s="20">
        <f t="shared" si="13"/>
        <v>3</v>
      </c>
      <c r="H68" s="20">
        <f t="shared" si="12"/>
        <v>0</v>
      </c>
      <c r="I68" s="114"/>
      <c r="J68" s="114"/>
      <c r="K68" s="13" t="s">
        <v>1308</v>
      </c>
    </row>
    <row r="69" spans="1:11" x14ac:dyDescent="0.25">
      <c r="A69" s="146" t="s">
        <v>918</v>
      </c>
      <c r="B69" s="20" t="s">
        <v>271</v>
      </c>
      <c r="C69" s="121"/>
      <c r="D69" s="113"/>
      <c r="E69" s="113" t="s">
        <v>1309</v>
      </c>
      <c r="F69" s="116">
        <v>3</v>
      </c>
      <c r="G69" s="20">
        <f t="shared" si="13"/>
        <v>3</v>
      </c>
      <c r="H69" s="20">
        <f t="shared" si="12"/>
        <v>0</v>
      </c>
      <c r="I69" s="114"/>
      <c r="J69" s="114"/>
      <c r="K69" s="13" t="s">
        <v>1310</v>
      </c>
    </row>
    <row r="70" spans="1:11" x14ac:dyDescent="0.25">
      <c r="A70" s="146" t="s">
        <v>920</v>
      </c>
      <c r="B70" s="20" t="s">
        <v>272</v>
      </c>
      <c r="C70" s="121"/>
      <c r="D70" s="113"/>
      <c r="E70" s="113" t="s">
        <v>1311</v>
      </c>
      <c r="F70" s="116">
        <v>3</v>
      </c>
      <c r="G70" s="20">
        <f t="shared" si="13"/>
        <v>3</v>
      </c>
      <c r="H70" s="20">
        <f t="shared" si="12"/>
        <v>0</v>
      </c>
      <c r="I70" s="114"/>
      <c r="J70" s="114"/>
      <c r="K70" s="13" t="s">
        <v>1312</v>
      </c>
    </row>
    <row r="71" spans="1:11" x14ac:dyDescent="0.25">
      <c r="A71" s="146" t="s">
        <v>921</v>
      </c>
      <c r="B71" s="20" t="s">
        <v>273</v>
      </c>
      <c r="C71" s="121"/>
      <c r="D71" s="113"/>
      <c r="E71" s="113" t="s">
        <v>1313</v>
      </c>
      <c r="F71" s="116">
        <v>3</v>
      </c>
      <c r="G71" s="20">
        <f t="shared" si="13"/>
        <v>3</v>
      </c>
      <c r="H71" s="20">
        <f t="shared" si="12"/>
        <v>0</v>
      </c>
      <c r="I71" s="114"/>
      <c r="J71" s="114"/>
      <c r="K71" s="13" t="s">
        <v>1314</v>
      </c>
    </row>
    <row r="72" spans="1:11" x14ac:dyDescent="0.25">
      <c r="A72" s="146"/>
      <c r="B72" s="20" t="s">
        <v>274</v>
      </c>
      <c r="C72" s="121"/>
      <c r="D72" s="113"/>
      <c r="E72" s="113" t="s">
        <v>1315</v>
      </c>
      <c r="F72" s="116">
        <v>3</v>
      </c>
      <c r="G72" s="20">
        <f t="shared" si="13"/>
        <v>3</v>
      </c>
      <c r="H72" s="20">
        <f t="shared" si="12"/>
        <v>0</v>
      </c>
      <c r="I72" s="114"/>
      <c r="J72" s="114"/>
      <c r="K72" s="13" t="s">
        <v>1316</v>
      </c>
    </row>
    <row r="73" spans="1:11" ht="25.5" x14ac:dyDescent="0.25">
      <c r="A73" s="146"/>
      <c r="B73" s="20" t="s">
        <v>275</v>
      </c>
      <c r="C73" s="121"/>
      <c r="D73" s="113"/>
      <c r="E73" s="113" t="s">
        <v>1317</v>
      </c>
      <c r="F73" s="116">
        <v>5</v>
      </c>
      <c r="G73" s="20">
        <f t="shared" si="13"/>
        <v>5</v>
      </c>
      <c r="H73" s="20">
        <f t="shared" si="12"/>
        <v>0</v>
      </c>
      <c r="I73" s="114"/>
      <c r="J73" s="114"/>
      <c r="K73" s="13" t="s">
        <v>1318</v>
      </c>
    </row>
    <row r="74" spans="1:11" ht="25.5" x14ac:dyDescent="0.25">
      <c r="A74" s="144" t="s">
        <v>922</v>
      </c>
      <c r="B74" s="19" t="s">
        <v>1049</v>
      </c>
      <c r="C74" s="121"/>
      <c r="D74" s="113"/>
      <c r="E74" s="113" t="s">
        <v>1319</v>
      </c>
      <c r="F74" s="116">
        <v>5</v>
      </c>
      <c r="G74" s="20">
        <f t="shared" si="13"/>
        <v>5</v>
      </c>
      <c r="H74" s="20">
        <f t="shared" si="12"/>
        <v>0</v>
      </c>
      <c r="I74" s="114"/>
      <c r="J74" s="114"/>
      <c r="K74" s="13" t="s">
        <v>1320</v>
      </c>
    </row>
    <row r="75" spans="1:11" x14ac:dyDescent="0.25">
      <c r="A75" s="144" t="s">
        <v>923</v>
      </c>
      <c r="B75" s="19" t="s">
        <v>276</v>
      </c>
      <c r="C75" s="121"/>
      <c r="D75" s="113"/>
      <c r="E75" s="113" t="s">
        <v>1321</v>
      </c>
      <c r="F75" s="116">
        <v>5</v>
      </c>
      <c r="G75" s="20">
        <f t="shared" si="13"/>
        <v>5</v>
      </c>
      <c r="H75" s="20">
        <f t="shared" si="12"/>
        <v>0</v>
      </c>
      <c r="I75" s="114"/>
      <c r="J75" s="114"/>
      <c r="K75" s="13" t="s">
        <v>1322</v>
      </c>
    </row>
    <row r="76" spans="1:11" ht="25.5" x14ac:dyDescent="0.25">
      <c r="A76" s="144" t="s">
        <v>924</v>
      </c>
      <c r="B76" s="19" t="s">
        <v>277</v>
      </c>
      <c r="C76" s="121"/>
      <c r="D76" s="113"/>
      <c r="E76" s="113" t="s">
        <v>1323</v>
      </c>
      <c r="F76" s="116">
        <v>5</v>
      </c>
      <c r="G76" s="20">
        <f t="shared" si="13"/>
        <v>5</v>
      </c>
      <c r="H76" s="20">
        <f t="shared" si="12"/>
        <v>0</v>
      </c>
      <c r="I76" s="114"/>
      <c r="J76" s="114"/>
      <c r="K76" s="13" t="s">
        <v>1324</v>
      </c>
    </row>
    <row r="77" spans="1:11" ht="25.5" x14ac:dyDescent="0.25">
      <c r="A77" s="144" t="s">
        <v>925</v>
      </c>
      <c r="B77" s="19" t="s">
        <v>501</v>
      </c>
      <c r="C77" s="121"/>
      <c r="D77" s="113"/>
      <c r="E77" s="113" t="s">
        <v>1325</v>
      </c>
      <c r="F77" s="116">
        <v>5</v>
      </c>
      <c r="G77" s="20">
        <f t="shared" si="13"/>
        <v>5</v>
      </c>
      <c r="H77" s="20">
        <f t="shared" si="12"/>
        <v>0</v>
      </c>
      <c r="I77" s="114"/>
      <c r="J77" s="114"/>
      <c r="K77" s="13" t="s">
        <v>1326</v>
      </c>
    </row>
    <row r="78" spans="1:11" ht="25.5" x14ac:dyDescent="0.25">
      <c r="A78" s="144" t="s">
        <v>926</v>
      </c>
      <c r="B78" s="19" t="s">
        <v>278</v>
      </c>
      <c r="C78" s="121"/>
      <c r="D78" s="113"/>
      <c r="E78" s="113" t="s">
        <v>1327</v>
      </c>
      <c r="F78" s="116">
        <v>5</v>
      </c>
      <c r="G78" s="20">
        <f t="shared" si="13"/>
        <v>5</v>
      </c>
      <c r="H78" s="20">
        <f t="shared" si="12"/>
        <v>0</v>
      </c>
      <c r="I78" s="114"/>
      <c r="J78" s="114"/>
      <c r="K78" s="13" t="s">
        <v>1328</v>
      </c>
    </row>
    <row r="79" spans="1:11" ht="25.5" x14ac:dyDescent="0.25">
      <c r="A79" s="144" t="s">
        <v>927</v>
      </c>
      <c r="B79" s="19" t="s">
        <v>1752</v>
      </c>
      <c r="C79" s="121"/>
      <c r="D79" s="113"/>
      <c r="E79" s="113" t="s">
        <v>1329</v>
      </c>
      <c r="F79" s="116">
        <v>5</v>
      </c>
      <c r="G79" s="20">
        <f t="shared" si="13"/>
        <v>5</v>
      </c>
      <c r="H79" s="20">
        <f t="shared" si="12"/>
        <v>0</v>
      </c>
      <c r="I79" s="114"/>
      <c r="J79" s="114"/>
      <c r="K79" s="13" t="s">
        <v>1330</v>
      </c>
    </row>
    <row r="80" spans="1:11" ht="25.5" x14ac:dyDescent="0.25">
      <c r="A80" s="144" t="s">
        <v>1004</v>
      </c>
      <c r="B80" s="19" t="s">
        <v>1003</v>
      </c>
      <c r="C80" s="121"/>
      <c r="D80" s="113"/>
      <c r="E80" s="113" t="s">
        <v>1331</v>
      </c>
      <c r="F80" s="116"/>
      <c r="G80" s="20"/>
      <c r="H80" s="20"/>
      <c r="I80" s="114"/>
      <c r="J80" s="114"/>
      <c r="K80" s="13" t="s">
        <v>1332</v>
      </c>
    </row>
    <row r="81" spans="1:11" ht="25.5" x14ac:dyDescent="0.25">
      <c r="A81" s="144" t="s">
        <v>928</v>
      </c>
      <c r="B81" s="19" t="s">
        <v>280</v>
      </c>
      <c r="C81" s="121"/>
      <c r="D81" s="113"/>
      <c r="E81" s="113" t="s">
        <v>1333</v>
      </c>
      <c r="F81" s="116">
        <v>3</v>
      </c>
      <c r="G81" s="20">
        <f t="shared" si="13"/>
        <v>3</v>
      </c>
      <c r="H81" s="20">
        <f t="shared" si="12"/>
        <v>0</v>
      </c>
      <c r="I81" s="114"/>
      <c r="J81" s="114"/>
      <c r="K81" s="13" t="s">
        <v>1334</v>
      </c>
    </row>
    <row r="82" spans="1:11" x14ac:dyDescent="0.25">
      <c r="A82" s="146" t="s">
        <v>929</v>
      </c>
      <c r="B82" s="20" t="s">
        <v>281</v>
      </c>
      <c r="C82" s="121"/>
      <c r="D82" s="113"/>
      <c r="E82" s="113" t="s">
        <v>1335</v>
      </c>
      <c r="F82" s="116">
        <v>3</v>
      </c>
      <c r="G82" s="20">
        <f t="shared" si="13"/>
        <v>3</v>
      </c>
      <c r="H82" s="20">
        <f t="shared" si="12"/>
        <v>0</v>
      </c>
      <c r="I82" s="114"/>
      <c r="J82" s="114"/>
      <c r="K82" s="13" t="s">
        <v>1336</v>
      </c>
    </row>
    <row r="83" spans="1:11" x14ac:dyDescent="0.25">
      <c r="A83" s="146"/>
      <c r="B83" s="20" t="s">
        <v>282</v>
      </c>
      <c r="C83" s="121"/>
      <c r="D83" s="113"/>
      <c r="E83" s="113" t="s">
        <v>1337</v>
      </c>
      <c r="F83" s="116">
        <v>3</v>
      </c>
      <c r="G83" s="20">
        <f t="shared" si="13"/>
        <v>3</v>
      </c>
      <c r="H83" s="20">
        <f t="shared" si="12"/>
        <v>0</v>
      </c>
      <c r="I83" s="114"/>
      <c r="J83" s="114"/>
      <c r="K83" s="13" t="s">
        <v>1338</v>
      </c>
    </row>
    <row r="84" spans="1:11" ht="25.5" x14ac:dyDescent="0.25">
      <c r="A84" s="146"/>
      <c r="B84" s="20" t="s">
        <v>283</v>
      </c>
      <c r="C84" s="121"/>
      <c r="D84" s="113"/>
      <c r="E84" s="113" t="s">
        <v>1339</v>
      </c>
      <c r="F84" s="116">
        <v>3</v>
      </c>
      <c r="G84" s="20">
        <f t="shared" si="13"/>
        <v>3</v>
      </c>
      <c r="H84" s="20">
        <f t="shared" si="12"/>
        <v>0</v>
      </c>
      <c r="I84" s="114"/>
      <c r="J84" s="114"/>
      <c r="K84" s="13" t="s">
        <v>1340</v>
      </c>
    </row>
    <row r="85" spans="1:11" ht="25.5" x14ac:dyDescent="0.25">
      <c r="A85" s="146" t="s">
        <v>1341</v>
      </c>
      <c r="B85" s="20" t="s">
        <v>284</v>
      </c>
      <c r="C85" s="121"/>
      <c r="D85" s="113"/>
      <c r="E85" s="113" t="s">
        <v>1342</v>
      </c>
      <c r="F85" s="116">
        <v>5</v>
      </c>
      <c r="G85" s="20">
        <f t="shared" si="13"/>
        <v>5</v>
      </c>
      <c r="H85" s="20">
        <f t="shared" si="12"/>
        <v>0</v>
      </c>
      <c r="I85" s="114"/>
      <c r="J85" s="114"/>
      <c r="K85" s="13" t="s">
        <v>1343</v>
      </c>
    </row>
    <row r="86" spans="1:11" ht="25.5" x14ac:dyDescent="0.25">
      <c r="A86" s="146"/>
      <c r="B86" s="19" t="s">
        <v>1753</v>
      </c>
      <c r="C86" s="121"/>
      <c r="D86" s="113"/>
      <c r="E86" s="113" t="s">
        <v>1344</v>
      </c>
      <c r="F86" s="116">
        <v>3</v>
      </c>
      <c r="G86" s="20">
        <f t="shared" si="13"/>
        <v>3</v>
      </c>
      <c r="H86" s="20">
        <f t="shared" si="12"/>
        <v>0</v>
      </c>
      <c r="I86" s="114"/>
      <c r="J86" s="114"/>
      <c r="K86" s="13" t="s">
        <v>1345</v>
      </c>
    </row>
    <row r="87" spans="1:11" ht="25.5" x14ac:dyDescent="0.25">
      <c r="A87" s="146"/>
      <c r="B87" s="20" t="s">
        <v>285</v>
      </c>
      <c r="C87" s="121"/>
      <c r="D87" s="113"/>
      <c r="E87" s="113" t="s">
        <v>1346</v>
      </c>
      <c r="F87" s="116">
        <v>3</v>
      </c>
      <c r="G87" s="20">
        <f t="shared" si="13"/>
        <v>3</v>
      </c>
      <c r="H87" s="20">
        <f t="shared" si="12"/>
        <v>0</v>
      </c>
      <c r="I87" s="114"/>
      <c r="J87" s="114"/>
      <c r="K87" s="13" t="s">
        <v>1347</v>
      </c>
    </row>
    <row r="88" spans="1:11" x14ac:dyDescent="0.25">
      <c r="A88" s="146"/>
      <c r="B88" s="20" t="s">
        <v>286</v>
      </c>
      <c r="C88" s="121"/>
      <c r="D88" s="113"/>
      <c r="E88" s="113" t="s">
        <v>1348</v>
      </c>
      <c r="F88" s="116">
        <v>3</v>
      </c>
      <c r="G88" s="20">
        <f t="shared" si="13"/>
        <v>3</v>
      </c>
      <c r="H88" s="20">
        <f t="shared" si="12"/>
        <v>0</v>
      </c>
      <c r="I88" s="114"/>
      <c r="J88" s="114"/>
      <c r="K88" s="13" t="s">
        <v>1349</v>
      </c>
    </row>
    <row r="89" spans="1:11" x14ac:dyDescent="0.25">
      <c r="A89" s="146"/>
      <c r="B89" s="20" t="s">
        <v>287</v>
      </c>
      <c r="C89" s="121"/>
      <c r="D89" s="113"/>
      <c r="E89" s="113" t="s">
        <v>1350</v>
      </c>
      <c r="F89" s="116">
        <v>3</v>
      </c>
      <c r="G89" s="20">
        <f t="shared" si="13"/>
        <v>3</v>
      </c>
      <c r="H89" s="20">
        <f t="shared" si="12"/>
        <v>0</v>
      </c>
      <c r="I89" s="114"/>
      <c r="J89" s="114"/>
      <c r="K89" s="13" t="s">
        <v>1351</v>
      </c>
    </row>
    <row r="90" spans="1:11" x14ac:dyDescent="0.25">
      <c r="A90" s="146" t="s">
        <v>930</v>
      </c>
      <c r="B90" s="20" t="s">
        <v>288</v>
      </c>
      <c r="C90" s="121"/>
      <c r="D90" s="113"/>
      <c r="E90" s="113" t="s">
        <v>1352</v>
      </c>
      <c r="F90" s="116">
        <v>5</v>
      </c>
      <c r="G90" s="20">
        <f t="shared" si="13"/>
        <v>5</v>
      </c>
      <c r="H90" s="20">
        <f t="shared" si="12"/>
        <v>0</v>
      </c>
      <c r="I90" s="114"/>
      <c r="J90" s="114"/>
      <c r="K90" s="13" t="s">
        <v>1353</v>
      </c>
    </row>
    <row r="91" spans="1:11" x14ac:dyDescent="0.25">
      <c r="A91" s="146"/>
      <c r="B91" s="19" t="s">
        <v>1754</v>
      </c>
      <c r="C91" s="121"/>
      <c r="D91" s="113"/>
      <c r="E91" s="113" t="s">
        <v>1354</v>
      </c>
      <c r="F91" s="116">
        <v>3</v>
      </c>
      <c r="G91" s="20">
        <f t="shared" si="13"/>
        <v>3</v>
      </c>
      <c r="H91" s="20">
        <f t="shared" si="12"/>
        <v>0</v>
      </c>
      <c r="I91" s="114"/>
      <c r="J91" s="114"/>
      <c r="K91" s="13" t="s">
        <v>1355</v>
      </c>
    </row>
    <row r="92" spans="1:11" x14ac:dyDescent="0.25">
      <c r="A92" s="146"/>
      <c r="B92" s="20" t="s">
        <v>289</v>
      </c>
      <c r="C92" s="121"/>
      <c r="D92" s="113"/>
      <c r="E92" s="113" t="s">
        <v>1356</v>
      </c>
      <c r="F92" s="116">
        <v>3</v>
      </c>
      <c r="G92" s="20">
        <f t="shared" si="13"/>
        <v>3</v>
      </c>
      <c r="H92" s="20">
        <f t="shared" si="12"/>
        <v>0</v>
      </c>
      <c r="I92" s="114"/>
      <c r="J92" s="114"/>
      <c r="K92" s="13" t="s">
        <v>1357</v>
      </c>
    </row>
    <row r="93" spans="1:11" x14ac:dyDescent="0.25">
      <c r="A93" s="146" t="s">
        <v>931</v>
      </c>
      <c r="B93" s="19" t="s">
        <v>1755</v>
      </c>
      <c r="C93" s="121"/>
      <c r="D93" s="113"/>
      <c r="E93" s="113" t="s">
        <v>1358</v>
      </c>
      <c r="F93" s="116">
        <v>3</v>
      </c>
      <c r="G93" s="20">
        <f t="shared" si="13"/>
        <v>3</v>
      </c>
      <c r="H93" s="20">
        <f t="shared" si="12"/>
        <v>0</v>
      </c>
      <c r="I93" s="114"/>
      <c r="J93" s="114"/>
      <c r="K93" s="13" t="s">
        <v>1359</v>
      </c>
    </row>
    <row r="94" spans="1:11" ht="25.5" x14ac:dyDescent="0.25">
      <c r="A94" s="146" t="s">
        <v>932</v>
      </c>
      <c r="B94" s="20" t="s">
        <v>290</v>
      </c>
      <c r="C94" s="121"/>
      <c r="D94" s="113"/>
      <c r="E94" s="113" t="s">
        <v>1360</v>
      </c>
      <c r="F94" s="116">
        <v>5</v>
      </c>
      <c r="G94" s="20">
        <f t="shared" si="13"/>
        <v>5</v>
      </c>
      <c r="H94" s="20">
        <f t="shared" si="12"/>
        <v>0</v>
      </c>
      <c r="I94" s="114"/>
      <c r="J94" s="114"/>
      <c r="K94" s="13" t="s">
        <v>1361</v>
      </c>
    </row>
    <row r="95" spans="1:11" ht="25.5" x14ac:dyDescent="0.25">
      <c r="A95" s="146" t="s">
        <v>933</v>
      </c>
      <c r="B95" s="20" t="s">
        <v>291</v>
      </c>
      <c r="C95" s="121"/>
      <c r="D95" s="113"/>
      <c r="E95" s="113" t="s">
        <v>1362</v>
      </c>
      <c r="F95" s="116">
        <v>4</v>
      </c>
      <c r="G95" s="20">
        <f t="shared" si="13"/>
        <v>4</v>
      </c>
      <c r="H95" s="20">
        <f t="shared" si="12"/>
        <v>0</v>
      </c>
      <c r="I95" s="114"/>
      <c r="J95" s="114"/>
      <c r="K95" s="13" t="s">
        <v>1363</v>
      </c>
    </row>
    <row r="96" spans="1:11" x14ac:dyDescent="0.25">
      <c r="A96" s="144"/>
      <c r="B96" s="19" t="s">
        <v>292</v>
      </c>
      <c r="C96" s="121"/>
      <c r="D96" s="113"/>
      <c r="E96" s="113" t="s">
        <v>1364</v>
      </c>
      <c r="F96" s="116">
        <v>5</v>
      </c>
      <c r="G96" s="20">
        <f t="shared" si="13"/>
        <v>5</v>
      </c>
      <c r="H96" s="20">
        <f t="shared" si="12"/>
        <v>0</v>
      </c>
      <c r="I96" s="114"/>
      <c r="J96" s="114"/>
      <c r="K96" s="13" t="s">
        <v>1365</v>
      </c>
    </row>
    <row r="97" spans="1:11" x14ac:dyDescent="0.25">
      <c r="A97" s="144" t="s">
        <v>934</v>
      </c>
      <c r="B97" s="19" t="s">
        <v>293</v>
      </c>
      <c r="C97" s="121"/>
      <c r="D97" s="113"/>
      <c r="E97" s="113" t="s">
        <v>1366</v>
      </c>
      <c r="F97" s="116">
        <v>3</v>
      </c>
      <c r="G97" s="20">
        <f t="shared" si="13"/>
        <v>3</v>
      </c>
      <c r="H97" s="20">
        <f t="shared" si="12"/>
        <v>0</v>
      </c>
      <c r="I97" s="114"/>
      <c r="J97" s="114"/>
      <c r="K97" s="13" t="s">
        <v>1367</v>
      </c>
    </row>
    <row r="98" spans="1:11" ht="25.5" x14ac:dyDescent="0.25">
      <c r="A98" s="144" t="s">
        <v>935</v>
      </c>
      <c r="B98" s="19" t="s">
        <v>294</v>
      </c>
      <c r="C98" s="121"/>
      <c r="D98" s="113"/>
      <c r="E98" s="113" t="s">
        <v>1368</v>
      </c>
      <c r="F98" s="116">
        <v>5</v>
      </c>
      <c r="G98" s="20">
        <f t="shared" si="13"/>
        <v>5</v>
      </c>
      <c r="H98" s="20">
        <f t="shared" si="12"/>
        <v>0</v>
      </c>
      <c r="I98" s="114"/>
      <c r="J98" s="114"/>
      <c r="K98" s="13" t="s">
        <v>1369</v>
      </c>
    </row>
    <row r="99" spans="1:11" x14ac:dyDescent="0.25">
      <c r="A99" s="144" t="s">
        <v>1370</v>
      </c>
      <c r="B99" s="19" t="s">
        <v>1050</v>
      </c>
      <c r="C99" s="121"/>
      <c r="D99" s="113"/>
      <c r="E99" s="113" t="s">
        <v>1371</v>
      </c>
      <c r="F99" s="116">
        <v>4</v>
      </c>
      <c r="G99" s="20">
        <f t="shared" si="13"/>
        <v>4</v>
      </c>
      <c r="H99" s="20">
        <f t="shared" si="12"/>
        <v>0</v>
      </c>
      <c r="I99" s="114"/>
      <c r="J99" s="114"/>
      <c r="K99" s="13" t="s">
        <v>1372</v>
      </c>
    </row>
    <row r="100" spans="1:11" x14ac:dyDescent="0.25">
      <c r="A100" s="144" t="s">
        <v>936</v>
      </c>
      <c r="B100" s="19" t="s">
        <v>295</v>
      </c>
      <c r="C100" s="121"/>
      <c r="D100" s="113"/>
      <c r="E100" s="113" t="s">
        <v>1373</v>
      </c>
      <c r="F100" s="116">
        <v>4</v>
      </c>
      <c r="G100" s="20">
        <f t="shared" si="13"/>
        <v>4</v>
      </c>
      <c r="H100" s="20">
        <f t="shared" si="12"/>
        <v>0</v>
      </c>
      <c r="I100" s="114"/>
      <c r="J100" s="114"/>
      <c r="K100" s="13" t="s">
        <v>1374</v>
      </c>
    </row>
    <row r="101" spans="1:11" x14ac:dyDescent="0.25">
      <c r="A101" s="144"/>
      <c r="B101" s="19" t="s">
        <v>296</v>
      </c>
      <c r="C101" s="121"/>
      <c r="D101" s="113"/>
      <c r="E101" s="113" t="s">
        <v>1375</v>
      </c>
      <c r="F101" s="116">
        <v>4</v>
      </c>
      <c r="G101" s="20">
        <f t="shared" si="13"/>
        <v>4</v>
      </c>
      <c r="H101" s="20">
        <f t="shared" si="12"/>
        <v>0</v>
      </c>
      <c r="I101" s="114"/>
      <c r="J101" s="114"/>
      <c r="K101" s="13" t="s">
        <v>1376</v>
      </c>
    </row>
    <row r="102" spans="1:11" ht="25.5" x14ac:dyDescent="0.25">
      <c r="A102" s="144" t="s">
        <v>962</v>
      </c>
      <c r="B102" s="19" t="s">
        <v>297</v>
      </c>
      <c r="C102" s="121"/>
      <c r="D102" s="113"/>
      <c r="E102" s="113" t="s">
        <v>1377</v>
      </c>
      <c r="F102" s="116">
        <v>3</v>
      </c>
      <c r="G102" s="20">
        <f t="shared" si="13"/>
        <v>3</v>
      </c>
      <c r="H102" s="20">
        <f t="shared" si="12"/>
        <v>0</v>
      </c>
      <c r="I102" s="114"/>
      <c r="J102" s="114"/>
      <c r="K102" s="13" t="s">
        <v>1378</v>
      </c>
    </row>
    <row r="103" spans="1:11" x14ac:dyDescent="0.25">
      <c r="A103" s="144"/>
      <c r="B103" s="19" t="s">
        <v>1756</v>
      </c>
      <c r="C103" s="121"/>
      <c r="D103" s="113"/>
      <c r="E103" s="113" t="s">
        <v>1379</v>
      </c>
      <c r="F103" s="116">
        <v>3</v>
      </c>
      <c r="G103" s="20">
        <f t="shared" si="13"/>
        <v>3</v>
      </c>
      <c r="H103" s="20">
        <f t="shared" si="12"/>
        <v>0</v>
      </c>
      <c r="I103" s="114"/>
      <c r="J103" s="114"/>
      <c r="K103" s="13" t="s">
        <v>1380</v>
      </c>
    </row>
    <row r="104" spans="1:11" x14ac:dyDescent="0.25">
      <c r="A104" s="144"/>
      <c r="B104" s="19" t="s">
        <v>298</v>
      </c>
      <c r="C104" s="121"/>
      <c r="D104" s="113"/>
      <c r="E104" s="113" t="s">
        <v>1381</v>
      </c>
      <c r="F104" s="116">
        <v>3</v>
      </c>
      <c r="G104" s="20">
        <f t="shared" si="13"/>
        <v>3</v>
      </c>
      <c r="H104" s="20">
        <f t="shared" si="12"/>
        <v>0</v>
      </c>
      <c r="I104" s="114"/>
      <c r="J104" s="114"/>
      <c r="K104" s="13" t="s">
        <v>1382</v>
      </c>
    </row>
    <row r="105" spans="1:11" x14ac:dyDescent="0.25">
      <c r="A105" s="144"/>
      <c r="B105" s="19" t="s">
        <v>299</v>
      </c>
      <c r="C105" s="121"/>
      <c r="D105" s="113"/>
      <c r="E105" s="113" t="s">
        <v>1383</v>
      </c>
      <c r="F105" s="116">
        <v>5</v>
      </c>
      <c r="G105" s="20">
        <f t="shared" si="13"/>
        <v>5</v>
      </c>
      <c r="H105" s="20">
        <f t="shared" si="12"/>
        <v>0</v>
      </c>
      <c r="I105" s="114"/>
      <c r="J105" s="114"/>
      <c r="K105" s="13" t="s">
        <v>1384</v>
      </c>
    </row>
    <row r="106" spans="1:11" x14ac:dyDescent="0.25">
      <c r="A106" s="144"/>
      <c r="B106" s="19" t="s">
        <v>300</v>
      </c>
      <c r="C106" s="121"/>
      <c r="D106" s="113"/>
      <c r="E106" s="113" t="s">
        <v>1385</v>
      </c>
      <c r="F106" s="116">
        <v>5</v>
      </c>
      <c r="G106" s="20">
        <f t="shared" si="13"/>
        <v>5</v>
      </c>
      <c r="H106" s="20">
        <f t="shared" si="12"/>
        <v>0</v>
      </c>
      <c r="I106" s="114"/>
      <c r="J106" s="114"/>
      <c r="K106" s="13" t="s">
        <v>1386</v>
      </c>
    </row>
    <row r="107" spans="1:11" x14ac:dyDescent="0.25">
      <c r="A107" s="144" t="s">
        <v>963</v>
      </c>
      <c r="B107" s="19" t="s">
        <v>301</v>
      </c>
      <c r="C107" s="121"/>
      <c r="D107" s="113"/>
      <c r="E107" s="113" t="s">
        <v>1387</v>
      </c>
      <c r="F107" s="116">
        <v>5</v>
      </c>
      <c r="G107" s="20">
        <f t="shared" si="13"/>
        <v>5</v>
      </c>
      <c r="H107" s="20">
        <f t="shared" si="12"/>
        <v>0</v>
      </c>
      <c r="I107" s="114"/>
      <c r="J107" s="114"/>
      <c r="K107" s="13" t="s">
        <v>1388</v>
      </c>
    </row>
    <row r="108" spans="1:11" x14ac:dyDescent="0.25">
      <c r="A108" s="144"/>
      <c r="B108" s="19" t="s">
        <v>499</v>
      </c>
      <c r="C108" s="121"/>
      <c r="D108" s="113"/>
      <c r="E108" s="113" t="s">
        <v>1389</v>
      </c>
      <c r="F108" s="116">
        <v>5</v>
      </c>
      <c r="G108" s="20">
        <f t="shared" si="13"/>
        <v>5</v>
      </c>
      <c r="H108" s="20">
        <f t="shared" si="12"/>
        <v>0</v>
      </c>
      <c r="I108" s="114"/>
      <c r="J108" s="114"/>
      <c r="K108" s="13" t="s">
        <v>1390</v>
      </c>
    </row>
    <row r="109" spans="1:11" x14ac:dyDescent="0.25">
      <c r="A109" s="144" t="s">
        <v>961</v>
      </c>
      <c r="B109" s="19" t="s">
        <v>302</v>
      </c>
      <c r="C109" s="121"/>
      <c r="D109" s="113"/>
      <c r="E109" s="113" t="s">
        <v>1391</v>
      </c>
      <c r="F109" s="116">
        <v>3</v>
      </c>
      <c r="G109" s="20">
        <f t="shared" si="13"/>
        <v>3</v>
      </c>
      <c r="H109" s="20">
        <f t="shared" si="12"/>
        <v>0</v>
      </c>
      <c r="I109" s="114"/>
      <c r="J109" s="114"/>
      <c r="K109" s="13" t="s">
        <v>1392</v>
      </c>
    </row>
    <row r="110" spans="1:11" x14ac:dyDescent="0.25">
      <c r="F110" s="79">
        <f>SUM(F10:F109)</f>
        <v>358</v>
      </c>
      <c r="G110" s="79">
        <f>SUM(G10:G109)</f>
        <v>358</v>
      </c>
      <c r="H110" s="80">
        <f>SUM(H10:H109)</f>
        <v>0</v>
      </c>
    </row>
  </sheetData>
  <sheetProtection formatCells="0" selectLockedCells="1"/>
  <mergeCells count="1">
    <mergeCell ref="D6:J6"/>
  </mergeCells>
  <phoneticPr fontId="0" type="noConversion"/>
  <pageMargins left="3.937007874015748E-2" right="3.937007874015748E-2" top="0.94488188976377963" bottom="0.74803149606299213" header="0.19685039370078741" footer="0.31496062992125984"/>
  <pageSetup paperSize="9" scale="79" fitToHeight="0" orientation="portrait" r:id="rId1"/>
  <headerFooter>
    <oddHeader>&amp;L&amp;G&amp;C&amp;A&amp;R</oddHeader>
    <oddFooter>&amp;L&amp;F&amp;C&amp;RPage &amp;P / &amp;N</oddFooter>
  </headerFooter>
  <drawing r:id="rId2"/>
  <legacyDrawing r:id="rId3"/>
  <legacyDrawingHF r:id="rId4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pageSetUpPr fitToPage="1"/>
  </sheetPr>
  <dimension ref="A1:K108"/>
  <sheetViews>
    <sheetView showGridLines="0" tabSelected="1" zoomScale="130" zoomScaleNormal="130" workbookViewId="0">
      <pane ySplit="8" topLeftCell="A9" activePane="bottomLeft" state="frozen"/>
      <selection activeCell="B39" sqref="B39:J39"/>
      <selection pane="bottomLeft" activeCell="B6" sqref="B6"/>
    </sheetView>
  </sheetViews>
  <sheetFormatPr defaultColWidth="9.140625" defaultRowHeight="15" x14ac:dyDescent="0.25"/>
  <cols>
    <col min="1" max="1" width="9.140625" style="13"/>
    <col min="2" max="2" width="50.7109375" style="13" customWidth="1"/>
    <col min="3" max="5" width="10.7109375" style="14" customWidth="1"/>
    <col min="6" max="8" width="10.7109375" style="14" hidden="1" customWidth="1"/>
    <col min="9" max="9" width="45.7109375" style="15" customWidth="1"/>
    <col min="10" max="10" width="20.7109375" style="13" customWidth="1"/>
    <col min="11" max="11" width="0" style="13" hidden="1" customWidth="1"/>
    <col min="12" max="16384" width="9.140625" style="13"/>
  </cols>
  <sheetData>
    <row r="1" spans="1:11" ht="15" hidden="1" customHeight="1" x14ac:dyDescent="0.25"/>
    <row r="2" spans="1:11" ht="15" hidden="1" customHeight="1" x14ac:dyDescent="0.25">
      <c r="B2" s="16" t="s">
        <v>1393</v>
      </c>
      <c r="C2" s="16">
        <f>COUNTA(K9:K44)</f>
        <v>19</v>
      </c>
    </row>
    <row r="3" spans="1:11" ht="15" hidden="1" customHeight="1" x14ac:dyDescent="0.25">
      <c r="B3" s="16" t="s">
        <v>1394</v>
      </c>
      <c r="C3" s="17">
        <f xml:space="preserve"> COUNTA(C9:C44)</f>
        <v>0</v>
      </c>
      <c r="E3" s="16"/>
    </row>
    <row r="4" spans="1:11" ht="15" hidden="1" customHeight="1" x14ac:dyDescent="0.25">
      <c r="B4" s="16" t="s">
        <v>1395</v>
      </c>
      <c r="C4" s="17">
        <f xml:space="preserve"> COUNTA(D9:D44)</f>
        <v>0</v>
      </c>
      <c r="E4" s="16"/>
    </row>
    <row r="5" spans="1:11" ht="15" hidden="1" customHeight="1" x14ac:dyDescent="0.25">
      <c r="B5" s="16" t="s">
        <v>1396</v>
      </c>
      <c r="C5" s="17">
        <f xml:space="preserve"> COUNTA(E9:E44)</f>
        <v>19</v>
      </c>
      <c r="D5" s="18"/>
      <c r="E5" s="18">
        <f>SUM(C3:C5)</f>
        <v>19</v>
      </c>
      <c r="F5" s="18"/>
      <c r="G5" s="18"/>
      <c r="H5" s="18"/>
    </row>
    <row r="6" spans="1:11" ht="69.95" customHeight="1" x14ac:dyDescent="0.25">
      <c r="A6" s="228"/>
      <c r="B6" s="229"/>
      <c r="C6" s="229"/>
      <c r="D6" s="214" t="s">
        <v>1747</v>
      </c>
      <c r="E6" s="214"/>
      <c r="F6" s="214"/>
      <c r="G6" s="214"/>
      <c r="H6" s="214"/>
      <c r="I6" s="214"/>
      <c r="J6" s="214"/>
    </row>
    <row r="7" spans="1:11" ht="24.95" customHeight="1" x14ac:dyDescent="0.35">
      <c r="A7" s="219" t="s">
        <v>305</v>
      </c>
      <c r="B7" s="216"/>
      <c r="C7" s="217"/>
      <c r="D7" s="217"/>
      <c r="E7" s="217"/>
      <c r="F7" s="217"/>
      <c r="G7" s="217"/>
      <c r="H7" s="217"/>
      <c r="I7" s="218"/>
      <c r="J7" s="216"/>
    </row>
    <row r="8" spans="1:11" ht="45.95" customHeight="1" x14ac:dyDescent="0.25">
      <c r="A8" s="74" t="s">
        <v>1397</v>
      </c>
      <c r="B8" s="189" t="s">
        <v>1738</v>
      </c>
      <c r="C8" s="102" t="s">
        <v>1398</v>
      </c>
      <c r="D8" s="102" t="s">
        <v>1399</v>
      </c>
      <c r="E8" s="102" t="s">
        <v>1400</v>
      </c>
      <c r="F8" s="100" t="s">
        <v>1401</v>
      </c>
      <c r="G8" s="100" t="s">
        <v>1402</v>
      </c>
      <c r="H8" s="100" t="s">
        <v>1403</v>
      </c>
      <c r="I8" s="185" t="s">
        <v>1404</v>
      </c>
      <c r="J8" s="111" t="s">
        <v>1405</v>
      </c>
    </row>
    <row r="9" spans="1:11" x14ac:dyDescent="0.25">
      <c r="A9" s="137">
        <v>741.00099999999998</v>
      </c>
      <c r="B9" s="19" t="s">
        <v>306</v>
      </c>
      <c r="C9" s="113"/>
      <c r="D9" s="113"/>
      <c r="E9" s="113" t="s">
        <v>1406</v>
      </c>
      <c r="F9" s="116">
        <v>5</v>
      </c>
      <c r="G9" s="20">
        <f>IF(E9="X",F9,0)</f>
        <v>5</v>
      </c>
      <c r="H9" s="20">
        <f t="shared" ref="H9:H27" si="0">IF(C9="Y",F9,0)</f>
        <v>0</v>
      </c>
      <c r="I9" s="114"/>
      <c r="J9" s="117"/>
      <c r="K9" s="13" t="s">
        <v>1407</v>
      </c>
    </row>
    <row r="10" spans="1:11" ht="25.5" x14ac:dyDescent="0.25">
      <c r="A10" s="137">
        <v>742.00099999999998</v>
      </c>
      <c r="B10" s="19" t="s">
        <v>1022</v>
      </c>
      <c r="C10" s="113"/>
      <c r="D10" s="113"/>
      <c r="E10" s="113" t="s">
        <v>1408</v>
      </c>
      <c r="F10" s="116">
        <v>5</v>
      </c>
      <c r="G10" s="20">
        <f t="shared" ref="G10:G27" si="1">IF(E10="X",F10,0)</f>
        <v>5</v>
      </c>
      <c r="H10" s="20">
        <f t="shared" si="0"/>
        <v>0</v>
      </c>
      <c r="I10" s="114"/>
      <c r="J10" s="117"/>
      <c r="K10" s="13" t="s">
        <v>1409</v>
      </c>
    </row>
    <row r="11" spans="1:11" ht="38.25" x14ac:dyDescent="0.25">
      <c r="A11" s="20" t="s">
        <v>959</v>
      </c>
      <c r="B11" s="19" t="s">
        <v>1023</v>
      </c>
      <c r="C11" s="113"/>
      <c r="D11" s="113"/>
      <c r="E11" s="113" t="s">
        <v>1410</v>
      </c>
      <c r="F11" s="116">
        <v>3</v>
      </c>
      <c r="G11" s="20">
        <f t="shared" si="1"/>
        <v>3</v>
      </c>
      <c r="H11" s="20">
        <f t="shared" si="0"/>
        <v>0</v>
      </c>
      <c r="I11" s="114"/>
      <c r="J11" s="117"/>
      <c r="K11" s="13" t="s">
        <v>1411</v>
      </c>
    </row>
    <row r="12" spans="1:11" x14ac:dyDescent="0.25">
      <c r="A12" s="137">
        <v>161</v>
      </c>
      <c r="B12" s="147" t="s">
        <v>500</v>
      </c>
      <c r="C12" s="113"/>
      <c r="D12" s="113"/>
      <c r="E12" s="113" t="s">
        <v>1412</v>
      </c>
      <c r="F12" s="116">
        <v>3</v>
      </c>
      <c r="G12" s="20">
        <f t="shared" si="1"/>
        <v>3</v>
      </c>
      <c r="H12" s="20">
        <f t="shared" si="0"/>
        <v>0</v>
      </c>
      <c r="I12" s="114"/>
      <c r="J12" s="117"/>
      <c r="K12" s="52" t="s">
        <v>1413</v>
      </c>
    </row>
    <row r="13" spans="1:11" ht="51" x14ac:dyDescent="0.25">
      <c r="A13" s="20" t="s">
        <v>960</v>
      </c>
      <c r="B13" s="19" t="s">
        <v>1757</v>
      </c>
      <c r="C13" s="113"/>
      <c r="D13" s="113"/>
      <c r="E13" s="113" t="s">
        <v>1414</v>
      </c>
      <c r="F13" s="116">
        <v>5</v>
      </c>
      <c r="G13" s="20">
        <f t="shared" si="1"/>
        <v>5</v>
      </c>
      <c r="H13" s="20">
        <f t="shared" si="0"/>
        <v>0</v>
      </c>
      <c r="I13" s="114"/>
      <c r="J13" s="117"/>
      <c r="K13" s="52" t="s">
        <v>1415</v>
      </c>
    </row>
    <row r="14" spans="1:11" x14ac:dyDescent="0.25">
      <c r="A14" s="137">
        <v>161</v>
      </c>
      <c r="B14" s="147" t="s">
        <v>307</v>
      </c>
      <c r="C14" s="113"/>
      <c r="D14" s="113"/>
      <c r="E14" s="113" t="s">
        <v>1416</v>
      </c>
      <c r="F14" s="116">
        <v>5</v>
      </c>
      <c r="G14" s="20">
        <f t="shared" si="1"/>
        <v>5</v>
      </c>
      <c r="H14" s="20">
        <f t="shared" si="0"/>
        <v>0</v>
      </c>
      <c r="I14" s="114"/>
      <c r="J14" s="117"/>
      <c r="K14" s="13" t="s">
        <v>1417</v>
      </c>
    </row>
    <row r="15" spans="1:11" ht="51" x14ac:dyDescent="0.25">
      <c r="A15" s="20" t="s">
        <v>1418</v>
      </c>
      <c r="B15" s="19" t="s">
        <v>1758</v>
      </c>
      <c r="C15" s="113"/>
      <c r="D15" s="113"/>
      <c r="E15" s="113" t="s">
        <v>1419</v>
      </c>
      <c r="F15" s="116">
        <v>5</v>
      </c>
      <c r="G15" s="20">
        <f t="shared" si="1"/>
        <v>5</v>
      </c>
      <c r="H15" s="20">
        <f t="shared" si="0"/>
        <v>0</v>
      </c>
      <c r="I15" s="114"/>
      <c r="J15" s="117"/>
      <c r="K15" s="13" t="s">
        <v>1420</v>
      </c>
    </row>
    <row r="16" spans="1:11" x14ac:dyDescent="0.25">
      <c r="A16" s="137">
        <v>161</v>
      </c>
      <c r="B16" s="147" t="s">
        <v>1421</v>
      </c>
      <c r="C16" s="113"/>
      <c r="D16" s="113"/>
      <c r="E16" s="113" t="s">
        <v>1422</v>
      </c>
      <c r="F16" s="116">
        <v>5</v>
      </c>
      <c r="G16" s="20">
        <f t="shared" si="1"/>
        <v>5</v>
      </c>
      <c r="H16" s="20">
        <f t="shared" si="0"/>
        <v>0</v>
      </c>
      <c r="I16" s="114"/>
      <c r="J16" s="117"/>
      <c r="K16" s="13" t="s">
        <v>1423</v>
      </c>
    </row>
    <row r="17" spans="1:11" ht="38.25" x14ac:dyDescent="0.25">
      <c r="A17" s="137">
        <v>608</v>
      </c>
      <c r="B17" s="19" t="s">
        <v>1024</v>
      </c>
      <c r="C17" s="136"/>
      <c r="D17" s="113"/>
      <c r="E17" s="113" t="s">
        <v>1424</v>
      </c>
      <c r="F17" s="116">
        <v>5</v>
      </c>
      <c r="G17" s="20">
        <f t="shared" si="1"/>
        <v>5</v>
      </c>
      <c r="H17" s="20">
        <f t="shared" si="0"/>
        <v>0</v>
      </c>
      <c r="I17" s="114"/>
      <c r="J17" s="117"/>
      <c r="K17" s="13" t="s">
        <v>1425</v>
      </c>
    </row>
    <row r="18" spans="1:11" ht="38.25" x14ac:dyDescent="0.25">
      <c r="A18" s="137">
        <v>742.00099999999998</v>
      </c>
      <c r="B18" s="19" t="s">
        <v>1759</v>
      </c>
      <c r="C18" s="113"/>
      <c r="D18" s="113"/>
      <c r="E18" s="113" t="s">
        <v>1426</v>
      </c>
      <c r="F18" s="116">
        <v>5</v>
      </c>
      <c r="G18" s="20">
        <f t="shared" si="1"/>
        <v>5</v>
      </c>
      <c r="H18" s="20">
        <f t="shared" si="0"/>
        <v>0</v>
      </c>
      <c r="I18" s="114"/>
      <c r="J18" s="117"/>
      <c r="K18" s="13" t="s">
        <v>1427</v>
      </c>
    </row>
    <row r="19" spans="1:11" ht="25.5" x14ac:dyDescent="0.25">
      <c r="A19" s="137">
        <v>161</v>
      </c>
      <c r="B19" s="19" t="s">
        <v>308</v>
      </c>
      <c r="C19" s="113"/>
      <c r="D19" s="113"/>
      <c r="E19" s="113" t="s">
        <v>1428</v>
      </c>
      <c r="F19" s="116">
        <v>5</v>
      </c>
      <c r="G19" s="20">
        <f t="shared" si="1"/>
        <v>5</v>
      </c>
      <c r="H19" s="20">
        <f t="shared" si="0"/>
        <v>0</v>
      </c>
      <c r="I19" s="114"/>
      <c r="J19" s="117"/>
      <c r="K19" s="13" t="s">
        <v>1429</v>
      </c>
    </row>
    <row r="20" spans="1:11" ht="38.25" x14ac:dyDescent="0.25">
      <c r="A20" s="137">
        <v>603.00099999999998</v>
      </c>
      <c r="B20" s="19" t="s">
        <v>1025</v>
      </c>
      <c r="C20" s="113"/>
      <c r="D20" s="113"/>
      <c r="E20" s="113" t="s">
        <v>1430</v>
      </c>
      <c r="F20" s="116">
        <v>4</v>
      </c>
      <c r="G20" s="20">
        <f t="shared" si="1"/>
        <v>4</v>
      </c>
      <c r="H20" s="20">
        <f t="shared" si="0"/>
        <v>0</v>
      </c>
      <c r="I20" s="114"/>
      <c r="J20" s="117"/>
      <c r="K20" s="13" t="s">
        <v>1431</v>
      </c>
    </row>
    <row r="21" spans="1:11" s="14" customFormat="1" ht="25.5" x14ac:dyDescent="0.25">
      <c r="A21" s="137">
        <v>161</v>
      </c>
      <c r="B21" s="19" t="s">
        <v>309</v>
      </c>
      <c r="C21" s="113"/>
      <c r="D21" s="113"/>
      <c r="E21" s="113" t="s">
        <v>1432</v>
      </c>
      <c r="F21" s="116">
        <v>5</v>
      </c>
      <c r="G21" s="20">
        <f t="shared" si="1"/>
        <v>5</v>
      </c>
      <c r="H21" s="20">
        <f t="shared" si="0"/>
        <v>0</v>
      </c>
      <c r="I21" s="114"/>
      <c r="J21" s="117"/>
      <c r="K21" s="93" t="s">
        <v>1433</v>
      </c>
    </row>
    <row r="22" spans="1:11" x14ac:dyDescent="0.25">
      <c r="A22" s="137">
        <v>611</v>
      </c>
      <c r="B22" s="19" t="s">
        <v>1026</v>
      </c>
      <c r="C22" s="113"/>
      <c r="D22" s="113"/>
      <c r="E22" s="113" t="s">
        <v>1434</v>
      </c>
      <c r="F22" s="116">
        <v>4</v>
      </c>
      <c r="G22" s="20">
        <f t="shared" si="1"/>
        <v>4</v>
      </c>
      <c r="H22" s="20">
        <f t="shared" si="0"/>
        <v>0</v>
      </c>
      <c r="I22" s="114"/>
      <c r="J22" s="117"/>
      <c r="K22" s="13" t="s">
        <v>1435</v>
      </c>
    </row>
    <row r="23" spans="1:11" ht="25.5" x14ac:dyDescent="0.25">
      <c r="A23" s="137">
        <v>303.00700000000001</v>
      </c>
      <c r="B23" s="19" t="s">
        <v>1027</v>
      </c>
      <c r="C23" s="113"/>
      <c r="D23" s="113"/>
      <c r="E23" s="113" t="s">
        <v>1436</v>
      </c>
      <c r="F23" s="116">
        <v>5</v>
      </c>
      <c r="G23" s="20">
        <f t="shared" si="1"/>
        <v>5</v>
      </c>
      <c r="H23" s="20">
        <f t="shared" si="0"/>
        <v>0</v>
      </c>
      <c r="I23" s="114"/>
      <c r="J23" s="117"/>
      <c r="K23" s="13" t="s">
        <v>1437</v>
      </c>
    </row>
    <row r="24" spans="1:11" x14ac:dyDescent="0.25">
      <c r="A24" s="137">
        <v>744.01800000000003</v>
      </c>
      <c r="B24" s="19" t="s">
        <v>1028</v>
      </c>
      <c r="C24" s="113"/>
      <c r="D24" s="113"/>
      <c r="E24" s="113" t="s">
        <v>1438</v>
      </c>
      <c r="F24" s="116">
        <v>3</v>
      </c>
      <c r="G24" s="20">
        <f t="shared" si="1"/>
        <v>3</v>
      </c>
      <c r="H24" s="20">
        <f t="shared" si="0"/>
        <v>0</v>
      </c>
      <c r="I24" s="114"/>
      <c r="J24" s="117"/>
      <c r="K24" s="13" t="s">
        <v>1439</v>
      </c>
    </row>
    <row r="25" spans="1:11" ht="25.5" x14ac:dyDescent="0.25">
      <c r="A25" s="137">
        <v>746</v>
      </c>
      <c r="B25" s="19" t="s">
        <v>310</v>
      </c>
      <c r="C25" s="113"/>
      <c r="D25" s="113"/>
      <c r="E25" s="113" t="s">
        <v>1440</v>
      </c>
      <c r="F25" s="116">
        <v>3</v>
      </c>
      <c r="G25" s="20">
        <f t="shared" si="1"/>
        <v>3</v>
      </c>
      <c r="H25" s="20">
        <f t="shared" si="0"/>
        <v>0</v>
      </c>
      <c r="I25" s="114"/>
      <c r="J25" s="117"/>
      <c r="K25" s="13" t="s">
        <v>1441</v>
      </c>
    </row>
    <row r="26" spans="1:11" ht="25.5" x14ac:dyDescent="0.25">
      <c r="A26" s="137">
        <v>607</v>
      </c>
      <c r="B26" s="148" t="s">
        <v>311</v>
      </c>
      <c r="C26" s="113"/>
      <c r="D26" s="113"/>
      <c r="E26" s="113" t="s">
        <v>1442</v>
      </c>
      <c r="F26" s="116">
        <v>3</v>
      </c>
      <c r="G26" s="20">
        <f t="shared" si="1"/>
        <v>3</v>
      </c>
      <c r="H26" s="20">
        <f t="shared" si="0"/>
        <v>0</v>
      </c>
      <c r="I26" s="114"/>
      <c r="J26" s="117"/>
      <c r="K26" s="13" t="s">
        <v>1443</v>
      </c>
    </row>
    <row r="27" spans="1:11" ht="51" x14ac:dyDescent="0.25">
      <c r="A27" s="137">
        <v>606.00099999999998</v>
      </c>
      <c r="B27" s="19" t="s">
        <v>1029</v>
      </c>
      <c r="C27" s="136"/>
      <c r="D27" s="113"/>
      <c r="E27" s="113" t="s">
        <v>1444</v>
      </c>
      <c r="F27" s="116">
        <v>5</v>
      </c>
      <c r="G27" s="20">
        <f t="shared" si="1"/>
        <v>5</v>
      </c>
      <c r="H27" s="20">
        <f t="shared" si="0"/>
        <v>0</v>
      </c>
      <c r="I27" s="114"/>
      <c r="J27" s="117"/>
      <c r="K27" s="13" t="s">
        <v>1445</v>
      </c>
    </row>
    <row r="28" spans="1:11" x14ac:dyDescent="0.25">
      <c r="F28" s="80">
        <f>SUM(F9:F27)</f>
        <v>83</v>
      </c>
      <c r="G28" s="80">
        <f>SUM(G9:G27)</f>
        <v>83</v>
      </c>
      <c r="H28" s="80">
        <f>SUM(H9:H27)</f>
        <v>0</v>
      </c>
    </row>
    <row r="101" spans="5:5" x14ac:dyDescent="0.25">
      <c r="E101" s="24"/>
    </row>
    <row r="108" spans="5:5" x14ac:dyDescent="0.25">
      <c r="E108" s="24"/>
    </row>
  </sheetData>
  <sheetProtection formatCells="0" selectLockedCells="1"/>
  <mergeCells count="1">
    <mergeCell ref="D6:J6"/>
  </mergeCells>
  <phoneticPr fontId="0" type="noConversion"/>
  <pageMargins left="3.937007874015748E-2" right="3.937007874015748E-2" top="0.94488188976377963" bottom="0.74803149606299213" header="0.19685039370078741" footer="0.31496062992125984"/>
  <pageSetup paperSize="9" scale="79" fitToHeight="0" orientation="portrait" r:id="rId1"/>
  <headerFooter>
    <oddHeader>&amp;L&amp;G&amp;C&amp;A&amp;R</oddHeader>
    <oddFooter>&amp;L&amp;F&amp;C&amp;RPage &amp;P / &amp;N</oddFooter>
  </headerFooter>
  <drawing r:id="rId2"/>
  <legacyDrawing r:id="rId3"/>
  <legacyDrawingHF r:id="rId4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pageSetUpPr fitToPage="1"/>
  </sheetPr>
  <dimension ref="A1:K35"/>
  <sheetViews>
    <sheetView showGridLines="0" topLeftCell="A6" zoomScaleNormal="100" workbookViewId="0">
      <selection activeCell="D6" sqref="D6:J6"/>
    </sheetView>
  </sheetViews>
  <sheetFormatPr defaultColWidth="9.140625" defaultRowHeight="15" x14ac:dyDescent="0.25"/>
  <cols>
    <col min="1" max="1" width="9.140625" style="13"/>
    <col min="2" max="2" width="49.7109375" style="13" bestFit="1" customWidth="1"/>
    <col min="3" max="5" width="10.7109375" style="14" customWidth="1"/>
    <col min="6" max="8" width="10.7109375" style="14" hidden="1" customWidth="1"/>
    <col min="9" max="9" width="45.7109375" style="15" customWidth="1"/>
    <col min="10" max="10" width="20.7109375" style="13" customWidth="1"/>
    <col min="11" max="11" width="9.140625" style="13" hidden="1" customWidth="1"/>
    <col min="12" max="16384" width="9.140625" style="13"/>
  </cols>
  <sheetData>
    <row r="1" spans="1:11" ht="15" hidden="1" customHeight="1" x14ac:dyDescent="0.25"/>
    <row r="2" spans="1:11" ht="15" hidden="1" customHeight="1" x14ac:dyDescent="0.25">
      <c r="B2" s="16" t="s">
        <v>1446</v>
      </c>
      <c r="C2" s="16">
        <f>COUNTA(K9:K44)</f>
        <v>26</v>
      </c>
    </row>
    <row r="3" spans="1:11" ht="15" hidden="1" customHeight="1" x14ac:dyDescent="0.25">
      <c r="B3" s="16" t="s">
        <v>1447</v>
      </c>
      <c r="C3" s="17">
        <f xml:space="preserve"> COUNTA(C9:C44)</f>
        <v>0</v>
      </c>
      <c r="E3" s="16"/>
    </row>
    <row r="4" spans="1:11" ht="15" hidden="1" customHeight="1" x14ac:dyDescent="0.25">
      <c r="B4" s="16" t="s">
        <v>1448</v>
      </c>
      <c r="C4" s="17">
        <f xml:space="preserve"> COUNTA(D9:D44)</f>
        <v>0</v>
      </c>
      <c r="E4" s="16"/>
    </row>
    <row r="5" spans="1:11" ht="15" hidden="1" customHeight="1" x14ac:dyDescent="0.25">
      <c r="B5" s="16" t="s">
        <v>1449</v>
      </c>
      <c r="C5" s="17">
        <f xml:space="preserve"> COUNTA(E9:E44)</f>
        <v>26</v>
      </c>
      <c r="D5" s="18"/>
      <c r="E5" s="18">
        <f>SUM(C3:C5)</f>
        <v>26</v>
      </c>
      <c r="F5" s="18"/>
      <c r="G5" s="18"/>
      <c r="H5" s="18"/>
    </row>
    <row r="6" spans="1:11" ht="69.95" customHeight="1" x14ac:dyDescent="0.25">
      <c r="A6" s="228"/>
      <c r="B6" s="229"/>
      <c r="C6" s="229"/>
      <c r="D6" s="214" t="s">
        <v>1747</v>
      </c>
      <c r="E6" s="214"/>
      <c r="F6" s="214"/>
      <c r="G6" s="214"/>
      <c r="H6" s="214"/>
      <c r="I6" s="214"/>
      <c r="J6" s="214"/>
    </row>
    <row r="7" spans="1:11" ht="24.95" customHeight="1" x14ac:dyDescent="0.35">
      <c r="A7" s="219" t="s">
        <v>312</v>
      </c>
      <c r="B7" s="216"/>
      <c r="C7" s="217"/>
      <c r="D7" s="217"/>
      <c r="E7" s="217"/>
      <c r="F7" s="217"/>
      <c r="G7" s="217"/>
      <c r="H7" s="217"/>
      <c r="I7" s="218"/>
      <c r="J7" s="216"/>
    </row>
    <row r="8" spans="1:11" ht="43.9" customHeight="1" x14ac:dyDescent="0.25">
      <c r="A8" s="74" t="s">
        <v>1450</v>
      </c>
      <c r="B8" s="189" t="s">
        <v>1738</v>
      </c>
      <c r="C8" s="102" t="s">
        <v>1451</v>
      </c>
      <c r="D8" s="102" t="s">
        <v>1452</v>
      </c>
      <c r="E8" s="102" t="s">
        <v>1453</v>
      </c>
      <c r="F8" s="100" t="s">
        <v>1454</v>
      </c>
      <c r="G8" s="100" t="s">
        <v>1455</v>
      </c>
      <c r="H8" s="100" t="s">
        <v>1456</v>
      </c>
      <c r="I8" s="185" t="s">
        <v>1457</v>
      </c>
      <c r="J8" s="111" t="s">
        <v>1458</v>
      </c>
    </row>
    <row r="9" spans="1:11" ht="25.5" x14ac:dyDescent="0.25">
      <c r="A9" s="137">
        <v>251</v>
      </c>
      <c r="B9" s="19" t="s">
        <v>313</v>
      </c>
      <c r="C9" s="113"/>
      <c r="D9" s="113"/>
      <c r="E9" s="113" t="s">
        <v>1459</v>
      </c>
      <c r="F9" s="75">
        <v>4</v>
      </c>
      <c r="G9" s="72">
        <f>IF(E9="X",F9,0)</f>
        <v>4</v>
      </c>
      <c r="H9" s="72">
        <f t="shared" ref="H9:H31" si="0">IF(C9="Y",F9,0)</f>
        <v>0</v>
      </c>
      <c r="I9" s="114"/>
      <c r="J9" s="114"/>
      <c r="K9" s="13" t="s">
        <v>1460</v>
      </c>
    </row>
    <row r="10" spans="1:11" x14ac:dyDescent="0.25">
      <c r="A10" s="137">
        <v>251</v>
      </c>
      <c r="B10" s="19" t="s">
        <v>314</v>
      </c>
      <c r="C10" s="113"/>
      <c r="D10" s="113"/>
      <c r="E10" s="113" t="s">
        <v>1461</v>
      </c>
      <c r="F10" s="75">
        <v>5</v>
      </c>
      <c r="G10" s="72">
        <f t="shared" ref="G10:G31" si="1">IF(E10="X",F10,0)</f>
        <v>5</v>
      </c>
      <c r="H10" s="72">
        <f t="shared" si="0"/>
        <v>0</v>
      </c>
      <c r="I10" s="114"/>
      <c r="J10" s="114"/>
      <c r="K10" s="13" t="s">
        <v>1462</v>
      </c>
    </row>
    <row r="11" spans="1:11" ht="25.5" x14ac:dyDescent="0.25">
      <c r="A11" s="137">
        <v>203</v>
      </c>
      <c r="B11" s="20" t="s">
        <v>315</v>
      </c>
      <c r="C11" s="113"/>
      <c r="D11" s="113"/>
      <c r="E11" s="113" t="s">
        <v>1463</v>
      </c>
      <c r="F11" s="75">
        <v>4</v>
      </c>
      <c r="G11" s="72">
        <f t="shared" si="1"/>
        <v>4</v>
      </c>
      <c r="H11" s="72">
        <f t="shared" si="0"/>
        <v>0</v>
      </c>
      <c r="I11" s="114"/>
      <c r="J11" s="114"/>
      <c r="K11" s="13" t="s">
        <v>1464</v>
      </c>
    </row>
    <row r="12" spans="1:11" ht="25.5" x14ac:dyDescent="0.25">
      <c r="A12" s="137">
        <v>251</v>
      </c>
      <c r="B12" s="19" t="s">
        <v>316</v>
      </c>
      <c r="C12" s="113"/>
      <c r="D12" s="113"/>
      <c r="E12" s="113" t="s">
        <v>1465</v>
      </c>
      <c r="F12" s="75">
        <v>3</v>
      </c>
      <c r="G12" s="72">
        <f t="shared" si="1"/>
        <v>3</v>
      </c>
      <c r="H12" s="72">
        <f t="shared" si="0"/>
        <v>0</v>
      </c>
      <c r="I12" s="114"/>
      <c r="J12" s="114"/>
      <c r="K12" s="52" t="s">
        <v>1466</v>
      </c>
    </row>
    <row r="13" spans="1:11" ht="25.5" x14ac:dyDescent="0.25">
      <c r="A13" s="137" t="s">
        <v>955</v>
      </c>
      <c r="B13" s="19" t="s">
        <v>317</v>
      </c>
      <c r="C13" s="113"/>
      <c r="D13" s="113"/>
      <c r="E13" s="113" t="s">
        <v>1467</v>
      </c>
      <c r="F13" s="75">
        <v>4</v>
      </c>
      <c r="G13" s="72">
        <f t="shared" si="1"/>
        <v>4</v>
      </c>
      <c r="H13" s="72">
        <f t="shared" si="0"/>
        <v>0</v>
      </c>
      <c r="I13" s="114"/>
      <c r="J13" s="114"/>
      <c r="K13" s="52" t="s">
        <v>1468</v>
      </c>
    </row>
    <row r="14" spans="1:11" ht="25.5" x14ac:dyDescent="0.25">
      <c r="A14" s="137">
        <v>332</v>
      </c>
      <c r="B14" s="19" t="s">
        <v>318</v>
      </c>
      <c r="C14" s="113"/>
      <c r="D14" s="113"/>
      <c r="E14" s="113" t="s">
        <v>1469</v>
      </c>
      <c r="F14" s="75">
        <v>3</v>
      </c>
      <c r="G14" s="72">
        <f t="shared" si="1"/>
        <v>3</v>
      </c>
      <c r="H14" s="72">
        <f t="shared" si="0"/>
        <v>0</v>
      </c>
      <c r="I14" s="114"/>
      <c r="J14" s="114"/>
      <c r="K14" s="52" t="s">
        <v>1470</v>
      </c>
    </row>
    <row r="15" spans="1:11" ht="25.5" x14ac:dyDescent="0.25">
      <c r="A15" s="137">
        <v>332</v>
      </c>
      <c r="B15" s="19" t="s">
        <v>319</v>
      </c>
      <c r="C15" s="113"/>
      <c r="D15" s="113"/>
      <c r="E15" s="113" t="s">
        <v>1471</v>
      </c>
      <c r="F15" s="75">
        <v>3</v>
      </c>
      <c r="G15" s="72">
        <f t="shared" si="1"/>
        <v>3</v>
      </c>
      <c r="H15" s="72">
        <f t="shared" si="0"/>
        <v>0</v>
      </c>
      <c r="I15" s="114"/>
      <c r="J15" s="114"/>
      <c r="K15" s="52" t="s">
        <v>1472</v>
      </c>
    </row>
    <row r="16" spans="1:11" ht="25.5" x14ac:dyDescent="0.25">
      <c r="A16" s="20" t="s">
        <v>957</v>
      </c>
      <c r="B16" s="19" t="s">
        <v>1007</v>
      </c>
      <c r="C16" s="113"/>
      <c r="D16" s="113"/>
      <c r="E16" s="113" t="s">
        <v>1473</v>
      </c>
      <c r="F16" s="75">
        <v>5</v>
      </c>
      <c r="G16" s="72">
        <f t="shared" si="1"/>
        <v>5</v>
      </c>
      <c r="H16" s="72">
        <f t="shared" si="0"/>
        <v>0</v>
      </c>
      <c r="I16" s="114"/>
      <c r="J16" s="114"/>
      <c r="K16" s="52" t="s">
        <v>1474</v>
      </c>
    </row>
    <row r="17" spans="1:11" ht="38.25" x14ac:dyDescent="0.25">
      <c r="A17" s="20" t="s">
        <v>956</v>
      </c>
      <c r="B17" s="19" t="s">
        <v>1008</v>
      </c>
      <c r="C17" s="113"/>
      <c r="D17" s="113"/>
      <c r="E17" s="113" t="s">
        <v>1475</v>
      </c>
      <c r="F17" s="75">
        <v>4</v>
      </c>
      <c r="G17" s="72">
        <f t="shared" si="1"/>
        <v>4</v>
      </c>
      <c r="H17" s="72">
        <f t="shared" si="0"/>
        <v>0</v>
      </c>
      <c r="I17" s="114"/>
      <c r="J17" s="114"/>
      <c r="K17" s="52" t="s">
        <v>1476</v>
      </c>
    </row>
    <row r="18" spans="1:11" s="14" customFormat="1" ht="25.5" x14ac:dyDescent="0.25">
      <c r="A18" s="137">
        <v>701.00099999999998</v>
      </c>
      <c r="B18" s="19" t="s">
        <v>1009</v>
      </c>
      <c r="C18" s="113"/>
      <c r="D18" s="113"/>
      <c r="E18" s="113" t="s">
        <v>1477</v>
      </c>
      <c r="F18" s="75">
        <v>4</v>
      </c>
      <c r="G18" s="72">
        <f t="shared" si="1"/>
        <v>4</v>
      </c>
      <c r="H18" s="72">
        <f t="shared" si="0"/>
        <v>0</v>
      </c>
      <c r="I18" s="114"/>
      <c r="J18" s="114"/>
      <c r="K18" s="93" t="s">
        <v>1478</v>
      </c>
    </row>
    <row r="19" spans="1:11" ht="25.5" x14ac:dyDescent="0.25">
      <c r="A19" s="137">
        <v>721</v>
      </c>
      <c r="B19" s="19" t="s">
        <v>1010</v>
      </c>
      <c r="C19" s="113"/>
      <c r="D19" s="113"/>
      <c r="E19" s="113" t="s">
        <v>1479</v>
      </c>
      <c r="F19" s="75">
        <v>4</v>
      </c>
      <c r="G19" s="72">
        <f t="shared" si="1"/>
        <v>4</v>
      </c>
      <c r="H19" s="72">
        <f t="shared" si="0"/>
        <v>0</v>
      </c>
      <c r="I19" s="114"/>
      <c r="J19" s="114"/>
      <c r="K19" s="52" t="s">
        <v>1480</v>
      </c>
    </row>
    <row r="20" spans="1:11" ht="25.5" x14ac:dyDescent="0.25">
      <c r="A20" s="137">
        <v>715.00900000000001</v>
      </c>
      <c r="B20" s="19" t="s">
        <v>1011</v>
      </c>
      <c r="C20" s="113"/>
      <c r="D20" s="113"/>
      <c r="E20" s="113" t="s">
        <v>1481</v>
      </c>
      <c r="F20" s="75">
        <v>5</v>
      </c>
      <c r="G20" s="72">
        <f t="shared" si="1"/>
        <v>5</v>
      </c>
      <c r="H20" s="72">
        <f t="shared" si="0"/>
        <v>0</v>
      </c>
      <c r="I20" s="114"/>
      <c r="J20" s="114"/>
      <c r="K20" s="52" t="s">
        <v>1482</v>
      </c>
    </row>
    <row r="21" spans="1:11" ht="25.5" x14ac:dyDescent="0.25">
      <c r="A21" s="137">
        <v>702.02099999999996</v>
      </c>
      <c r="B21" s="19" t="s">
        <v>1012</v>
      </c>
      <c r="C21" s="113"/>
      <c r="D21" s="113"/>
      <c r="E21" s="113" t="s">
        <v>1483</v>
      </c>
      <c r="F21" s="75">
        <v>4</v>
      </c>
      <c r="G21" s="72">
        <f t="shared" si="1"/>
        <v>4</v>
      </c>
      <c r="H21" s="72">
        <f t="shared" si="0"/>
        <v>0</v>
      </c>
      <c r="I21" s="114"/>
      <c r="J21" s="114"/>
      <c r="K21" s="52" t="s">
        <v>1484</v>
      </c>
    </row>
    <row r="22" spans="1:11" ht="25.5" x14ac:dyDescent="0.25">
      <c r="A22" s="137">
        <v>702.02599999999995</v>
      </c>
      <c r="B22" s="19" t="s">
        <v>1013</v>
      </c>
      <c r="C22" s="113"/>
      <c r="D22" s="113"/>
      <c r="E22" s="113" t="s">
        <v>1485</v>
      </c>
      <c r="F22" s="75">
        <v>4</v>
      </c>
      <c r="G22" s="72">
        <f t="shared" si="1"/>
        <v>4</v>
      </c>
      <c r="H22" s="72">
        <f t="shared" si="0"/>
        <v>0</v>
      </c>
      <c r="I22" s="114"/>
      <c r="J22" s="114"/>
      <c r="K22" s="52" t="s">
        <v>1486</v>
      </c>
    </row>
    <row r="23" spans="1:11" ht="25.5" x14ac:dyDescent="0.25">
      <c r="A23" s="137">
        <v>715.00800000000004</v>
      </c>
      <c r="B23" s="19" t="s">
        <v>1014</v>
      </c>
      <c r="C23" s="113"/>
      <c r="D23" s="113"/>
      <c r="E23" s="113" t="s">
        <v>1487</v>
      </c>
      <c r="F23" s="75">
        <v>4</v>
      </c>
      <c r="G23" s="72">
        <f t="shared" si="1"/>
        <v>4</v>
      </c>
      <c r="H23" s="72">
        <f t="shared" si="0"/>
        <v>0</v>
      </c>
      <c r="I23" s="114"/>
      <c r="J23" s="114"/>
      <c r="K23" s="52" t="s">
        <v>1488</v>
      </c>
    </row>
    <row r="24" spans="1:11" ht="25.5" x14ac:dyDescent="0.25">
      <c r="A24" s="137">
        <v>715.00300000000004</v>
      </c>
      <c r="B24" s="19" t="s">
        <v>1015</v>
      </c>
      <c r="C24" s="113"/>
      <c r="D24" s="113"/>
      <c r="E24" s="113" t="s">
        <v>1489</v>
      </c>
      <c r="F24" s="75">
        <v>4</v>
      </c>
      <c r="G24" s="72">
        <f t="shared" si="1"/>
        <v>4</v>
      </c>
      <c r="H24" s="72">
        <f t="shared" si="0"/>
        <v>0</v>
      </c>
      <c r="I24" s="114"/>
      <c r="J24" s="114"/>
      <c r="K24" s="52" t="s">
        <v>1490</v>
      </c>
    </row>
    <row r="25" spans="1:11" ht="38.25" x14ac:dyDescent="0.25">
      <c r="A25" s="137">
        <v>731</v>
      </c>
      <c r="B25" s="19" t="s">
        <v>1016</v>
      </c>
      <c r="C25" s="113"/>
      <c r="D25" s="113"/>
      <c r="E25" s="113" t="s">
        <v>1491</v>
      </c>
      <c r="F25" s="82">
        <v>3</v>
      </c>
      <c r="G25" s="72">
        <f t="shared" si="1"/>
        <v>3</v>
      </c>
      <c r="H25" s="72">
        <f t="shared" si="0"/>
        <v>0</v>
      </c>
      <c r="I25" s="114"/>
      <c r="J25" s="114"/>
      <c r="K25" s="52" t="s">
        <v>1492</v>
      </c>
    </row>
    <row r="26" spans="1:11" ht="25.5" x14ac:dyDescent="0.25">
      <c r="A26" s="137">
        <v>702.02800000000002</v>
      </c>
      <c r="B26" s="19" t="s">
        <v>320</v>
      </c>
      <c r="C26" s="113"/>
      <c r="D26" s="113"/>
      <c r="E26" s="113" t="s">
        <v>1493</v>
      </c>
      <c r="F26" s="75">
        <v>4</v>
      </c>
      <c r="G26" s="72">
        <f t="shared" si="1"/>
        <v>4</v>
      </c>
      <c r="H26" s="72">
        <f t="shared" si="0"/>
        <v>0</v>
      </c>
      <c r="I26" s="114"/>
      <c r="J26" s="114"/>
      <c r="K26" s="52" t="s">
        <v>1494</v>
      </c>
    </row>
    <row r="27" spans="1:11" ht="38.25" x14ac:dyDescent="0.25">
      <c r="A27" s="137">
        <v>164</v>
      </c>
      <c r="B27" s="19" t="s">
        <v>321</v>
      </c>
      <c r="C27" s="113"/>
      <c r="D27" s="113"/>
      <c r="E27" s="113" t="s">
        <v>1495</v>
      </c>
      <c r="F27" s="82">
        <v>4</v>
      </c>
      <c r="G27" s="72">
        <f t="shared" si="1"/>
        <v>4</v>
      </c>
      <c r="H27" s="72">
        <f t="shared" si="0"/>
        <v>0</v>
      </c>
      <c r="I27" s="114"/>
      <c r="J27" s="114"/>
      <c r="K27" s="52" t="s">
        <v>1496</v>
      </c>
    </row>
    <row r="28" spans="1:11" ht="51" x14ac:dyDescent="0.25">
      <c r="A28" s="20" t="s">
        <v>958</v>
      </c>
      <c r="B28" s="19" t="s">
        <v>1017</v>
      </c>
      <c r="C28" s="113"/>
      <c r="D28" s="113"/>
      <c r="E28" s="113" t="s">
        <v>1497</v>
      </c>
      <c r="F28" s="82">
        <v>5</v>
      </c>
      <c r="G28" s="72">
        <f t="shared" si="1"/>
        <v>5</v>
      </c>
      <c r="H28" s="72">
        <f t="shared" si="0"/>
        <v>0</v>
      </c>
      <c r="I28" s="114"/>
      <c r="J28" s="114"/>
      <c r="K28" s="52" t="s">
        <v>1498</v>
      </c>
    </row>
    <row r="29" spans="1:11" ht="38.25" x14ac:dyDescent="0.25">
      <c r="A29" s="20" t="s">
        <v>1499</v>
      </c>
      <c r="B29" s="19" t="s">
        <v>1005</v>
      </c>
      <c r="C29" s="113"/>
      <c r="D29" s="113"/>
      <c r="E29" s="113" t="s">
        <v>1500</v>
      </c>
      <c r="F29" s="75">
        <v>4</v>
      </c>
      <c r="G29" s="72">
        <f t="shared" si="1"/>
        <v>4</v>
      </c>
      <c r="H29" s="72">
        <f t="shared" si="0"/>
        <v>0</v>
      </c>
      <c r="I29" s="114"/>
      <c r="J29" s="114"/>
      <c r="K29" s="52" t="s">
        <v>1501</v>
      </c>
    </row>
    <row r="30" spans="1:11" ht="38.25" x14ac:dyDescent="0.25">
      <c r="A30" s="137">
        <v>751.00900000000001</v>
      </c>
      <c r="B30" s="19" t="s">
        <v>1006</v>
      </c>
      <c r="C30" s="113"/>
      <c r="D30" s="113"/>
      <c r="E30" s="113" t="s">
        <v>1502</v>
      </c>
      <c r="F30" s="75">
        <v>5</v>
      </c>
      <c r="G30" s="72">
        <f t="shared" si="1"/>
        <v>5</v>
      </c>
      <c r="H30" s="72">
        <f t="shared" si="0"/>
        <v>0</v>
      </c>
      <c r="I30" s="114"/>
      <c r="J30" s="114"/>
      <c r="K30" s="52" t="s">
        <v>1503</v>
      </c>
    </row>
    <row r="31" spans="1:11" ht="38.25" x14ac:dyDescent="0.25">
      <c r="A31" s="137">
        <v>751</v>
      </c>
      <c r="B31" s="19" t="s">
        <v>1018</v>
      </c>
      <c r="C31" s="113"/>
      <c r="D31" s="113"/>
      <c r="E31" s="113" t="s">
        <v>1504</v>
      </c>
      <c r="F31" s="75">
        <v>5</v>
      </c>
      <c r="G31" s="72">
        <f t="shared" si="1"/>
        <v>5</v>
      </c>
      <c r="H31" s="72">
        <f t="shared" si="0"/>
        <v>0</v>
      </c>
      <c r="I31" s="114"/>
      <c r="J31" s="114"/>
      <c r="K31" s="52" t="s">
        <v>1505</v>
      </c>
    </row>
    <row r="32" spans="1:11" ht="51" x14ac:dyDescent="0.25">
      <c r="A32" s="137">
        <v>751</v>
      </c>
      <c r="B32" s="19" t="s">
        <v>1019</v>
      </c>
      <c r="C32" s="113"/>
      <c r="D32" s="113"/>
      <c r="E32" s="113" t="s">
        <v>1506</v>
      </c>
      <c r="F32" s="75">
        <v>5</v>
      </c>
      <c r="G32" s="72">
        <f>IF(E32="X",F32,0)</f>
        <v>5</v>
      </c>
      <c r="H32" s="72">
        <f>IF(C32="Y",F32,0)</f>
        <v>0</v>
      </c>
      <c r="I32" s="114"/>
      <c r="J32" s="114"/>
      <c r="K32" s="52" t="s">
        <v>1507</v>
      </c>
    </row>
    <row r="33" spans="1:11" ht="63.75" x14ac:dyDescent="0.25">
      <c r="A33" s="137">
        <v>752</v>
      </c>
      <c r="B33" s="19" t="s">
        <v>1020</v>
      </c>
      <c r="C33" s="113"/>
      <c r="D33" s="113"/>
      <c r="E33" s="113" t="s">
        <v>1508</v>
      </c>
      <c r="F33" s="75">
        <v>5</v>
      </c>
      <c r="G33" s="72">
        <f>IF(E33="X",F33,0)</f>
        <v>5</v>
      </c>
      <c r="H33" s="72">
        <f>IF(C33="Y",F33,0)</f>
        <v>0</v>
      </c>
      <c r="I33" s="114"/>
      <c r="J33" s="114"/>
      <c r="K33" s="52" t="s">
        <v>1509</v>
      </c>
    </row>
    <row r="34" spans="1:11" ht="38.25" x14ac:dyDescent="0.25">
      <c r="A34" s="137">
        <v>751.00800000000004</v>
      </c>
      <c r="B34" s="19" t="s">
        <v>1021</v>
      </c>
      <c r="C34" s="113"/>
      <c r="D34" s="113"/>
      <c r="E34" s="113" t="s">
        <v>1510</v>
      </c>
      <c r="F34" s="75">
        <v>5</v>
      </c>
      <c r="G34" s="72">
        <f>IF(E34="X",F34,0)</f>
        <v>5</v>
      </c>
      <c r="H34" s="72">
        <f>IF(C34="Y",F34,0)</f>
        <v>0</v>
      </c>
      <c r="I34" s="114"/>
      <c r="J34" s="114"/>
      <c r="K34" s="52" t="s">
        <v>1511</v>
      </c>
    </row>
    <row r="35" spans="1:11" x14ac:dyDescent="0.25">
      <c r="E35" s="24"/>
      <c r="F35" s="80">
        <f>SUM(F9:F34)</f>
        <v>109</v>
      </c>
      <c r="G35" s="80">
        <f>SUM(G9:G34)</f>
        <v>109</v>
      </c>
      <c r="H35" s="80">
        <f>SUM(H9:H34)</f>
        <v>0</v>
      </c>
    </row>
  </sheetData>
  <sheetProtection formatCells="0" selectLockedCells="1"/>
  <mergeCells count="1">
    <mergeCell ref="D6:J6"/>
  </mergeCells>
  <phoneticPr fontId="0" type="noConversion"/>
  <pageMargins left="3.937007874015748E-2" right="3.937007874015748E-2" top="0.94488188976377963" bottom="0.74803149606299213" header="0.19685039370078741" footer="0.31496062992125984"/>
  <pageSetup paperSize="9" scale="79" fitToHeight="0" orientation="portrait" r:id="rId1"/>
  <headerFooter>
    <oddHeader>&amp;L&amp;G&amp;C&amp;A&amp;R</oddHeader>
    <oddFooter>&amp;L&amp;F&amp;C&amp;RPage &amp;P / &amp;N</oddFooter>
  </headerFooter>
  <drawing r:id="rId2"/>
  <legacyDrawing r:id="rId3"/>
  <legacyDrawingHF r:id="rId4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>
    <pageSetUpPr fitToPage="1"/>
  </sheetPr>
  <dimension ref="A1:K50"/>
  <sheetViews>
    <sheetView showGridLines="0" zoomScaleNormal="100" workbookViewId="0">
      <pane ySplit="8" topLeftCell="A39" activePane="bottomLeft" state="frozen"/>
      <selection activeCell="B39" sqref="B39:J39"/>
      <selection pane="bottomLeft" activeCell="D6" sqref="D6:J6"/>
    </sheetView>
  </sheetViews>
  <sheetFormatPr defaultColWidth="9.140625" defaultRowHeight="15" x14ac:dyDescent="0.25"/>
  <cols>
    <col min="1" max="1" width="9.140625" style="13"/>
    <col min="2" max="2" width="50.7109375" style="13" customWidth="1"/>
    <col min="3" max="5" width="10.7109375" style="14" customWidth="1"/>
    <col min="6" max="8" width="10.7109375" style="14" hidden="1" customWidth="1"/>
    <col min="9" max="9" width="45.7109375" style="15" customWidth="1"/>
    <col min="10" max="10" width="20.7109375" style="13" customWidth="1"/>
    <col min="11" max="11" width="0" style="13" hidden="1" customWidth="1"/>
    <col min="12" max="16384" width="9.140625" style="13"/>
  </cols>
  <sheetData>
    <row r="1" spans="1:11" ht="15" hidden="1" customHeight="1" x14ac:dyDescent="0.25"/>
    <row r="2" spans="1:11" ht="15" hidden="1" customHeight="1" x14ac:dyDescent="0.25">
      <c r="B2" s="16" t="s">
        <v>1512</v>
      </c>
      <c r="C2" s="16">
        <f>COUNTA(K9:K60)</f>
        <v>36</v>
      </c>
    </row>
    <row r="3" spans="1:11" ht="15" hidden="1" customHeight="1" x14ac:dyDescent="0.25">
      <c r="B3" s="16" t="s">
        <v>1513</v>
      </c>
      <c r="C3" s="17">
        <f xml:space="preserve"> COUNTA(C9:C51)</f>
        <v>0</v>
      </c>
      <c r="E3" s="16"/>
    </row>
    <row r="4" spans="1:11" ht="15" hidden="1" customHeight="1" x14ac:dyDescent="0.25">
      <c r="B4" s="16" t="s">
        <v>1514</v>
      </c>
      <c r="C4" s="17">
        <f xml:space="preserve"> COUNTA(D9:D51)</f>
        <v>0</v>
      </c>
      <c r="E4" s="16"/>
    </row>
    <row r="5" spans="1:11" ht="15" hidden="1" customHeight="1" x14ac:dyDescent="0.25">
      <c r="B5" s="16" t="s">
        <v>1515</v>
      </c>
      <c r="C5" s="17">
        <f xml:space="preserve"> COUNTA(E9:E51)</f>
        <v>36</v>
      </c>
      <c r="D5" s="18"/>
      <c r="E5" s="18">
        <f>SUM(C3:C5)</f>
        <v>36</v>
      </c>
      <c r="F5" s="18"/>
      <c r="G5" s="18"/>
      <c r="H5" s="18"/>
    </row>
    <row r="6" spans="1:11" ht="69.95" customHeight="1" x14ac:dyDescent="0.25">
      <c r="A6" s="216"/>
      <c r="B6" s="229"/>
      <c r="C6" s="229"/>
      <c r="D6" s="214" t="s">
        <v>1747</v>
      </c>
      <c r="E6" s="214"/>
      <c r="F6" s="214"/>
      <c r="G6" s="214"/>
      <c r="H6" s="214"/>
      <c r="I6" s="214"/>
      <c r="J6" s="214"/>
    </row>
    <row r="7" spans="1:11" ht="24.95" customHeight="1" x14ac:dyDescent="0.35">
      <c r="A7" s="219" t="s">
        <v>322</v>
      </c>
      <c r="B7" s="216"/>
      <c r="C7" s="217"/>
      <c r="D7" s="217"/>
      <c r="E7" s="217"/>
      <c r="F7" s="217"/>
      <c r="G7" s="217"/>
      <c r="H7" s="217"/>
      <c r="I7" s="218"/>
      <c r="J7" s="216"/>
    </row>
    <row r="8" spans="1:11" ht="47.85" customHeight="1" x14ac:dyDescent="0.25">
      <c r="A8" s="74" t="s">
        <v>1516</v>
      </c>
      <c r="B8" s="110" t="s">
        <v>1517</v>
      </c>
      <c r="C8" s="102" t="s">
        <v>1518</v>
      </c>
      <c r="D8" s="102" t="s">
        <v>1519</v>
      </c>
      <c r="E8" s="102" t="s">
        <v>1520</v>
      </c>
      <c r="F8" s="100" t="s">
        <v>1521</v>
      </c>
      <c r="G8" s="100" t="s">
        <v>1522</v>
      </c>
      <c r="H8" s="100" t="s">
        <v>1523</v>
      </c>
      <c r="I8" s="185" t="s">
        <v>1524</v>
      </c>
      <c r="J8" s="111" t="s">
        <v>1525</v>
      </c>
    </row>
    <row r="9" spans="1:11" x14ac:dyDescent="0.25">
      <c r="A9" s="63"/>
      <c r="B9" s="26" t="s">
        <v>323</v>
      </c>
      <c r="C9" s="166"/>
      <c r="D9" s="167"/>
      <c r="E9" s="167"/>
      <c r="F9" s="32"/>
      <c r="G9" s="32"/>
      <c r="H9" s="32"/>
      <c r="I9" s="33"/>
      <c r="J9" s="107"/>
    </row>
    <row r="10" spans="1:11" ht="25.5" x14ac:dyDescent="0.25">
      <c r="A10" s="150">
        <v>251</v>
      </c>
      <c r="B10" s="150" t="s">
        <v>324</v>
      </c>
      <c r="C10" s="176"/>
      <c r="D10" s="165"/>
      <c r="E10" s="165" t="s">
        <v>1526</v>
      </c>
      <c r="F10" s="76">
        <v>4</v>
      </c>
      <c r="G10" s="72">
        <f>IF(E10="X",F10,0)</f>
        <v>4</v>
      </c>
      <c r="H10" s="72">
        <f t="shared" ref="H10:H21" si="0">IF(C10="Y",F10,0)</f>
        <v>0</v>
      </c>
      <c r="I10" s="114"/>
      <c r="J10" s="114"/>
      <c r="K10" s="13" t="s">
        <v>1527</v>
      </c>
    </row>
    <row r="11" spans="1:11" x14ac:dyDescent="0.25">
      <c r="A11" s="150">
        <v>251</v>
      </c>
      <c r="B11" s="150" t="s">
        <v>325</v>
      </c>
      <c r="C11" s="176"/>
      <c r="D11" s="165"/>
      <c r="E11" s="165" t="s">
        <v>1528</v>
      </c>
      <c r="F11" s="76">
        <v>5</v>
      </c>
      <c r="G11" s="72">
        <f t="shared" ref="G11:G21" si="1">IF(E11="X",F11,0)</f>
        <v>5</v>
      </c>
      <c r="H11" s="72">
        <f t="shared" si="0"/>
        <v>0</v>
      </c>
      <c r="I11" s="114"/>
      <c r="J11" s="114"/>
      <c r="K11" s="13" t="s">
        <v>1529</v>
      </c>
    </row>
    <row r="12" spans="1:11" ht="25.5" x14ac:dyDescent="0.25">
      <c r="A12" s="150">
        <v>203</v>
      </c>
      <c r="B12" s="150" t="s">
        <v>1530</v>
      </c>
      <c r="C12" s="176"/>
      <c r="D12" s="165"/>
      <c r="E12" s="165" t="s">
        <v>1531</v>
      </c>
      <c r="F12" s="76">
        <v>4</v>
      </c>
      <c r="G12" s="72">
        <f t="shared" si="1"/>
        <v>4</v>
      </c>
      <c r="H12" s="72">
        <f t="shared" si="0"/>
        <v>0</v>
      </c>
      <c r="I12" s="114"/>
      <c r="J12" s="114"/>
      <c r="K12" s="13" t="s">
        <v>1532</v>
      </c>
    </row>
    <row r="13" spans="1:11" ht="25.5" x14ac:dyDescent="0.25">
      <c r="A13" s="150">
        <v>251</v>
      </c>
      <c r="B13" s="150" t="s">
        <v>326</v>
      </c>
      <c r="C13" s="121"/>
      <c r="D13" s="113"/>
      <c r="E13" s="113" t="s">
        <v>1533</v>
      </c>
      <c r="F13" s="76">
        <v>3</v>
      </c>
      <c r="G13" s="72">
        <f t="shared" si="1"/>
        <v>3</v>
      </c>
      <c r="H13" s="72">
        <f t="shared" si="0"/>
        <v>0</v>
      </c>
      <c r="I13" s="114"/>
      <c r="J13" s="114"/>
      <c r="K13" s="13" t="s">
        <v>1534</v>
      </c>
    </row>
    <row r="14" spans="1:11" ht="38.25" x14ac:dyDescent="0.25">
      <c r="A14" s="150" t="s">
        <v>1535</v>
      </c>
      <c r="B14" s="150" t="s">
        <v>327</v>
      </c>
      <c r="C14" s="121"/>
      <c r="D14" s="113"/>
      <c r="E14" s="113" t="s">
        <v>1536</v>
      </c>
      <c r="F14" s="76">
        <v>4</v>
      </c>
      <c r="G14" s="72">
        <f t="shared" si="1"/>
        <v>4</v>
      </c>
      <c r="H14" s="72">
        <f t="shared" si="0"/>
        <v>0</v>
      </c>
      <c r="I14" s="114"/>
      <c r="J14" s="114"/>
      <c r="K14" s="13" t="s">
        <v>1537</v>
      </c>
    </row>
    <row r="15" spans="1:11" ht="38.25" x14ac:dyDescent="0.25">
      <c r="A15" s="150">
        <v>331</v>
      </c>
      <c r="B15" s="150" t="s">
        <v>328</v>
      </c>
      <c r="C15" s="121"/>
      <c r="D15" s="113"/>
      <c r="E15" s="113" t="s">
        <v>1538</v>
      </c>
      <c r="F15" s="76">
        <v>3</v>
      </c>
      <c r="G15" s="72">
        <f t="shared" si="1"/>
        <v>3</v>
      </c>
      <c r="H15" s="72">
        <f t="shared" si="0"/>
        <v>0</v>
      </c>
      <c r="I15" s="143"/>
      <c r="J15" s="143"/>
      <c r="K15" s="13" t="s">
        <v>1539</v>
      </c>
    </row>
    <row r="16" spans="1:11" ht="25.5" x14ac:dyDescent="0.25">
      <c r="A16" s="151">
        <v>338</v>
      </c>
      <c r="B16" s="151" t="s">
        <v>329</v>
      </c>
      <c r="C16" s="121"/>
      <c r="D16" s="113"/>
      <c r="E16" s="113" t="s">
        <v>1540</v>
      </c>
      <c r="F16" s="76">
        <v>3</v>
      </c>
      <c r="G16" s="72">
        <f t="shared" si="1"/>
        <v>3</v>
      </c>
      <c r="H16" s="72">
        <f t="shared" si="0"/>
        <v>0</v>
      </c>
      <c r="I16" s="114"/>
      <c r="J16" s="114"/>
      <c r="K16" s="13" t="s">
        <v>1541</v>
      </c>
    </row>
    <row r="17" spans="1:11" ht="38.25" x14ac:dyDescent="0.25">
      <c r="A17" s="151">
        <v>338</v>
      </c>
      <c r="B17" s="151" t="s">
        <v>330</v>
      </c>
      <c r="C17" s="121"/>
      <c r="D17" s="113"/>
      <c r="E17" s="113" t="s">
        <v>1542</v>
      </c>
      <c r="F17" s="76">
        <v>3</v>
      </c>
      <c r="G17" s="72">
        <f t="shared" si="1"/>
        <v>3</v>
      </c>
      <c r="H17" s="72">
        <f t="shared" si="0"/>
        <v>0</v>
      </c>
      <c r="I17" s="114"/>
      <c r="J17" s="114"/>
      <c r="K17" s="13" t="s">
        <v>1543</v>
      </c>
    </row>
    <row r="18" spans="1:11" ht="25.5" x14ac:dyDescent="0.25">
      <c r="A18" s="151"/>
      <c r="B18" s="151" t="s">
        <v>331</v>
      </c>
      <c r="C18" s="121"/>
      <c r="D18" s="113"/>
      <c r="E18" s="113" t="s">
        <v>1544</v>
      </c>
      <c r="F18" s="76">
        <v>3</v>
      </c>
      <c r="G18" s="72">
        <f t="shared" si="1"/>
        <v>3</v>
      </c>
      <c r="H18" s="72">
        <f t="shared" si="0"/>
        <v>0</v>
      </c>
      <c r="I18" s="143"/>
      <c r="J18" s="143"/>
      <c r="K18" s="13" t="s">
        <v>1545</v>
      </c>
    </row>
    <row r="19" spans="1:11" ht="25.5" x14ac:dyDescent="0.25">
      <c r="A19" s="150">
        <v>315</v>
      </c>
      <c r="B19" s="150" t="s">
        <v>332</v>
      </c>
      <c r="C19" s="121"/>
      <c r="D19" s="113"/>
      <c r="E19" s="113" t="s">
        <v>1546</v>
      </c>
      <c r="F19" s="76">
        <v>3</v>
      </c>
      <c r="G19" s="72">
        <f t="shared" si="1"/>
        <v>3</v>
      </c>
      <c r="H19" s="72">
        <f t="shared" si="0"/>
        <v>0</v>
      </c>
      <c r="I19" s="114"/>
      <c r="J19" s="114"/>
      <c r="K19" s="13" t="s">
        <v>1547</v>
      </c>
    </row>
    <row r="20" spans="1:11" ht="25.5" x14ac:dyDescent="0.25">
      <c r="A20" s="150">
        <v>361</v>
      </c>
      <c r="B20" s="150" t="s">
        <v>333</v>
      </c>
      <c r="C20" s="121"/>
      <c r="D20" s="113"/>
      <c r="E20" s="113" t="s">
        <v>1548</v>
      </c>
      <c r="F20" s="76">
        <v>3</v>
      </c>
      <c r="G20" s="72">
        <f t="shared" si="1"/>
        <v>3</v>
      </c>
      <c r="H20" s="72">
        <f t="shared" si="0"/>
        <v>0</v>
      </c>
      <c r="I20" s="114"/>
      <c r="J20" s="114"/>
      <c r="K20" s="13" t="s">
        <v>1549</v>
      </c>
    </row>
    <row r="21" spans="1:11" ht="38.25" x14ac:dyDescent="0.25">
      <c r="A21" s="150">
        <v>313</v>
      </c>
      <c r="B21" s="150" t="s">
        <v>334</v>
      </c>
      <c r="C21" s="121"/>
      <c r="D21" s="113"/>
      <c r="E21" s="113" t="s">
        <v>1550</v>
      </c>
      <c r="F21" s="76">
        <v>3</v>
      </c>
      <c r="G21" s="72">
        <f t="shared" si="1"/>
        <v>3</v>
      </c>
      <c r="H21" s="72">
        <f t="shared" si="0"/>
        <v>0</v>
      </c>
      <c r="I21" s="114"/>
      <c r="J21" s="114"/>
      <c r="K21" s="13" t="s">
        <v>1551</v>
      </c>
    </row>
    <row r="22" spans="1:11" x14ac:dyDescent="0.25">
      <c r="A22" s="64"/>
      <c r="B22" s="34"/>
      <c r="C22" s="122"/>
      <c r="D22" s="123"/>
      <c r="E22" s="123"/>
      <c r="F22" s="77"/>
      <c r="G22" s="77"/>
      <c r="H22" s="77"/>
      <c r="I22" s="22"/>
      <c r="J22" s="108"/>
    </row>
    <row r="23" spans="1:11" x14ac:dyDescent="0.25">
      <c r="A23" s="63"/>
      <c r="B23" s="26" t="s">
        <v>335</v>
      </c>
      <c r="C23" s="118"/>
      <c r="D23" s="119"/>
      <c r="E23" s="119"/>
      <c r="F23" s="78"/>
      <c r="G23" s="78"/>
      <c r="H23" s="78"/>
      <c r="I23" s="36"/>
      <c r="J23" s="109"/>
    </row>
    <row r="24" spans="1:11" ht="25.5" x14ac:dyDescent="0.25">
      <c r="A24" s="150">
        <v>251</v>
      </c>
      <c r="B24" s="150" t="s">
        <v>1552</v>
      </c>
      <c r="C24" s="121"/>
      <c r="D24" s="113"/>
      <c r="E24" s="113" t="s">
        <v>1553</v>
      </c>
      <c r="F24" s="76">
        <v>4</v>
      </c>
      <c r="G24" s="72">
        <f>IF(E24="X",F24,0)</f>
        <v>4</v>
      </c>
      <c r="H24" s="72">
        <f t="shared" ref="H24:H35" si="2">IF(C24="Y",F24,0)</f>
        <v>0</v>
      </c>
      <c r="I24" s="114"/>
      <c r="J24" s="114"/>
      <c r="K24" s="13" t="s">
        <v>1554</v>
      </c>
    </row>
    <row r="25" spans="1:11" x14ac:dyDescent="0.25">
      <c r="A25" s="150">
        <v>251</v>
      </c>
      <c r="B25" s="150" t="s">
        <v>1555</v>
      </c>
      <c r="C25" s="121"/>
      <c r="D25" s="113"/>
      <c r="E25" s="113" t="s">
        <v>1556</v>
      </c>
      <c r="F25" s="76">
        <v>5</v>
      </c>
      <c r="G25" s="72">
        <f t="shared" ref="G25:G35" si="3">IF(E25="X",F25,0)</f>
        <v>5</v>
      </c>
      <c r="H25" s="72">
        <f t="shared" si="2"/>
        <v>0</v>
      </c>
      <c r="I25" s="114"/>
      <c r="J25" s="114"/>
      <c r="K25" s="13" t="s">
        <v>1557</v>
      </c>
    </row>
    <row r="26" spans="1:11" ht="25.5" x14ac:dyDescent="0.25">
      <c r="A26" s="150">
        <v>203</v>
      </c>
      <c r="B26" s="150" t="s">
        <v>1558</v>
      </c>
      <c r="C26" s="121"/>
      <c r="D26" s="113"/>
      <c r="E26" s="113" t="s">
        <v>1559</v>
      </c>
      <c r="F26" s="76">
        <v>4</v>
      </c>
      <c r="G26" s="72">
        <f t="shared" si="3"/>
        <v>4</v>
      </c>
      <c r="H26" s="72">
        <f t="shared" si="2"/>
        <v>0</v>
      </c>
      <c r="I26" s="114"/>
      <c r="J26" s="114"/>
      <c r="K26" s="13" t="s">
        <v>1560</v>
      </c>
    </row>
    <row r="27" spans="1:11" ht="25.5" x14ac:dyDescent="0.25">
      <c r="A27" s="150">
        <v>251</v>
      </c>
      <c r="B27" s="150" t="s">
        <v>1561</v>
      </c>
      <c r="C27" s="121"/>
      <c r="D27" s="113"/>
      <c r="E27" s="113" t="s">
        <v>1562</v>
      </c>
      <c r="F27" s="76">
        <v>3</v>
      </c>
      <c r="G27" s="72">
        <f t="shared" si="3"/>
        <v>3</v>
      </c>
      <c r="H27" s="72">
        <f t="shared" si="2"/>
        <v>0</v>
      </c>
      <c r="I27" s="114"/>
      <c r="J27" s="114"/>
      <c r="K27" s="13" t="s">
        <v>1563</v>
      </c>
    </row>
    <row r="28" spans="1:11" ht="38.25" x14ac:dyDescent="0.25">
      <c r="A28" s="150" t="s">
        <v>1564</v>
      </c>
      <c r="B28" s="150" t="s">
        <v>1565</v>
      </c>
      <c r="C28" s="121"/>
      <c r="D28" s="113"/>
      <c r="E28" s="113" t="s">
        <v>1566</v>
      </c>
      <c r="F28" s="76">
        <v>4</v>
      </c>
      <c r="G28" s="72">
        <f t="shared" si="3"/>
        <v>4</v>
      </c>
      <c r="H28" s="72">
        <f t="shared" si="2"/>
        <v>0</v>
      </c>
      <c r="I28" s="114"/>
      <c r="J28" s="114"/>
      <c r="K28" s="13" t="s">
        <v>1567</v>
      </c>
    </row>
    <row r="29" spans="1:11" ht="38.25" x14ac:dyDescent="0.25">
      <c r="A29" s="150">
        <v>331</v>
      </c>
      <c r="B29" s="150" t="s">
        <v>1568</v>
      </c>
      <c r="C29" s="121"/>
      <c r="D29" s="113"/>
      <c r="E29" s="113" t="s">
        <v>1569</v>
      </c>
      <c r="F29" s="76">
        <v>3</v>
      </c>
      <c r="G29" s="72">
        <f t="shared" si="3"/>
        <v>3</v>
      </c>
      <c r="H29" s="72">
        <f t="shared" si="2"/>
        <v>0</v>
      </c>
      <c r="I29" s="114"/>
      <c r="J29" s="114"/>
      <c r="K29" s="13" t="s">
        <v>1570</v>
      </c>
    </row>
    <row r="30" spans="1:11" ht="25.5" x14ac:dyDescent="0.25">
      <c r="A30" s="151">
        <v>338</v>
      </c>
      <c r="B30" s="151" t="s">
        <v>1571</v>
      </c>
      <c r="C30" s="121"/>
      <c r="D30" s="113"/>
      <c r="E30" s="113" t="s">
        <v>1572</v>
      </c>
      <c r="F30" s="76">
        <v>3</v>
      </c>
      <c r="G30" s="72">
        <f t="shared" si="3"/>
        <v>3</v>
      </c>
      <c r="H30" s="72">
        <f t="shared" si="2"/>
        <v>0</v>
      </c>
      <c r="I30" s="114"/>
      <c r="J30" s="114"/>
      <c r="K30" s="13" t="s">
        <v>1573</v>
      </c>
    </row>
    <row r="31" spans="1:11" ht="38.25" x14ac:dyDescent="0.25">
      <c r="A31" s="151">
        <v>338</v>
      </c>
      <c r="B31" s="151" t="s">
        <v>1574</v>
      </c>
      <c r="C31" s="121"/>
      <c r="D31" s="113"/>
      <c r="E31" s="113" t="s">
        <v>1575</v>
      </c>
      <c r="F31" s="76">
        <v>3</v>
      </c>
      <c r="G31" s="72">
        <f t="shared" si="3"/>
        <v>3</v>
      </c>
      <c r="H31" s="72">
        <f t="shared" si="2"/>
        <v>0</v>
      </c>
      <c r="I31" s="143"/>
      <c r="J31" s="143"/>
      <c r="K31" s="13" t="s">
        <v>1576</v>
      </c>
    </row>
    <row r="32" spans="1:11" ht="25.5" x14ac:dyDescent="0.25">
      <c r="A32" s="151"/>
      <c r="B32" s="151" t="s">
        <v>1577</v>
      </c>
      <c r="C32" s="121"/>
      <c r="D32" s="113"/>
      <c r="E32" s="113" t="s">
        <v>1578</v>
      </c>
      <c r="F32" s="76">
        <v>3</v>
      </c>
      <c r="G32" s="72">
        <f t="shared" si="3"/>
        <v>3</v>
      </c>
      <c r="H32" s="72">
        <f t="shared" si="2"/>
        <v>0</v>
      </c>
      <c r="I32" s="114"/>
      <c r="J32" s="114"/>
      <c r="K32" s="13" t="s">
        <v>1579</v>
      </c>
    </row>
    <row r="33" spans="1:11" ht="25.5" x14ac:dyDescent="0.25">
      <c r="A33" s="150">
        <v>315</v>
      </c>
      <c r="B33" s="150" t="s">
        <v>1580</v>
      </c>
      <c r="C33" s="121"/>
      <c r="D33" s="113"/>
      <c r="E33" s="113" t="s">
        <v>1581</v>
      </c>
      <c r="F33" s="83">
        <v>3</v>
      </c>
      <c r="G33" s="72">
        <f t="shared" si="3"/>
        <v>3</v>
      </c>
      <c r="H33" s="72">
        <f t="shared" si="2"/>
        <v>0</v>
      </c>
      <c r="I33" s="114"/>
      <c r="J33" s="114"/>
      <c r="K33" s="13" t="s">
        <v>1582</v>
      </c>
    </row>
    <row r="34" spans="1:11" ht="25.5" x14ac:dyDescent="0.25">
      <c r="A34" s="150">
        <v>361</v>
      </c>
      <c r="B34" s="150" t="s">
        <v>1583</v>
      </c>
      <c r="C34" s="121"/>
      <c r="D34" s="113"/>
      <c r="E34" s="113" t="s">
        <v>1584</v>
      </c>
      <c r="F34" s="76">
        <v>3</v>
      </c>
      <c r="G34" s="72">
        <f t="shared" si="3"/>
        <v>3</v>
      </c>
      <c r="H34" s="72">
        <f t="shared" si="2"/>
        <v>0</v>
      </c>
      <c r="I34" s="114"/>
      <c r="J34" s="114"/>
      <c r="K34" s="13" t="s">
        <v>1585</v>
      </c>
    </row>
    <row r="35" spans="1:11" ht="38.25" x14ac:dyDescent="0.25">
      <c r="A35" s="150">
        <v>313</v>
      </c>
      <c r="B35" s="150" t="s">
        <v>1586</v>
      </c>
      <c r="C35" s="121"/>
      <c r="D35" s="113"/>
      <c r="E35" s="113" t="s">
        <v>1587</v>
      </c>
      <c r="F35" s="76">
        <v>3</v>
      </c>
      <c r="G35" s="72">
        <f t="shared" si="3"/>
        <v>3</v>
      </c>
      <c r="H35" s="72">
        <f t="shared" si="2"/>
        <v>0</v>
      </c>
      <c r="I35" s="114"/>
      <c r="J35" s="114"/>
      <c r="K35" s="13" t="s">
        <v>1588</v>
      </c>
    </row>
    <row r="36" spans="1:11" x14ac:dyDescent="0.25">
      <c r="A36" s="65"/>
      <c r="B36" s="35"/>
      <c r="C36" s="122"/>
      <c r="D36" s="123"/>
      <c r="E36" s="149"/>
      <c r="F36" s="84"/>
      <c r="G36" s="84"/>
      <c r="H36" s="84"/>
      <c r="I36" s="31"/>
      <c r="J36" s="108"/>
    </row>
    <row r="37" spans="1:11" x14ac:dyDescent="0.25">
      <c r="A37" s="63"/>
      <c r="B37" s="26" t="s">
        <v>336</v>
      </c>
      <c r="C37" s="118"/>
      <c r="D37" s="119"/>
      <c r="E37" s="119"/>
      <c r="F37" s="78"/>
      <c r="G37" s="78"/>
      <c r="H37" s="78"/>
      <c r="I37" s="37"/>
      <c r="J37" s="109"/>
    </row>
    <row r="38" spans="1:11" ht="25.5" x14ac:dyDescent="0.25">
      <c r="A38" s="150">
        <v>251</v>
      </c>
      <c r="B38" s="150" t="s">
        <v>1589</v>
      </c>
      <c r="C38" s="121"/>
      <c r="D38" s="113"/>
      <c r="E38" s="113" t="s">
        <v>1590</v>
      </c>
      <c r="F38" s="83">
        <v>4</v>
      </c>
      <c r="G38" s="72">
        <f>IF(E38="X",F38,0)</f>
        <v>4</v>
      </c>
      <c r="H38" s="72">
        <f t="shared" ref="H38:H49" si="4">IF(C38="Y",F38,0)</f>
        <v>0</v>
      </c>
      <c r="I38" s="114"/>
      <c r="J38" s="114"/>
      <c r="K38" s="13" t="s">
        <v>1591</v>
      </c>
    </row>
    <row r="39" spans="1:11" x14ac:dyDescent="0.25">
      <c r="A39" s="150">
        <v>251</v>
      </c>
      <c r="B39" s="150" t="s">
        <v>1592</v>
      </c>
      <c r="C39" s="121"/>
      <c r="D39" s="113"/>
      <c r="E39" s="113" t="s">
        <v>1593</v>
      </c>
      <c r="F39" s="76">
        <v>5</v>
      </c>
      <c r="G39" s="72">
        <f t="shared" ref="G39:G49" si="5">IF(E39="X",F39,0)</f>
        <v>5</v>
      </c>
      <c r="H39" s="72">
        <f t="shared" si="4"/>
        <v>0</v>
      </c>
      <c r="I39" s="143"/>
      <c r="J39" s="143"/>
      <c r="K39" s="13" t="s">
        <v>1594</v>
      </c>
    </row>
    <row r="40" spans="1:11" ht="25.5" x14ac:dyDescent="0.25">
      <c r="A40" s="150">
        <v>203</v>
      </c>
      <c r="B40" s="150" t="s">
        <v>1595</v>
      </c>
      <c r="C40" s="121"/>
      <c r="D40" s="113"/>
      <c r="E40" s="113" t="s">
        <v>1596</v>
      </c>
      <c r="F40" s="83">
        <v>4</v>
      </c>
      <c r="G40" s="72">
        <f t="shared" si="5"/>
        <v>4</v>
      </c>
      <c r="H40" s="72">
        <f t="shared" si="4"/>
        <v>0</v>
      </c>
      <c r="I40" s="114"/>
      <c r="J40" s="114"/>
      <c r="K40" s="13" t="s">
        <v>1597</v>
      </c>
    </row>
    <row r="41" spans="1:11" ht="25.5" x14ac:dyDescent="0.25">
      <c r="A41" s="150">
        <v>251</v>
      </c>
      <c r="B41" s="150" t="s">
        <v>1598</v>
      </c>
      <c r="C41" s="121"/>
      <c r="D41" s="113"/>
      <c r="E41" s="113" t="s">
        <v>1599</v>
      </c>
      <c r="F41" s="83">
        <v>3</v>
      </c>
      <c r="G41" s="72">
        <f t="shared" si="5"/>
        <v>3</v>
      </c>
      <c r="H41" s="72">
        <f t="shared" si="4"/>
        <v>0</v>
      </c>
      <c r="I41" s="114"/>
      <c r="J41" s="114"/>
      <c r="K41" s="13" t="s">
        <v>1600</v>
      </c>
    </row>
    <row r="42" spans="1:11" ht="38.25" x14ac:dyDescent="0.25">
      <c r="A42" s="150" t="s">
        <v>1601</v>
      </c>
      <c r="B42" s="150" t="s">
        <v>1602</v>
      </c>
      <c r="C42" s="121"/>
      <c r="D42" s="113"/>
      <c r="E42" s="113" t="s">
        <v>1603</v>
      </c>
      <c r="F42" s="83">
        <v>4</v>
      </c>
      <c r="G42" s="72">
        <f t="shared" si="5"/>
        <v>4</v>
      </c>
      <c r="H42" s="72">
        <f t="shared" si="4"/>
        <v>0</v>
      </c>
      <c r="I42" s="114"/>
      <c r="J42" s="114"/>
      <c r="K42" s="13" t="s">
        <v>1604</v>
      </c>
    </row>
    <row r="43" spans="1:11" ht="38.25" x14ac:dyDescent="0.25">
      <c r="A43" s="150">
        <v>331</v>
      </c>
      <c r="B43" s="150" t="s">
        <v>1605</v>
      </c>
      <c r="C43" s="121"/>
      <c r="D43" s="113"/>
      <c r="E43" s="113" t="s">
        <v>1606</v>
      </c>
      <c r="F43" s="83">
        <v>3</v>
      </c>
      <c r="G43" s="72">
        <f t="shared" si="5"/>
        <v>3</v>
      </c>
      <c r="H43" s="72">
        <f t="shared" si="4"/>
        <v>0</v>
      </c>
      <c r="I43" s="114"/>
      <c r="J43" s="114"/>
      <c r="K43" s="13" t="s">
        <v>1607</v>
      </c>
    </row>
    <row r="44" spans="1:11" ht="25.5" x14ac:dyDescent="0.25">
      <c r="A44" s="151">
        <v>338</v>
      </c>
      <c r="B44" s="151" t="s">
        <v>1608</v>
      </c>
      <c r="C44" s="121"/>
      <c r="D44" s="113"/>
      <c r="E44" s="113" t="s">
        <v>1609</v>
      </c>
      <c r="F44" s="83">
        <v>3</v>
      </c>
      <c r="G44" s="72">
        <f t="shared" si="5"/>
        <v>3</v>
      </c>
      <c r="H44" s="72">
        <f t="shared" si="4"/>
        <v>0</v>
      </c>
      <c r="I44" s="114"/>
      <c r="J44" s="114"/>
      <c r="K44" s="13" t="s">
        <v>1610</v>
      </c>
    </row>
    <row r="45" spans="1:11" ht="38.25" x14ac:dyDescent="0.25">
      <c r="A45" s="151">
        <v>338</v>
      </c>
      <c r="B45" s="151" t="s">
        <v>1611</v>
      </c>
      <c r="C45" s="121"/>
      <c r="D45" s="113"/>
      <c r="E45" s="113" t="s">
        <v>1612</v>
      </c>
      <c r="F45" s="83">
        <v>3</v>
      </c>
      <c r="G45" s="72">
        <f t="shared" si="5"/>
        <v>3</v>
      </c>
      <c r="H45" s="72">
        <f t="shared" si="4"/>
        <v>0</v>
      </c>
      <c r="I45" s="114"/>
      <c r="J45" s="114"/>
      <c r="K45" s="13" t="s">
        <v>1613</v>
      </c>
    </row>
    <row r="46" spans="1:11" ht="25.5" x14ac:dyDescent="0.25">
      <c r="A46" s="151"/>
      <c r="B46" s="151" t="s">
        <v>1614</v>
      </c>
      <c r="C46" s="121"/>
      <c r="D46" s="113"/>
      <c r="E46" s="113" t="s">
        <v>1615</v>
      </c>
      <c r="F46" s="83">
        <v>3</v>
      </c>
      <c r="G46" s="72">
        <f t="shared" si="5"/>
        <v>3</v>
      </c>
      <c r="H46" s="72">
        <f t="shared" si="4"/>
        <v>0</v>
      </c>
      <c r="I46" s="114"/>
      <c r="J46" s="114"/>
      <c r="K46" s="13" t="s">
        <v>1616</v>
      </c>
    </row>
    <row r="47" spans="1:11" ht="25.5" x14ac:dyDescent="0.25">
      <c r="A47" s="150">
        <v>315</v>
      </c>
      <c r="B47" s="150" t="s">
        <v>1617</v>
      </c>
      <c r="C47" s="121"/>
      <c r="D47" s="113"/>
      <c r="E47" s="113" t="s">
        <v>1618</v>
      </c>
      <c r="F47" s="83">
        <v>3</v>
      </c>
      <c r="G47" s="72">
        <f t="shared" si="5"/>
        <v>3</v>
      </c>
      <c r="H47" s="72">
        <f t="shared" si="4"/>
        <v>0</v>
      </c>
      <c r="I47" s="143"/>
      <c r="J47" s="143"/>
      <c r="K47" s="13" t="s">
        <v>1619</v>
      </c>
    </row>
    <row r="48" spans="1:11" ht="25.5" x14ac:dyDescent="0.25">
      <c r="A48" s="150">
        <v>361</v>
      </c>
      <c r="B48" s="150" t="s">
        <v>1620</v>
      </c>
      <c r="C48" s="121"/>
      <c r="D48" s="113"/>
      <c r="E48" s="113" t="s">
        <v>1621</v>
      </c>
      <c r="F48" s="83">
        <v>3</v>
      </c>
      <c r="G48" s="72">
        <f t="shared" si="5"/>
        <v>3</v>
      </c>
      <c r="H48" s="72">
        <f t="shared" si="4"/>
        <v>0</v>
      </c>
      <c r="I48" s="114"/>
      <c r="J48" s="114"/>
      <c r="K48" s="13" t="s">
        <v>1622</v>
      </c>
    </row>
    <row r="49" spans="1:11" ht="38.25" x14ac:dyDescent="0.25">
      <c r="A49" s="150">
        <v>313</v>
      </c>
      <c r="B49" s="150" t="s">
        <v>1623</v>
      </c>
      <c r="C49" s="121"/>
      <c r="D49" s="113"/>
      <c r="E49" s="113" t="s">
        <v>1624</v>
      </c>
      <c r="F49" s="83">
        <v>3</v>
      </c>
      <c r="G49" s="72">
        <f t="shared" si="5"/>
        <v>3</v>
      </c>
      <c r="H49" s="72">
        <f t="shared" si="4"/>
        <v>0</v>
      </c>
      <c r="I49" s="114"/>
      <c r="J49" s="114"/>
      <c r="K49" s="13" t="s">
        <v>1625</v>
      </c>
    </row>
    <row r="50" spans="1:11" x14ac:dyDescent="0.25">
      <c r="F50" s="74">
        <f>SUM(F10:F49)</f>
        <v>123</v>
      </c>
      <c r="G50" s="74">
        <f>SUM(G10:G49)</f>
        <v>123</v>
      </c>
      <c r="H50" s="74">
        <f>SUM(H10:H49)</f>
        <v>0</v>
      </c>
    </row>
  </sheetData>
  <sheetProtection formatCells="0" selectLockedCells="1"/>
  <mergeCells count="1">
    <mergeCell ref="D6:J6"/>
  </mergeCells>
  <phoneticPr fontId="0" type="noConversion"/>
  <pageMargins left="3.937007874015748E-2" right="3.937007874015748E-2" top="0.94488188976377963" bottom="0.74803149606299213" header="0.19685039370078741" footer="0.31496062992125984"/>
  <pageSetup paperSize="9" scale="79" fitToHeight="0" orientation="portrait" r:id="rId1"/>
  <headerFooter>
    <oddHeader>&amp;L&amp;G&amp;C&amp;A&amp;R</oddHeader>
    <oddFooter>&amp;L&amp;F&amp;C&amp;RPage &amp;P / &amp;N</oddFooter>
  </headerFooter>
  <drawing r:id="rId2"/>
  <legacyDrawing r:id="rId3"/>
  <legacyDrawingHF r:id="rId4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pageSetUpPr fitToPage="1"/>
  </sheetPr>
  <dimension ref="A1:K49"/>
  <sheetViews>
    <sheetView showGridLines="0" zoomScaleNormal="100" workbookViewId="0">
      <pane ySplit="8" topLeftCell="A9" activePane="bottomLeft" state="frozen"/>
      <selection activeCell="B39" sqref="B39:J39"/>
      <selection pane="bottomLeft" activeCell="E6" sqref="A6:J6"/>
    </sheetView>
  </sheetViews>
  <sheetFormatPr defaultColWidth="9.140625" defaultRowHeight="15" x14ac:dyDescent="0.25"/>
  <cols>
    <col min="1" max="1" width="9.140625" style="13"/>
    <col min="2" max="2" width="52.42578125" style="13" bestFit="1" customWidth="1"/>
    <col min="3" max="5" width="10.7109375" style="14" customWidth="1"/>
    <col min="6" max="8" width="10.7109375" style="14" hidden="1" customWidth="1"/>
    <col min="9" max="9" width="55.42578125" style="15" customWidth="1"/>
    <col min="10" max="10" width="20.7109375" style="13" customWidth="1"/>
    <col min="11" max="11" width="0" style="13" hidden="1" customWidth="1"/>
    <col min="12" max="16384" width="9.140625" style="13"/>
  </cols>
  <sheetData>
    <row r="1" spans="1:11" ht="15" hidden="1" customHeight="1" x14ac:dyDescent="0.25"/>
    <row r="2" spans="1:11" ht="15" hidden="1" customHeight="1" x14ac:dyDescent="0.25">
      <c r="B2" s="16" t="s">
        <v>1626</v>
      </c>
      <c r="C2" s="16">
        <f>COUNTA(K9:K50)</f>
        <v>27</v>
      </c>
    </row>
    <row r="3" spans="1:11" ht="15" hidden="1" customHeight="1" x14ac:dyDescent="0.25">
      <c r="B3" s="16" t="s">
        <v>1627</v>
      </c>
      <c r="C3" s="17">
        <f xml:space="preserve"> COUNTA(C9:C35)</f>
        <v>0</v>
      </c>
      <c r="E3" s="16"/>
    </row>
    <row r="4" spans="1:11" ht="15" hidden="1" customHeight="1" x14ac:dyDescent="0.25">
      <c r="B4" s="16" t="s">
        <v>1628</v>
      </c>
      <c r="C4" s="17">
        <f xml:space="preserve"> COUNTA(D9:D35)</f>
        <v>0</v>
      </c>
      <c r="E4" s="16"/>
    </row>
    <row r="5" spans="1:11" ht="15" hidden="1" customHeight="1" x14ac:dyDescent="0.25">
      <c r="B5" s="16" t="s">
        <v>1629</v>
      </c>
      <c r="C5" s="17">
        <f xml:space="preserve"> COUNTA(E9:E35)</f>
        <v>27</v>
      </c>
      <c r="D5" s="18"/>
      <c r="E5" s="18">
        <f>SUM(C3:C5)</f>
        <v>27</v>
      </c>
      <c r="F5" s="18"/>
      <c r="G5" s="18"/>
      <c r="H5" s="18"/>
    </row>
    <row r="6" spans="1:11" ht="69.95" customHeight="1" x14ac:dyDescent="0.25">
      <c r="A6" s="216"/>
      <c r="B6" s="229"/>
      <c r="C6" s="229"/>
      <c r="D6" s="229"/>
      <c r="E6" s="214" t="s">
        <v>1747</v>
      </c>
      <c r="F6" s="214"/>
      <c r="G6" s="214"/>
      <c r="H6" s="214"/>
      <c r="I6" s="214"/>
      <c r="J6" s="214"/>
    </row>
    <row r="7" spans="1:11" ht="24.95" customHeight="1" x14ac:dyDescent="0.35">
      <c r="A7" s="219" t="s">
        <v>337</v>
      </c>
      <c r="B7" s="216"/>
      <c r="C7" s="217"/>
      <c r="D7" s="217"/>
      <c r="E7" s="217"/>
      <c r="F7" s="217"/>
      <c r="G7" s="217"/>
      <c r="H7" s="217"/>
      <c r="I7" s="218"/>
      <c r="J7" s="216"/>
    </row>
    <row r="8" spans="1:11" ht="44.65" customHeight="1" x14ac:dyDescent="0.25">
      <c r="A8" s="74" t="s">
        <v>1630</v>
      </c>
      <c r="B8" s="189" t="s">
        <v>1739</v>
      </c>
      <c r="C8" s="102" t="s">
        <v>1631</v>
      </c>
      <c r="D8" s="102" t="s">
        <v>1632</v>
      </c>
      <c r="E8" s="102" t="s">
        <v>1633</v>
      </c>
      <c r="F8" s="100" t="s">
        <v>1634</v>
      </c>
      <c r="G8" s="100" t="s">
        <v>1635</v>
      </c>
      <c r="H8" s="100" t="s">
        <v>1636</v>
      </c>
      <c r="I8" s="185" t="s">
        <v>1637</v>
      </c>
      <c r="J8" s="111" t="s">
        <v>1638</v>
      </c>
    </row>
    <row r="9" spans="1:11" ht="25.5" x14ac:dyDescent="0.25">
      <c r="A9" s="137">
        <v>251</v>
      </c>
      <c r="B9" s="151" t="s">
        <v>338</v>
      </c>
      <c r="C9" s="113"/>
      <c r="D9" s="113"/>
      <c r="E9" s="113" t="s">
        <v>1639</v>
      </c>
      <c r="F9" s="75">
        <v>4</v>
      </c>
      <c r="G9" s="72">
        <f>IF(E9="X",F9,0)</f>
        <v>4</v>
      </c>
      <c r="H9" s="72">
        <f t="shared" ref="H9:H35" si="0">IF(C9="Y",F9,0)</f>
        <v>0</v>
      </c>
      <c r="I9" s="114"/>
      <c r="J9" s="114"/>
      <c r="K9" s="13" t="s">
        <v>1640</v>
      </c>
    </row>
    <row r="10" spans="1:11" x14ac:dyDescent="0.25">
      <c r="A10" s="137">
        <v>251</v>
      </c>
      <c r="B10" s="151" t="s">
        <v>339</v>
      </c>
      <c r="C10" s="113"/>
      <c r="D10" s="113"/>
      <c r="E10" s="113" t="s">
        <v>1641</v>
      </c>
      <c r="F10" s="75">
        <v>5</v>
      </c>
      <c r="G10" s="72">
        <f t="shared" ref="G10:G35" si="1">IF(E10="X",F10,0)</f>
        <v>5</v>
      </c>
      <c r="H10" s="72">
        <f t="shared" si="0"/>
        <v>0</v>
      </c>
      <c r="I10" s="114"/>
      <c r="J10" s="114"/>
      <c r="K10" s="13" t="s">
        <v>1642</v>
      </c>
    </row>
    <row r="11" spans="1:11" ht="25.5" x14ac:dyDescent="0.25">
      <c r="A11" s="137">
        <v>203</v>
      </c>
      <c r="B11" s="150" t="s">
        <v>1643</v>
      </c>
      <c r="C11" s="113"/>
      <c r="D11" s="113"/>
      <c r="E11" s="113" t="s">
        <v>1644</v>
      </c>
      <c r="F11" s="75">
        <v>4</v>
      </c>
      <c r="G11" s="72">
        <f t="shared" si="1"/>
        <v>4</v>
      </c>
      <c r="H11" s="72">
        <f t="shared" si="0"/>
        <v>0</v>
      </c>
      <c r="I11" s="114"/>
      <c r="J11" s="114"/>
      <c r="K11" s="13" t="s">
        <v>1645</v>
      </c>
    </row>
    <row r="12" spans="1:11" ht="25.5" x14ac:dyDescent="0.25">
      <c r="A12" s="137">
        <v>251</v>
      </c>
      <c r="B12" s="151" t="s">
        <v>340</v>
      </c>
      <c r="C12" s="113"/>
      <c r="D12" s="113"/>
      <c r="E12" s="113" t="s">
        <v>1646</v>
      </c>
      <c r="F12" s="75">
        <v>3</v>
      </c>
      <c r="G12" s="72">
        <f t="shared" si="1"/>
        <v>3</v>
      </c>
      <c r="H12" s="72">
        <f t="shared" si="0"/>
        <v>0</v>
      </c>
      <c r="I12" s="114"/>
      <c r="J12" s="114"/>
      <c r="K12" s="52" t="s">
        <v>1647</v>
      </c>
    </row>
    <row r="13" spans="1:11" ht="25.5" x14ac:dyDescent="0.25">
      <c r="A13" s="137" t="s">
        <v>1648</v>
      </c>
      <c r="B13" s="151" t="s">
        <v>341</v>
      </c>
      <c r="C13" s="113"/>
      <c r="D13" s="113"/>
      <c r="E13" s="113" t="s">
        <v>1649</v>
      </c>
      <c r="F13" s="75">
        <v>4</v>
      </c>
      <c r="G13" s="72">
        <f t="shared" si="1"/>
        <v>4</v>
      </c>
      <c r="H13" s="72">
        <f t="shared" si="0"/>
        <v>0</v>
      </c>
      <c r="I13" s="114"/>
      <c r="J13" s="114"/>
      <c r="K13" s="52" t="s">
        <v>1650</v>
      </c>
    </row>
    <row r="14" spans="1:11" s="14" customFormat="1" ht="25.5" x14ac:dyDescent="0.25">
      <c r="A14" s="137">
        <v>341</v>
      </c>
      <c r="B14" s="151" t="s">
        <v>342</v>
      </c>
      <c r="C14" s="113"/>
      <c r="D14" s="113"/>
      <c r="E14" s="113" t="s">
        <v>1651</v>
      </c>
      <c r="F14" s="75">
        <v>3</v>
      </c>
      <c r="G14" s="72">
        <f t="shared" si="1"/>
        <v>3</v>
      </c>
      <c r="H14" s="72">
        <f t="shared" si="0"/>
        <v>0</v>
      </c>
      <c r="I14" s="114"/>
      <c r="J14" s="114"/>
      <c r="K14" s="93" t="s">
        <v>1652</v>
      </c>
    </row>
    <row r="15" spans="1:11" ht="25.5" x14ac:dyDescent="0.25">
      <c r="A15" s="137">
        <v>341</v>
      </c>
      <c r="B15" s="151" t="s">
        <v>343</v>
      </c>
      <c r="C15" s="113"/>
      <c r="D15" s="113"/>
      <c r="E15" s="113" t="s">
        <v>1653</v>
      </c>
      <c r="F15" s="75">
        <v>3</v>
      </c>
      <c r="G15" s="72">
        <f t="shared" si="1"/>
        <v>3</v>
      </c>
      <c r="H15" s="72">
        <f t="shared" si="0"/>
        <v>0</v>
      </c>
      <c r="I15" s="114"/>
      <c r="J15" s="114"/>
      <c r="K15" s="52" t="s">
        <v>1654</v>
      </c>
    </row>
    <row r="16" spans="1:11" ht="25.5" x14ac:dyDescent="0.25">
      <c r="A16" s="137">
        <v>361</v>
      </c>
      <c r="B16" s="151" t="s">
        <v>344</v>
      </c>
      <c r="C16" s="113"/>
      <c r="D16" s="113"/>
      <c r="E16" s="113" t="s">
        <v>1655</v>
      </c>
      <c r="F16" s="75">
        <v>3</v>
      </c>
      <c r="G16" s="72">
        <f t="shared" si="1"/>
        <v>3</v>
      </c>
      <c r="H16" s="72">
        <f t="shared" si="0"/>
        <v>0</v>
      </c>
      <c r="I16" s="114"/>
      <c r="J16" s="114"/>
      <c r="K16" s="52" t="s">
        <v>1656</v>
      </c>
    </row>
    <row r="17" spans="1:11" ht="25.5" x14ac:dyDescent="0.25">
      <c r="A17" s="137">
        <v>251</v>
      </c>
      <c r="B17" s="151" t="s">
        <v>345</v>
      </c>
      <c r="C17" s="113"/>
      <c r="D17" s="113"/>
      <c r="E17" s="113" t="s">
        <v>1657</v>
      </c>
      <c r="F17" s="75">
        <v>5</v>
      </c>
      <c r="G17" s="72">
        <f t="shared" si="1"/>
        <v>5</v>
      </c>
      <c r="H17" s="72">
        <f t="shared" si="0"/>
        <v>0</v>
      </c>
      <c r="I17" s="114"/>
      <c r="J17" s="114"/>
      <c r="K17" s="52" t="s">
        <v>1658</v>
      </c>
    </row>
    <row r="18" spans="1:11" ht="25.5" x14ac:dyDescent="0.25">
      <c r="A18" s="137">
        <v>361</v>
      </c>
      <c r="B18" s="151" t="s">
        <v>346</v>
      </c>
      <c r="C18" s="113"/>
      <c r="D18" s="113"/>
      <c r="E18" s="113" t="s">
        <v>1659</v>
      </c>
      <c r="F18" s="75">
        <v>5</v>
      </c>
      <c r="G18" s="72">
        <f t="shared" si="1"/>
        <v>5</v>
      </c>
      <c r="H18" s="72">
        <f t="shared" si="0"/>
        <v>0</v>
      </c>
      <c r="I18" s="114"/>
      <c r="J18" s="114"/>
      <c r="K18" s="52" t="s">
        <v>1660</v>
      </c>
    </row>
    <row r="19" spans="1:11" ht="25.5" x14ac:dyDescent="0.25">
      <c r="A19" s="137">
        <v>251</v>
      </c>
      <c r="B19" s="151" t="s">
        <v>347</v>
      </c>
      <c r="C19" s="113"/>
      <c r="D19" s="113"/>
      <c r="E19" s="113" t="s">
        <v>1661</v>
      </c>
      <c r="F19" s="75">
        <v>4</v>
      </c>
      <c r="G19" s="72">
        <f t="shared" si="1"/>
        <v>4</v>
      </c>
      <c r="H19" s="72">
        <f t="shared" si="0"/>
        <v>0</v>
      </c>
      <c r="I19" s="114"/>
      <c r="J19" s="114"/>
      <c r="K19" s="52" t="s">
        <v>1662</v>
      </c>
    </row>
    <row r="20" spans="1:11" x14ac:dyDescent="0.25">
      <c r="A20" s="137">
        <v>251</v>
      </c>
      <c r="B20" s="151" t="s">
        <v>348</v>
      </c>
      <c r="C20" s="113"/>
      <c r="D20" s="113"/>
      <c r="E20" s="113" t="s">
        <v>1663</v>
      </c>
      <c r="F20" s="75">
        <v>5</v>
      </c>
      <c r="G20" s="72">
        <f t="shared" si="1"/>
        <v>5</v>
      </c>
      <c r="H20" s="72">
        <f t="shared" si="0"/>
        <v>0</v>
      </c>
      <c r="I20" s="114"/>
      <c r="J20" s="114"/>
      <c r="K20" s="52" t="s">
        <v>1664</v>
      </c>
    </row>
    <row r="21" spans="1:11" ht="25.5" x14ac:dyDescent="0.25">
      <c r="A21" s="137">
        <v>203</v>
      </c>
      <c r="B21" s="151" t="s">
        <v>349</v>
      </c>
      <c r="C21" s="113"/>
      <c r="D21" s="113"/>
      <c r="E21" s="113" t="s">
        <v>1665</v>
      </c>
      <c r="F21" s="75">
        <v>4</v>
      </c>
      <c r="G21" s="72">
        <f t="shared" si="1"/>
        <v>4</v>
      </c>
      <c r="H21" s="72">
        <f t="shared" si="0"/>
        <v>0</v>
      </c>
      <c r="I21" s="114"/>
      <c r="J21" s="114"/>
      <c r="K21" s="52" t="s">
        <v>1666</v>
      </c>
    </row>
    <row r="22" spans="1:11" ht="25.5" x14ac:dyDescent="0.25">
      <c r="A22" s="137">
        <v>251</v>
      </c>
      <c r="B22" s="151" t="s">
        <v>350</v>
      </c>
      <c r="C22" s="113"/>
      <c r="D22" s="113"/>
      <c r="E22" s="113" t="s">
        <v>994</v>
      </c>
      <c r="F22" s="75">
        <v>3</v>
      </c>
      <c r="G22" s="72">
        <f t="shared" si="1"/>
        <v>3</v>
      </c>
      <c r="H22" s="72">
        <f t="shared" si="0"/>
        <v>0</v>
      </c>
      <c r="I22" s="114"/>
      <c r="J22" s="114"/>
      <c r="K22" s="52" t="s">
        <v>1667</v>
      </c>
    </row>
    <row r="23" spans="1:11" ht="25.5" x14ac:dyDescent="0.25">
      <c r="A23" s="137" t="s">
        <v>1668</v>
      </c>
      <c r="B23" s="151" t="s">
        <v>351</v>
      </c>
      <c r="C23" s="113"/>
      <c r="D23" s="113"/>
      <c r="E23" s="113" t="s">
        <v>1669</v>
      </c>
      <c r="F23" s="75">
        <v>4</v>
      </c>
      <c r="G23" s="72">
        <f t="shared" si="1"/>
        <v>4</v>
      </c>
      <c r="H23" s="72">
        <f t="shared" si="0"/>
        <v>0</v>
      </c>
      <c r="I23" s="114"/>
      <c r="J23" s="114"/>
      <c r="K23" s="52" t="s">
        <v>1670</v>
      </c>
    </row>
    <row r="24" spans="1:11" ht="25.5" x14ac:dyDescent="0.25">
      <c r="A24" s="137">
        <v>331</v>
      </c>
      <c r="B24" s="151" t="s">
        <v>352</v>
      </c>
      <c r="C24" s="113"/>
      <c r="D24" s="113"/>
      <c r="E24" s="113" t="s">
        <v>1671</v>
      </c>
      <c r="F24" s="75">
        <v>3</v>
      </c>
      <c r="G24" s="72">
        <f t="shared" si="1"/>
        <v>3</v>
      </c>
      <c r="H24" s="72">
        <f t="shared" si="0"/>
        <v>0</v>
      </c>
      <c r="I24" s="114"/>
      <c r="J24" s="114"/>
      <c r="K24" s="52" t="s">
        <v>1672</v>
      </c>
    </row>
    <row r="25" spans="1:11" ht="25.5" x14ac:dyDescent="0.25">
      <c r="A25" s="137">
        <v>361</v>
      </c>
      <c r="B25" s="151" t="s">
        <v>353</v>
      </c>
      <c r="C25" s="113"/>
      <c r="D25" s="113"/>
      <c r="E25" s="113" t="s">
        <v>1673</v>
      </c>
      <c r="F25" s="75">
        <v>3</v>
      </c>
      <c r="G25" s="72">
        <f t="shared" si="1"/>
        <v>3</v>
      </c>
      <c r="H25" s="72">
        <f t="shared" si="0"/>
        <v>0</v>
      </c>
      <c r="I25" s="114"/>
      <c r="J25" s="114"/>
      <c r="K25" s="52" t="s">
        <v>1674</v>
      </c>
    </row>
    <row r="26" spans="1:11" ht="25.5" x14ac:dyDescent="0.25">
      <c r="A26" s="137">
        <v>313</v>
      </c>
      <c r="B26" s="151" t="s">
        <v>354</v>
      </c>
      <c r="C26" s="113"/>
      <c r="D26" s="113"/>
      <c r="E26" s="113" t="s">
        <v>1675</v>
      </c>
      <c r="F26" s="75">
        <v>3</v>
      </c>
      <c r="G26" s="72">
        <f t="shared" si="1"/>
        <v>3</v>
      </c>
      <c r="H26" s="72">
        <f t="shared" si="0"/>
        <v>0</v>
      </c>
      <c r="I26" s="114"/>
      <c r="J26" s="114"/>
      <c r="K26" s="52" t="s">
        <v>1676</v>
      </c>
    </row>
    <row r="27" spans="1:11" ht="25.5" x14ac:dyDescent="0.25">
      <c r="A27" s="137">
        <v>251</v>
      </c>
      <c r="B27" s="151" t="s">
        <v>355</v>
      </c>
      <c r="C27" s="113"/>
      <c r="D27" s="113"/>
      <c r="E27" s="113" t="s">
        <v>1677</v>
      </c>
      <c r="F27" s="82">
        <v>4</v>
      </c>
      <c r="G27" s="72">
        <f t="shared" si="1"/>
        <v>4</v>
      </c>
      <c r="H27" s="72">
        <f t="shared" si="0"/>
        <v>0</v>
      </c>
      <c r="I27" s="114"/>
      <c r="J27" s="114"/>
      <c r="K27" s="52" t="s">
        <v>1678</v>
      </c>
    </row>
    <row r="28" spans="1:11" x14ac:dyDescent="0.25">
      <c r="A28" s="137">
        <v>251</v>
      </c>
      <c r="B28" s="151" t="s">
        <v>356</v>
      </c>
      <c r="C28" s="165"/>
      <c r="D28" s="165"/>
      <c r="E28" s="113" t="s">
        <v>1679</v>
      </c>
      <c r="F28" s="82">
        <v>5</v>
      </c>
      <c r="G28" s="72">
        <f t="shared" si="1"/>
        <v>5</v>
      </c>
      <c r="H28" s="72">
        <f t="shared" si="0"/>
        <v>0</v>
      </c>
      <c r="I28" s="114"/>
      <c r="J28" s="114"/>
      <c r="K28" s="52" t="s">
        <v>1680</v>
      </c>
    </row>
    <row r="29" spans="1:11" ht="25.5" x14ac:dyDescent="0.25">
      <c r="A29" s="137">
        <v>203</v>
      </c>
      <c r="B29" s="151" t="s">
        <v>357</v>
      </c>
      <c r="C29" s="165"/>
      <c r="D29" s="165"/>
      <c r="E29" s="113" t="s">
        <v>1681</v>
      </c>
      <c r="F29" s="82">
        <v>4</v>
      </c>
      <c r="G29" s="72">
        <f t="shared" si="1"/>
        <v>4</v>
      </c>
      <c r="H29" s="72">
        <f t="shared" si="0"/>
        <v>0</v>
      </c>
      <c r="I29" s="114"/>
      <c r="J29" s="114"/>
      <c r="K29" s="52" t="s">
        <v>1682</v>
      </c>
    </row>
    <row r="30" spans="1:11" ht="25.5" x14ac:dyDescent="0.25">
      <c r="A30" s="137">
        <v>251</v>
      </c>
      <c r="B30" s="151" t="s">
        <v>358</v>
      </c>
      <c r="C30" s="165"/>
      <c r="D30" s="165"/>
      <c r="E30" s="113" t="s">
        <v>1683</v>
      </c>
      <c r="F30" s="82">
        <v>3</v>
      </c>
      <c r="G30" s="72">
        <f t="shared" si="1"/>
        <v>3</v>
      </c>
      <c r="H30" s="72">
        <f t="shared" si="0"/>
        <v>0</v>
      </c>
      <c r="I30" s="114"/>
      <c r="J30" s="114"/>
      <c r="K30" s="52" t="s">
        <v>1684</v>
      </c>
    </row>
    <row r="31" spans="1:11" ht="25.5" x14ac:dyDescent="0.25">
      <c r="A31" s="137" t="s">
        <v>1685</v>
      </c>
      <c r="B31" s="151" t="s">
        <v>359</v>
      </c>
      <c r="C31" s="165"/>
      <c r="D31" s="165"/>
      <c r="E31" s="113" t="s">
        <v>1686</v>
      </c>
      <c r="F31" s="82">
        <v>4</v>
      </c>
      <c r="G31" s="72">
        <f t="shared" si="1"/>
        <v>4</v>
      </c>
      <c r="H31" s="72">
        <f t="shared" si="0"/>
        <v>0</v>
      </c>
      <c r="I31" s="114"/>
      <c r="J31" s="114"/>
      <c r="K31" s="52" t="s">
        <v>1687</v>
      </c>
    </row>
    <row r="32" spans="1:11" ht="38.25" x14ac:dyDescent="0.25">
      <c r="A32" s="137">
        <v>346</v>
      </c>
      <c r="B32" s="151" t="s">
        <v>360</v>
      </c>
      <c r="C32" s="165"/>
      <c r="D32" s="165"/>
      <c r="E32" s="113" t="s">
        <v>1688</v>
      </c>
      <c r="F32" s="82">
        <v>3</v>
      </c>
      <c r="G32" s="72">
        <f t="shared" si="1"/>
        <v>3</v>
      </c>
      <c r="H32" s="72">
        <f t="shared" si="0"/>
        <v>0</v>
      </c>
      <c r="I32" s="114"/>
      <c r="J32" s="114"/>
      <c r="K32" s="52" t="s">
        <v>1689</v>
      </c>
    </row>
    <row r="33" spans="1:11" ht="25.5" x14ac:dyDescent="0.25">
      <c r="A33" s="137">
        <v>346</v>
      </c>
      <c r="B33" s="151" t="s">
        <v>361</v>
      </c>
      <c r="C33" s="165"/>
      <c r="D33" s="165"/>
      <c r="E33" s="113" t="s">
        <v>1690</v>
      </c>
      <c r="F33" s="82">
        <v>3</v>
      </c>
      <c r="G33" s="72">
        <f t="shared" si="1"/>
        <v>3</v>
      </c>
      <c r="H33" s="72">
        <f t="shared" si="0"/>
        <v>0</v>
      </c>
      <c r="I33" s="114"/>
      <c r="J33" s="114"/>
      <c r="K33" s="52" t="s">
        <v>1691</v>
      </c>
    </row>
    <row r="34" spans="1:11" ht="25.5" x14ac:dyDescent="0.25">
      <c r="A34" s="137">
        <v>361</v>
      </c>
      <c r="B34" s="151" t="s">
        <v>362</v>
      </c>
      <c r="C34" s="165"/>
      <c r="D34" s="165"/>
      <c r="E34" s="113" t="s">
        <v>1692</v>
      </c>
      <c r="F34" s="82">
        <v>3</v>
      </c>
      <c r="G34" s="72">
        <f t="shared" si="1"/>
        <v>3</v>
      </c>
      <c r="H34" s="72">
        <f t="shared" si="0"/>
        <v>0</v>
      </c>
      <c r="I34" s="114"/>
      <c r="J34" s="114"/>
      <c r="K34" s="52" t="s">
        <v>1693</v>
      </c>
    </row>
    <row r="35" spans="1:11" ht="25.5" x14ac:dyDescent="0.25">
      <c r="A35" s="137">
        <v>313</v>
      </c>
      <c r="B35" s="151" t="s">
        <v>1694</v>
      </c>
      <c r="C35" s="165"/>
      <c r="D35" s="165"/>
      <c r="E35" s="165" t="s">
        <v>1695</v>
      </c>
      <c r="F35" s="82">
        <v>3</v>
      </c>
      <c r="G35" s="72">
        <f t="shared" si="1"/>
        <v>3</v>
      </c>
      <c r="H35" s="72">
        <f t="shared" si="0"/>
        <v>0</v>
      </c>
      <c r="I35" s="114"/>
      <c r="J35" s="114"/>
      <c r="K35" s="52" t="s">
        <v>1696</v>
      </c>
    </row>
    <row r="36" spans="1:11" x14ac:dyDescent="0.25">
      <c r="F36" s="79">
        <f>SUM(F9:F35)</f>
        <v>100</v>
      </c>
      <c r="G36" s="79">
        <f>SUM(G9:G35)</f>
        <v>100</v>
      </c>
      <c r="H36" s="80">
        <f>SUM(H9:H35)</f>
        <v>0</v>
      </c>
    </row>
    <row r="39" spans="1:11" x14ac:dyDescent="0.25">
      <c r="E39" s="24"/>
      <c r="F39" s="24"/>
      <c r="G39" s="24"/>
      <c r="H39" s="24"/>
    </row>
    <row r="49" spans="5:5" x14ac:dyDescent="0.25">
      <c r="E49" s="24"/>
    </row>
  </sheetData>
  <sheetProtection formatCells="0" selectLockedCells="1"/>
  <mergeCells count="1">
    <mergeCell ref="E6:J6"/>
  </mergeCells>
  <phoneticPr fontId="0" type="noConversion"/>
  <pageMargins left="3.937007874015748E-2" right="3.937007874015748E-2" top="0.94488188976377963" bottom="0.74803149606299213" header="0.19685039370078741" footer="0.31496062992125984"/>
  <pageSetup paperSize="9" scale="73" fitToHeight="0" orientation="portrait" r:id="rId1"/>
  <headerFooter>
    <oddHeader>&amp;L&amp;G&amp;C&amp;A&amp;R</oddHeader>
    <oddFooter>&amp;L&amp;F&amp;C&amp;RPage &amp;P / &amp;N</oddFooter>
  </headerFooter>
  <drawing r:id="rId2"/>
  <legacyDrawing r:id="rId3"/>
  <legacyDrawingHF r:id="rId4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pageSetUpPr fitToPage="1"/>
  </sheetPr>
  <dimension ref="A1:K211"/>
  <sheetViews>
    <sheetView showGridLines="0" zoomScaleNormal="100" workbookViewId="0">
      <pane ySplit="8" topLeftCell="A192" activePane="bottomLeft" state="frozen"/>
      <selection activeCell="B39" sqref="B39:J39"/>
      <selection pane="bottomLeft" activeCell="D6" sqref="D6:J6"/>
    </sheetView>
  </sheetViews>
  <sheetFormatPr defaultRowHeight="15" x14ac:dyDescent="0.25"/>
  <cols>
    <col min="2" max="2" width="51.42578125" bestFit="1" customWidth="1"/>
    <col min="3" max="5" width="10.7109375" style="1" customWidth="1"/>
    <col min="6" max="8" width="10.7109375" style="1" hidden="1" customWidth="1"/>
    <col min="9" max="9" width="46.42578125" style="2" customWidth="1"/>
    <col min="10" max="10" width="20.7109375" customWidth="1"/>
    <col min="11" max="11" width="9.140625" hidden="1" customWidth="1"/>
  </cols>
  <sheetData>
    <row r="1" spans="1:11" ht="15" hidden="1" customHeight="1" x14ac:dyDescent="0.25"/>
    <row r="2" spans="1:11" ht="15" hidden="1" customHeight="1" x14ac:dyDescent="0.25">
      <c r="B2" s="3" t="s">
        <v>1697</v>
      </c>
      <c r="C2" s="3">
        <f>COUNTA(K9:K228)</f>
        <v>175</v>
      </c>
    </row>
    <row r="3" spans="1:11" ht="15" hidden="1" customHeight="1" x14ac:dyDescent="0.25">
      <c r="B3" s="3" t="s">
        <v>1698</v>
      </c>
      <c r="C3" s="4">
        <f xml:space="preserve"> COUNTA(C9:C228)</f>
        <v>0</v>
      </c>
      <c r="E3" s="16"/>
    </row>
    <row r="4" spans="1:11" ht="15" hidden="1" customHeight="1" x14ac:dyDescent="0.25">
      <c r="B4" s="3" t="s">
        <v>1699</v>
      </c>
      <c r="C4" s="4">
        <f xml:space="preserve"> COUNTA(D9:D228)</f>
        <v>0</v>
      </c>
      <c r="E4" s="16"/>
    </row>
    <row r="5" spans="1:11" ht="15" hidden="1" customHeight="1" x14ac:dyDescent="0.25">
      <c r="B5" s="3" t="s">
        <v>1700</v>
      </c>
      <c r="C5" s="4">
        <f xml:space="preserve"> COUNTA(E9:E228)</f>
        <v>175</v>
      </c>
      <c r="D5" s="5"/>
      <c r="E5" s="5">
        <f>SUM(C3:C5)</f>
        <v>175</v>
      </c>
      <c r="F5" s="5"/>
      <c r="G5" s="5"/>
      <c r="H5" s="5"/>
    </row>
    <row r="6" spans="1:11" ht="69.95" customHeight="1" x14ac:dyDescent="0.25">
      <c r="A6" s="221"/>
      <c r="B6" s="226"/>
      <c r="C6" s="226"/>
      <c r="D6" s="220" t="s">
        <v>1747</v>
      </c>
      <c r="E6" s="220"/>
      <c r="F6" s="220"/>
      <c r="G6" s="220"/>
      <c r="H6" s="220"/>
      <c r="I6" s="220"/>
      <c r="J6" s="220"/>
    </row>
    <row r="7" spans="1:11" ht="24.95" customHeight="1" x14ac:dyDescent="0.35">
      <c r="A7" s="222" t="s">
        <v>363</v>
      </c>
      <c r="B7" s="221"/>
      <c r="C7" s="223"/>
      <c r="D7" s="223"/>
      <c r="E7" s="223"/>
      <c r="F7" s="223"/>
      <c r="G7" s="223"/>
      <c r="H7" s="223"/>
      <c r="I7" s="224"/>
      <c r="J7" s="221"/>
    </row>
    <row r="8" spans="1:11" ht="47.85" customHeight="1" x14ac:dyDescent="0.25">
      <c r="A8" s="186" t="s">
        <v>1701</v>
      </c>
      <c r="B8" s="190" t="s">
        <v>1738</v>
      </c>
      <c r="C8" s="102" t="s">
        <v>1702</v>
      </c>
      <c r="D8" s="102" t="s">
        <v>1703</v>
      </c>
      <c r="E8" s="102" t="s">
        <v>1704</v>
      </c>
      <c r="F8" s="100" t="s">
        <v>1705</v>
      </c>
      <c r="G8" s="100" t="s">
        <v>1706</v>
      </c>
      <c r="H8" s="100" t="s">
        <v>1707</v>
      </c>
      <c r="I8" s="187" t="s">
        <v>1708</v>
      </c>
      <c r="J8" s="111" t="s">
        <v>1709</v>
      </c>
    </row>
    <row r="9" spans="1:11" x14ac:dyDescent="0.25">
      <c r="A9" s="6"/>
      <c r="B9" s="6" t="s">
        <v>364</v>
      </c>
      <c r="C9" s="152"/>
      <c r="D9" s="153"/>
      <c r="E9" s="153"/>
      <c r="F9" s="153"/>
      <c r="G9" s="153"/>
      <c r="H9" s="153"/>
      <c r="I9" s="154"/>
      <c r="J9" s="155"/>
    </row>
    <row r="10" spans="1:11" x14ac:dyDescent="0.25">
      <c r="A10" s="145">
        <v>205</v>
      </c>
      <c r="B10" s="145" t="s">
        <v>365</v>
      </c>
      <c r="C10" s="121"/>
      <c r="D10" s="113"/>
      <c r="E10" s="113" t="s">
        <v>1710</v>
      </c>
      <c r="F10" s="116">
        <v>4</v>
      </c>
      <c r="G10" s="20">
        <f t="shared" ref="G10:G15" si="0">IF(E10="X",F10,0)</f>
        <v>4</v>
      </c>
      <c r="H10" s="20">
        <f t="shared" ref="H10:H15" si="1">IF(C10="Y",F10,0)</f>
        <v>0</v>
      </c>
      <c r="I10" s="114"/>
      <c r="J10" s="114"/>
      <c r="K10" t="s">
        <v>1711</v>
      </c>
    </row>
    <row r="11" spans="1:11" x14ac:dyDescent="0.25">
      <c r="A11" s="145">
        <v>205</v>
      </c>
      <c r="B11" s="145" t="s">
        <v>366</v>
      </c>
      <c r="C11" s="121"/>
      <c r="D11" s="113"/>
      <c r="E11" s="113" t="s">
        <v>1712</v>
      </c>
      <c r="F11" s="116">
        <v>5</v>
      </c>
      <c r="G11" s="20">
        <f t="shared" si="0"/>
        <v>5</v>
      </c>
      <c r="H11" s="20">
        <f t="shared" si="1"/>
        <v>0</v>
      </c>
      <c r="I11" s="114"/>
      <c r="J11" s="114"/>
      <c r="K11" t="s">
        <v>1713</v>
      </c>
    </row>
    <row r="12" spans="1:11" ht="25.5" x14ac:dyDescent="0.25">
      <c r="A12" s="145">
        <v>205</v>
      </c>
      <c r="B12" s="145" t="s">
        <v>367</v>
      </c>
      <c r="C12" s="121"/>
      <c r="D12" s="113"/>
      <c r="E12" s="113" t="s">
        <v>1714</v>
      </c>
      <c r="F12" s="116">
        <v>4</v>
      </c>
      <c r="G12" s="20">
        <f t="shared" si="0"/>
        <v>4</v>
      </c>
      <c r="H12" s="20">
        <f t="shared" si="1"/>
        <v>0</v>
      </c>
      <c r="I12" s="114"/>
      <c r="J12" s="114"/>
      <c r="K12" t="s">
        <v>1715</v>
      </c>
    </row>
    <row r="13" spans="1:11" ht="25.5" x14ac:dyDescent="0.25">
      <c r="A13" s="145">
        <v>205</v>
      </c>
      <c r="B13" s="145" t="s">
        <v>368</v>
      </c>
      <c r="C13" s="121"/>
      <c r="D13" s="113"/>
      <c r="E13" s="113" t="s">
        <v>1716</v>
      </c>
      <c r="F13" s="116">
        <v>3</v>
      </c>
      <c r="G13" s="20">
        <f t="shared" si="0"/>
        <v>3</v>
      </c>
      <c r="H13" s="20">
        <f t="shared" si="1"/>
        <v>0</v>
      </c>
      <c r="I13" s="114"/>
      <c r="J13" s="114"/>
      <c r="K13" t="s">
        <v>1717</v>
      </c>
    </row>
    <row r="14" spans="1:11" ht="25.5" x14ac:dyDescent="0.25">
      <c r="A14" s="145" t="s">
        <v>1718</v>
      </c>
      <c r="B14" s="145" t="s">
        <v>369</v>
      </c>
      <c r="C14" s="121"/>
      <c r="D14" s="113"/>
      <c r="E14" s="113" t="s">
        <v>1719</v>
      </c>
      <c r="F14" s="116">
        <v>4</v>
      </c>
      <c r="G14" s="20">
        <f t="shared" si="0"/>
        <v>4</v>
      </c>
      <c r="H14" s="20">
        <f t="shared" si="1"/>
        <v>0</v>
      </c>
      <c r="I14" s="143"/>
      <c r="J14" s="143"/>
      <c r="K14" t="s">
        <v>1720</v>
      </c>
    </row>
    <row r="15" spans="1:11" ht="38.25" x14ac:dyDescent="0.25">
      <c r="A15" s="145">
        <v>313</v>
      </c>
      <c r="B15" s="145" t="s">
        <v>1051</v>
      </c>
      <c r="C15" s="121"/>
      <c r="D15" s="113"/>
      <c r="E15" s="113" t="s">
        <v>1721</v>
      </c>
      <c r="F15" s="116">
        <v>5</v>
      </c>
      <c r="G15" s="20">
        <f t="shared" si="0"/>
        <v>5</v>
      </c>
      <c r="H15" s="20">
        <f t="shared" si="1"/>
        <v>0</v>
      </c>
      <c r="I15" s="114"/>
      <c r="J15" s="114"/>
      <c r="K15" t="s">
        <v>1722</v>
      </c>
    </row>
    <row r="16" spans="1:11" x14ac:dyDescent="0.25">
      <c r="A16" s="66"/>
      <c r="B16" s="12"/>
      <c r="C16" s="156"/>
      <c r="D16" s="157"/>
      <c r="E16" s="157"/>
      <c r="F16" s="158"/>
      <c r="G16" s="158"/>
      <c r="H16" s="158"/>
      <c r="I16" s="159"/>
      <c r="J16" s="160"/>
    </row>
    <row r="17" spans="1:11" x14ac:dyDescent="0.25">
      <c r="A17" s="67"/>
      <c r="B17" s="6" t="s">
        <v>370</v>
      </c>
      <c r="C17" s="155"/>
      <c r="D17" s="161"/>
      <c r="E17" s="161"/>
      <c r="F17" s="162"/>
      <c r="G17" s="162"/>
      <c r="H17" s="162"/>
      <c r="I17" s="154"/>
      <c r="J17" s="155"/>
    </row>
    <row r="18" spans="1:11" ht="25.5" x14ac:dyDescent="0.25">
      <c r="A18" s="145">
        <v>205</v>
      </c>
      <c r="B18" s="145" t="s">
        <v>371</v>
      </c>
      <c r="C18" s="121"/>
      <c r="D18" s="113"/>
      <c r="E18" s="113" t="s">
        <v>1723</v>
      </c>
      <c r="F18" s="116">
        <v>4</v>
      </c>
      <c r="G18" s="20">
        <f>IF(E18="X",F18,0)</f>
        <v>4</v>
      </c>
      <c r="H18" s="20">
        <f t="shared" ref="H18:H25" si="2">IF(C18="Y",F18,0)</f>
        <v>0</v>
      </c>
      <c r="I18" s="114"/>
      <c r="J18" s="114"/>
      <c r="K18" t="s">
        <v>1724</v>
      </c>
    </row>
    <row r="19" spans="1:11" x14ac:dyDescent="0.25">
      <c r="A19" s="145">
        <v>205</v>
      </c>
      <c r="B19" s="145" t="s">
        <v>372</v>
      </c>
      <c r="C19" s="121"/>
      <c r="D19" s="113"/>
      <c r="E19" s="113" t="s">
        <v>1725</v>
      </c>
      <c r="F19" s="116">
        <v>5</v>
      </c>
      <c r="G19" s="20">
        <f t="shared" ref="G19:G25" si="3">IF(E19="X",F19,0)</f>
        <v>5</v>
      </c>
      <c r="H19" s="20">
        <f t="shared" si="2"/>
        <v>0</v>
      </c>
      <c r="I19" s="114"/>
      <c r="J19" s="114"/>
      <c r="K19" t="s">
        <v>1726</v>
      </c>
    </row>
    <row r="20" spans="1:11" ht="25.5" x14ac:dyDescent="0.25">
      <c r="A20" s="145">
        <v>205</v>
      </c>
      <c r="B20" s="145" t="s">
        <v>373</v>
      </c>
      <c r="C20" s="121"/>
      <c r="D20" s="113"/>
      <c r="E20" s="113" t="s">
        <v>1727</v>
      </c>
      <c r="F20" s="116">
        <v>4</v>
      </c>
      <c r="G20" s="20">
        <f t="shared" si="3"/>
        <v>4</v>
      </c>
      <c r="H20" s="20">
        <f t="shared" si="2"/>
        <v>0</v>
      </c>
      <c r="I20" s="114"/>
      <c r="J20" s="114"/>
      <c r="K20" t="s">
        <v>1728</v>
      </c>
    </row>
    <row r="21" spans="1:11" ht="25.5" x14ac:dyDescent="0.25">
      <c r="A21" s="145">
        <v>205</v>
      </c>
      <c r="B21" s="145" t="s">
        <v>374</v>
      </c>
      <c r="C21" s="121"/>
      <c r="D21" s="113"/>
      <c r="E21" s="113" t="s">
        <v>1729</v>
      </c>
      <c r="F21" s="116">
        <v>3</v>
      </c>
      <c r="G21" s="20">
        <f t="shared" si="3"/>
        <v>3</v>
      </c>
      <c r="H21" s="20">
        <f t="shared" si="2"/>
        <v>0</v>
      </c>
      <c r="I21" s="114"/>
      <c r="J21" s="114"/>
      <c r="K21" t="s">
        <v>1730</v>
      </c>
    </row>
    <row r="22" spans="1:11" ht="25.5" x14ac:dyDescent="0.25">
      <c r="A22" s="145" t="s">
        <v>1731</v>
      </c>
      <c r="B22" s="145" t="s">
        <v>375</v>
      </c>
      <c r="C22" s="121"/>
      <c r="D22" s="113"/>
      <c r="E22" s="113" t="s">
        <v>1732</v>
      </c>
      <c r="F22" s="116">
        <v>4</v>
      </c>
      <c r="G22" s="20">
        <f t="shared" si="3"/>
        <v>4</v>
      </c>
      <c r="H22" s="20">
        <f t="shared" si="2"/>
        <v>0</v>
      </c>
      <c r="I22" s="143"/>
      <c r="J22" s="143"/>
      <c r="K22" t="s">
        <v>1733</v>
      </c>
    </row>
    <row r="23" spans="1:11" ht="25.5" x14ac:dyDescent="0.25">
      <c r="A23" s="145" t="s">
        <v>964</v>
      </c>
      <c r="B23" s="145" t="s">
        <v>376</v>
      </c>
      <c r="C23" s="121"/>
      <c r="D23" s="113"/>
      <c r="E23" s="113" t="s">
        <v>1734</v>
      </c>
      <c r="F23" s="116">
        <v>4</v>
      </c>
      <c r="G23" s="20">
        <f t="shared" si="3"/>
        <v>4</v>
      </c>
      <c r="H23" s="20">
        <f t="shared" si="2"/>
        <v>0</v>
      </c>
      <c r="I23" s="114"/>
      <c r="J23" s="114"/>
      <c r="K23" t="s">
        <v>37</v>
      </c>
    </row>
    <row r="24" spans="1:11" ht="38.25" x14ac:dyDescent="0.25">
      <c r="A24" s="145" t="s">
        <v>38</v>
      </c>
      <c r="B24" s="145" t="s">
        <v>502</v>
      </c>
      <c r="C24" s="121"/>
      <c r="D24" s="113"/>
      <c r="E24" s="113" t="s">
        <v>39</v>
      </c>
      <c r="F24" s="116">
        <v>4</v>
      </c>
      <c r="G24" s="20">
        <f t="shared" si="3"/>
        <v>4</v>
      </c>
      <c r="H24" s="20">
        <f t="shared" si="2"/>
        <v>0</v>
      </c>
      <c r="I24" s="114"/>
      <c r="J24" s="114"/>
      <c r="K24" t="s">
        <v>40</v>
      </c>
    </row>
    <row r="25" spans="1:11" ht="25.5" x14ac:dyDescent="0.25">
      <c r="A25" s="145">
        <v>313</v>
      </c>
      <c r="B25" s="145" t="s">
        <v>377</v>
      </c>
      <c r="C25" s="121"/>
      <c r="D25" s="113"/>
      <c r="E25" s="113" t="s">
        <v>41</v>
      </c>
      <c r="F25" s="116">
        <v>5</v>
      </c>
      <c r="G25" s="20">
        <f t="shared" si="3"/>
        <v>5</v>
      </c>
      <c r="H25" s="20">
        <f t="shared" si="2"/>
        <v>0</v>
      </c>
      <c r="I25" s="114"/>
      <c r="J25" s="114"/>
      <c r="K25" t="s">
        <v>42</v>
      </c>
    </row>
    <row r="26" spans="1:11" x14ac:dyDescent="0.25">
      <c r="A26" s="66"/>
      <c r="B26" s="62" t="s">
        <v>43</v>
      </c>
      <c r="C26" s="156"/>
      <c r="D26" s="157"/>
      <c r="E26" s="157"/>
      <c r="F26" s="158"/>
      <c r="G26" s="158"/>
      <c r="H26" s="158"/>
      <c r="I26" s="159"/>
      <c r="J26" s="160"/>
    </row>
    <row r="27" spans="1:11" ht="25.5" x14ac:dyDescent="0.25">
      <c r="A27" s="67"/>
      <c r="B27" s="6" t="s">
        <v>378</v>
      </c>
      <c r="C27" s="155"/>
      <c r="D27" s="161"/>
      <c r="E27" s="161"/>
      <c r="F27" s="162"/>
      <c r="G27" s="162"/>
      <c r="H27" s="162"/>
      <c r="I27" s="163"/>
      <c r="J27" s="155"/>
    </row>
    <row r="28" spans="1:11" ht="25.5" x14ac:dyDescent="0.25">
      <c r="A28" s="145">
        <v>205</v>
      </c>
      <c r="B28" s="145" t="s">
        <v>379</v>
      </c>
      <c r="C28" s="121"/>
      <c r="D28" s="113"/>
      <c r="E28" s="113" t="s">
        <v>44</v>
      </c>
      <c r="F28" s="116">
        <v>4</v>
      </c>
      <c r="G28" s="20">
        <f>IF(E28="X",F28,0)</f>
        <v>4</v>
      </c>
      <c r="H28" s="20">
        <f t="shared" ref="H28:H36" si="4">IF(C28="Y",F28,0)</f>
        <v>0</v>
      </c>
      <c r="I28" s="114"/>
      <c r="J28" s="114"/>
      <c r="K28" t="s">
        <v>45</v>
      </c>
    </row>
    <row r="29" spans="1:11" x14ac:dyDescent="0.25">
      <c r="A29" s="145">
        <v>205</v>
      </c>
      <c r="B29" s="145" t="s">
        <v>380</v>
      </c>
      <c r="C29" s="121"/>
      <c r="D29" s="113"/>
      <c r="E29" s="113" t="s">
        <v>46</v>
      </c>
      <c r="F29" s="116">
        <v>5</v>
      </c>
      <c r="G29" s="20">
        <f t="shared" ref="G29:G36" si="5">IF(E29="X",F29,0)</f>
        <v>5</v>
      </c>
      <c r="H29" s="20">
        <f t="shared" si="4"/>
        <v>0</v>
      </c>
      <c r="I29" s="114"/>
      <c r="J29" s="114"/>
      <c r="K29" t="s">
        <v>47</v>
      </c>
    </row>
    <row r="30" spans="1:11" ht="25.5" x14ac:dyDescent="0.25">
      <c r="A30" s="145">
        <v>205</v>
      </c>
      <c r="B30" s="145" t="s">
        <v>381</v>
      </c>
      <c r="C30" s="121"/>
      <c r="D30" s="113"/>
      <c r="E30" s="113" t="s">
        <v>48</v>
      </c>
      <c r="F30" s="116">
        <v>4</v>
      </c>
      <c r="G30" s="20">
        <f t="shared" si="5"/>
        <v>4</v>
      </c>
      <c r="H30" s="20">
        <f t="shared" si="4"/>
        <v>0</v>
      </c>
      <c r="I30" s="143"/>
      <c r="J30" s="143"/>
      <c r="K30" t="s">
        <v>49</v>
      </c>
    </row>
    <row r="31" spans="1:11" ht="38.25" x14ac:dyDescent="0.25">
      <c r="A31" s="145">
        <v>205</v>
      </c>
      <c r="B31" s="145" t="s">
        <v>382</v>
      </c>
      <c r="C31" s="121"/>
      <c r="D31" s="113"/>
      <c r="E31" s="113" t="s">
        <v>50</v>
      </c>
      <c r="F31" s="116">
        <v>4</v>
      </c>
      <c r="G31" s="20">
        <f t="shared" si="5"/>
        <v>4</v>
      </c>
      <c r="H31" s="20">
        <f t="shared" si="4"/>
        <v>0</v>
      </c>
      <c r="I31" s="114"/>
      <c r="J31" s="114"/>
      <c r="K31" t="s">
        <v>51</v>
      </c>
    </row>
    <row r="32" spans="1:11" ht="38.25" x14ac:dyDescent="0.25">
      <c r="A32" s="145">
        <v>205</v>
      </c>
      <c r="B32" s="145" t="s">
        <v>383</v>
      </c>
      <c r="C32" s="121"/>
      <c r="D32" s="113"/>
      <c r="E32" s="113" t="s">
        <v>52</v>
      </c>
      <c r="F32" s="116">
        <v>4</v>
      </c>
      <c r="G32" s="20">
        <f t="shared" si="5"/>
        <v>4</v>
      </c>
      <c r="H32" s="20">
        <f t="shared" si="4"/>
        <v>0</v>
      </c>
      <c r="I32" s="114"/>
      <c r="J32" s="114"/>
      <c r="K32" t="s">
        <v>53</v>
      </c>
    </row>
    <row r="33" spans="1:11" ht="25.5" x14ac:dyDescent="0.25">
      <c r="A33" s="145" t="s">
        <v>54</v>
      </c>
      <c r="B33" s="145" t="s">
        <v>384</v>
      </c>
      <c r="C33" s="121"/>
      <c r="D33" s="113"/>
      <c r="E33" s="113" t="s">
        <v>55</v>
      </c>
      <c r="F33" s="116">
        <v>4</v>
      </c>
      <c r="G33" s="20">
        <f t="shared" si="5"/>
        <v>4</v>
      </c>
      <c r="H33" s="20">
        <f t="shared" si="4"/>
        <v>0</v>
      </c>
      <c r="I33" s="114"/>
      <c r="J33" s="114"/>
      <c r="K33" t="s">
        <v>56</v>
      </c>
    </row>
    <row r="34" spans="1:11" ht="38.25" x14ac:dyDescent="0.25">
      <c r="A34" s="145" t="s">
        <v>965</v>
      </c>
      <c r="B34" s="145" t="s">
        <v>503</v>
      </c>
      <c r="C34" s="121"/>
      <c r="D34" s="113"/>
      <c r="E34" s="113" t="s">
        <v>57</v>
      </c>
      <c r="F34" s="116">
        <v>4</v>
      </c>
      <c r="G34" s="20">
        <f t="shared" si="5"/>
        <v>4</v>
      </c>
      <c r="H34" s="20">
        <f t="shared" si="4"/>
        <v>0</v>
      </c>
      <c r="I34" s="114"/>
      <c r="J34" s="114"/>
      <c r="K34" t="s">
        <v>58</v>
      </c>
    </row>
    <row r="35" spans="1:11" ht="51" x14ac:dyDescent="0.25">
      <c r="A35" s="145" t="s">
        <v>59</v>
      </c>
      <c r="B35" s="145" t="s">
        <v>504</v>
      </c>
      <c r="C35" s="121"/>
      <c r="D35" s="113"/>
      <c r="E35" s="113" t="s">
        <v>60</v>
      </c>
      <c r="F35" s="116">
        <v>4</v>
      </c>
      <c r="G35" s="20">
        <f t="shared" si="5"/>
        <v>4</v>
      </c>
      <c r="H35" s="20">
        <f t="shared" si="4"/>
        <v>0</v>
      </c>
      <c r="I35" s="114"/>
      <c r="J35" s="114"/>
      <c r="K35" t="s">
        <v>61</v>
      </c>
    </row>
    <row r="36" spans="1:11" ht="38.25" x14ac:dyDescent="0.25">
      <c r="A36" s="145">
        <v>313</v>
      </c>
      <c r="B36" s="145" t="s">
        <v>385</v>
      </c>
      <c r="C36" s="121"/>
      <c r="D36" s="113"/>
      <c r="E36" s="113" t="s">
        <v>62</v>
      </c>
      <c r="F36" s="116">
        <v>5</v>
      </c>
      <c r="G36" s="20">
        <f t="shared" si="5"/>
        <v>5</v>
      </c>
      <c r="H36" s="20">
        <f t="shared" si="4"/>
        <v>0</v>
      </c>
      <c r="I36" s="143"/>
      <c r="J36" s="143"/>
      <c r="K36" t="s">
        <v>63</v>
      </c>
    </row>
    <row r="37" spans="1:11" x14ac:dyDescent="0.25">
      <c r="A37" s="66"/>
      <c r="B37" s="62"/>
      <c r="C37" s="156"/>
      <c r="D37" s="157"/>
      <c r="E37" s="157"/>
      <c r="F37" s="158"/>
      <c r="G37" s="158"/>
      <c r="H37" s="158"/>
      <c r="I37" s="164"/>
      <c r="J37" s="160"/>
    </row>
    <row r="38" spans="1:11" x14ac:dyDescent="0.25">
      <c r="A38" s="67"/>
      <c r="B38" s="6" t="s">
        <v>386</v>
      </c>
      <c r="C38" s="155"/>
      <c r="D38" s="161"/>
      <c r="E38" s="161"/>
      <c r="F38" s="162"/>
      <c r="G38" s="162"/>
      <c r="H38" s="162"/>
      <c r="I38" s="163"/>
      <c r="J38" s="155"/>
    </row>
    <row r="39" spans="1:11" ht="25.5" x14ac:dyDescent="0.25">
      <c r="A39" s="145">
        <v>205</v>
      </c>
      <c r="B39" s="145" t="s">
        <v>387</v>
      </c>
      <c r="C39" s="121"/>
      <c r="D39" s="113"/>
      <c r="E39" s="113" t="s">
        <v>64</v>
      </c>
      <c r="F39" s="116">
        <v>4</v>
      </c>
      <c r="G39" s="20">
        <f>IF(E39="X",F39,0)</f>
        <v>4</v>
      </c>
      <c r="H39" s="20">
        <f t="shared" ref="H39:H45" si="6">IF(C39="Y",F39,0)</f>
        <v>0</v>
      </c>
      <c r="I39" s="114"/>
      <c r="J39" s="114"/>
      <c r="K39" t="s">
        <v>65</v>
      </c>
    </row>
    <row r="40" spans="1:11" ht="25.5" x14ac:dyDescent="0.25">
      <c r="A40" s="145">
        <v>205</v>
      </c>
      <c r="B40" s="145" t="s">
        <v>388</v>
      </c>
      <c r="C40" s="121"/>
      <c r="D40" s="113"/>
      <c r="E40" s="113" t="s">
        <v>66</v>
      </c>
      <c r="F40" s="116">
        <v>5</v>
      </c>
      <c r="G40" s="20">
        <f t="shared" ref="G40:G45" si="7">IF(E40="X",F40,0)</f>
        <v>5</v>
      </c>
      <c r="H40" s="20">
        <f t="shared" si="6"/>
        <v>0</v>
      </c>
      <c r="I40" s="114"/>
      <c r="J40" s="114"/>
      <c r="K40" t="s">
        <v>67</v>
      </c>
    </row>
    <row r="41" spans="1:11" ht="38.25" x14ac:dyDescent="0.25">
      <c r="A41" s="145">
        <v>205</v>
      </c>
      <c r="B41" s="145" t="s">
        <v>68</v>
      </c>
      <c r="C41" s="121"/>
      <c r="D41" s="113"/>
      <c r="E41" s="113" t="s">
        <v>69</v>
      </c>
      <c r="F41" s="116">
        <v>4</v>
      </c>
      <c r="G41" s="20">
        <f t="shared" si="7"/>
        <v>4</v>
      </c>
      <c r="H41" s="20">
        <f t="shared" si="6"/>
        <v>0</v>
      </c>
      <c r="I41" s="114"/>
      <c r="J41" s="114"/>
      <c r="K41" t="s">
        <v>70</v>
      </c>
    </row>
    <row r="42" spans="1:11" ht="38.25" x14ac:dyDescent="0.25">
      <c r="A42" s="145">
        <v>205</v>
      </c>
      <c r="B42" s="145" t="s">
        <v>71</v>
      </c>
      <c r="C42" s="121"/>
      <c r="D42" s="113"/>
      <c r="E42" s="113" t="s">
        <v>72</v>
      </c>
      <c r="F42" s="116">
        <v>4</v>
      </c>
      <c r="G42" s="20">
        <f t="shared" si="7"/>
        <v>4</v>
      </c>
      <c r="H42" s="20">
        <f t="shared" si="6"/>
        <v>0</v>
      </c>
      <c r="I42" s="114"/>
      <c r="J42" s="114"/>
      <c r="K42" t="s">
        <v>73</v>
      </c>
    </row>
    <row r="43" spans="1:11" ht="38.25" x14ac:dyDescent="0.25">
      <c r="A43" s="145">
        <v>871</v>
      </c>
      <c r="B43" s="145" t="s">
        <v>389</v>
      </c>
      <c r="C43" s="121"/>
      <c r="D43" s="113"/>
      <c r="E43" s="113" t="s">
        <v>74</v>
      </c>
      <c r="F43" s="116">
        <v>4</v>
      </c>
      <c r="G43" s="20">
        <f t="shared" si="7"/>
        <v>4</v>
      </c>
      <c r="H43" s="20">
        <f t="shared" si="6"/>
        <v>0</v>
      </c>
      <c r="I43" s="114"/>
      <c r="J43" s="114"/>
      <c r="K43" t="s">
        <v>75</v>
      </c>
    </row>
    <row r="44" spans="1:11" ht="38.25" x14ac:dyDescent="0.25">
      <c r="A44" s="145">
        <v>872</v>
      </c>
      <c r="B44" s="145" t="s">
        <v>505</v>
      </c>
      <c r="C44" s="121"/>
      <c r="D44" s="113"/>
      <c r="E44" s="113" t="s">
        <v>76</v>
      </c>
      <c r="F44" s="116">
        <v>5</v>
      </c>
      <c r="G44" s="20">
        <f t="shared" si="7"/>
        <v>5</v>
      </c>
      <c r="H44" s="20">
        <f t="shared" si="6"/>
        <v>0</v>
      </c>
      <c r="I44" s="114"/>
      <c r="J44" s="114"/>
      <c r="K44" t="s">
        <v>77</v>
      </c>
    </row>
    <row r="45" spans="1:11" ht="38.25" x14ac:dyDescent="0.25">
      <c r="A45" s="145">
        <v>313</v>
      </c>
      <c r="B45" s="145" t="s">
        <v>78</v>
      </c>
      <c r="C45" s="121"/>
      <c r="D45" s="113"/>
      <c r="E45" s="113" t="s">
        <v>79</v>
      </c>
      <c r="F45" s="116">
        <v>5</v>
      </c>
      <c r="G45" s="20">
        <f t="shared" si="7"/>
        <v>5</v>
      </c>
      <c r="H45" s="20">
        <f t="shared" si="6"/>
        <v>0</v>
      </c>
      <c r="I45" s="114"/>
      <c r="J45" s="114"/>
      <c r="K45" t="s">
        <v>80</v>
      </c>
    </row>
    <row r="46" spans="1:11" x14ac:dyDescent="0.25">
      <c r="A46" s="66"/>
      <c r="B46" s="62"/>
      <c r="C46" s="156"/>
      <c r="D46" s="157"/>
      <c r="E46" s="157"/>
      <c r="F46" s="158"/>
      <c r="G46" s="158"/>
      <c r="H46" s="158"/>
      <c r="I46" s="164"/>
      <c r="J46" s="160"/>
    </row>
    <row r="47" spans="1:11" x14ac:dyDescent="0.25">
      <c r="A47" s="67">
        <v>401.00099999999998</v>
      </c>
      <c r="B47" s="6" t="s">
        <v>1036</v>
      </c>
      <c r="C47" s="155"/>
      <c r="D47" s="161"/>
      <c r="E47" s="161"/>
      <c r="F47" s="162"/>
      <c r="G47" s="162"/>
      <c r="H47" s="162"/>
      <c r="I47" s="163"/>
      <c r="J47" s="155"/>
    </row>
    <row r="48" spans="1:11" ht="25.5" x14ac:dyDescent="0.25">
      <c r="A48" s="145">
        <v>401.00099999999998</v>
      </c>
      <c r="B48" s="145" t="s">
        <v>390</v>
      </c>
      <c r="C48" s="121"/>
      <c r="D48" s="113"/>
      <c r="E48" s="113" t="s">
        <v>81</v>
      </c>
      <c r="F48" s="116">
        <v>4</v>
      </c>
      <c r="G48" s="20">
        <f>IF(E48="X",F48,0)</f>
        <v>4</v>
      </c>
      <c r="H48" s="20">
        <f t="shared" ref="H48:H56" si="8">IF(C48="Y",F48,0)</f>
        <v>0</v>
      </c>
      <c r="I48" s="114"/>
      <c r="J48" s="114"/>
      <c r="K48" t="s">
        <v>82</v>
      </c>
    </row>
    <row r="49" spans="1:11" ht="38.25" x14ac:dyDescent="0.25">
      <c r="A49" s="145" t="s">
        <v>967</v>
      </c>
      <c r="B49" s="145" t="s">
        <v>506</v>
      </c>
      <c r="C49" s="121"/>
      <c r="D49" s="113"/>
      <c r="E49" s="113" t="s">
        <v>83</v>
      </c>
      <c r="F49" s="116">
        <v>4</v>
      </c>
      <c r="G49" s="20">
        <f t="shared" ref="G49:G56" si="9">IF(E49="X",F49,0)</f>
        <v>4</v>
      </c>
      <c r="H49" s="20">
        <f t="shared" si="8"/>
        <v>0</v>
      </c>
      <c r="I49" s="114"/>
      <c r="J49" s="114"/>
      <c r="K49" t="s">
        <v>84</v>
      </c>
    </row>
    <row r="50" spans="1:11" ht="25.5" x14ac:dyDescent="0.25">
      <c r="A50" s="145">
        <v>811</v>
      </c>
      <c r="B50" s="145" t="s">
        <v>391</v>
      </c>
      <c r="C50" s="121"/>
      <c r="D50" s="113"/>
      <c r="E50" s="113" t="s">
        <v>85</v>
      </c>
      <c r="F50" s="116">
        <v>4</v>
      </c>
      <c r="G50" s="20">
        <f t="shared" si="9"/>
        <v>4</v>
      </c>
      <c r="H50" s="20">
        <f t="shared" si="8"/>
        <v>0</v>
      </c>
      <c r="I50" s="114"/>
      <c r="J50" s="114"/>
      <c r="K50" t="s">
        <v>86</v>
      </c>
    </row>
    <row r="51" spans="1:11" ht="38.25" x14ac:dyDescent="0.25">
      <c r="A51" s="145" t="s">
        <v>968</v>
      </c>
      <c r="B51" s="145" t="s">
        <v>392</v>
      </c>
      <c r="C51" s="121"/>
      <c r="D51" s="113"/>
      <c r="E51" s="113" t="s">
        <v>87</v>
      </c>
      <c r="F51" s="116">
        <v>4</v>
      </c>
      <c r="G51" s="20">
        <f t="shared" si="9"/>
        <v>4</v>
      </c>
      <c r="H51" s="20">
        <f t="shared" si="8"/>
        <v>0</v>
      </c>
      <c r="I51" s="114"/>
      <c r="J51" s="114"/>
      <c r="K51" t="s">
        <v>88</v>
      </c>
    </row>
    <row r="52" spans="1:11" ht="38.25" x14ac:dyDescent="0.25">
      <c r="A52" s="145" t="s">
        <v>89</v>
      </c>
      <c r="B52" s="145" t="s">
        <v>393</v>
      </c>
      <c r="C52" s="121"/>
      <c r="D52" s="113"/>
      <c r="E52" s="113" t="s">
        <v>90</v>
      </c>
      <c r="F52" s="116">
        <v>4</v>
      </c>
      <c r="G52" s="20">
        <f t="shared" si="9"/>
        <v>4</v>
      </c>
      <c r="H52" s="20">
        <f t="shared" si="8"/>
        <v>0</v>
      </c>
      <c r="I52" s="114"/>
      <c r="J52" s="114"/>
      <c r="K52" t="s">
        <v>91</v>
      </c>
    </row>
    <row r="53" spans="1:11" ht="38.25" x14ac:dyDescent="0.25">
      <c r="A53" s="145">
        <v>401.05599999999998</v>
      </c>
      <c r="B53" s="145" t="s">
        <v>394</v>
      </c>
      <c r="C53" s="121"/>
      <c r="D53" s="113"/>
      <c r="E53" s="113" t="s">
        <v>92</v>
      </c>
      <c r="F53" s="116">
        <v>5</v>
      </c>
      <c r="G53" s="20">
        <f t="shared" si="9"/>
        <v>5</v>
      </c>
      <c r="H53" s="20">
        <f t="shared" si="8"/>
        <v>0</v>
      </c>
      <c r="I53" s="114"/>
      <c r="J53" s="114"/>
      <c r="K53" t="s">
        <v>93</v>
      </c>
    </row>
    <row r="54" spans="1:11" ht="25.5" x14ac:dyDescent="0.25">
      <c r="A54" s="145">
        <v>451</v>
      </c>
      <c r="B54" s="145" t="s">
        <v>395</v>
      </c>
      <c r="C54" s="121"/>
      <c r="D54" s="113"/>
      <c r="E54" s="113" t="s">
        <v>94</v>
      </c>
      <c r="F54" s="116">
        <v>4</v>
      </c>
      <c r="G54" s="20">
        <f t="shared" si="9"/>
        <v>4</v>
      </c>
      <c r="H54" s="20">
        <f t="shared" si="8"/>
        <v>0</v>
      </c>
      <c r="I54" s="114"/>
      <c r="J54" s="114"/>
      <c r="K54" t="s">
        <v>95</v>
      </c>
    </row>
    <row r="55" spans="1:11" ht="38.25" x14ac:dyDescent="0.25">
      <c r="A55" s="159">
        <v>461.00099999999998</v>
      </c>
      <c r="B55" s="145" t="s">
        <v>1743</v>
      </c>
      <c r="C55" s="121"/>
      <c r="D55" s="113"/>
      <c r="E55" s="113" t="s">
        <v>96</v>
      </c>
      <c r="F55" s="116">
        <v>4</v>
      </c>
      <c r="G55" s="20">
        <f t="shared" si="9"/>
        <v>4</v>
      </c>
      <c r="H55" s="20">
        <f t="shared" si="8"/>
        <v>0</v>
      </c>
      <c r="I55" s="114"/>
      <c r="J55" s="114"/>
      <c r="K55" t="s">
        <v>97</v>
      </c>
    </row>
    <row r="56" spans="1:11" ht="38.25" x14ac:dyDescent="0.25">
      <c r="A56" s="159" t="s">
        <v>966</v>
      </c>
      <c r="B56" s="145" t="s">
        <v>1760</v>
      </c>
      <c r="C56" s="121"/>
      <c r="D56" s="113"/>
      <c r="E56" s="113" t="s">
        <v>98</v>
      </c>
      <c r="F56" s="116">
        <v>4</v>
      </c>
      <c r="G56" s="20">
        <f t="shared" si="9"/>
        <v>4</v>
      </c>
      <c r="H56" s="20">
        <f t="shared" si="8"/>
        <v>0</v>
      </c>
      <c r="I56" s="114"/>
      <c r="J56" s="114"/>
      <c r="K56" t="s">
        <v>99</v>
      </c>
    </row>
    <row r="57" spans="1:11" x14ac:dyDescent="0.25">
      <c r="A57" s="68"/>
      <c r="B57" s="7"/>
      <c r="C57" s="157"/>
      <c r="D57" s="157"/>
      <c r="E57" s="157"/>
      <c r="F57" s="158"/>
      <c r="G57" s="158"/>
      <c r="H57" s="158"/>
      <c r="I57" s="164"/>
      <c r="J57" s="160"/>
    </row>
    <row r="58" spans="1:11" x14ac:dyDescent="0.25">
      <c r="A58" s="67">
        <v>401.00099999999998</v>
      </c>
      <c r="B58" s="6" t="s">
        <v>1037</v>
      </c>
      <c r="C58" s="161"/>
      <c r="D58" s="161"/>
      <c r="E58" s="161"/>
      <c r="F58" s="162"/>
      <c r="G58" s="162"/>
      <c r="H58" s="162"/>
      <c r="I58" s="163"/>
      <c r="J58" s="155"/>
    </row>
    <row r="59" spans="1:11" ht="25.5" x14ac:dyDescent="0.25">
      <c r="A59" s="145">
        <v>401.00099999999998</v>
      </c>
      <c r="B59" s="145" t="s">
        <v>100</v>
      </c>
      <c r="C59" s="113"/>
      <c r="D59" s="113"/>
      <c r="E59" s="113" t="s">
        <v>101</v>
      </c>
      <c r="F59" s="116">
        <v>4</v>
      </c>
      <c r="G59" s="20">
        <f>IF(E59="X",F59,0)</f>
        <v>4</v>
      </c>
      <c r="H59" s="20">
        <f t="shared" ref="H59:H67" si="10">IF(C59="Y",F59,0)</f>
        <v>0</v>
      </c>
      <c r="I59" s="114"/>
      <c r="J59" s="114"/>
      <c r="K59" t="s">
        <v>102</v>
      </c>
    </row>
    <row r="60" spans="1:11" ht="38.25" x14ac:dyDescent="0.25">
      <c r="A60" s="145" t="s">
        <v>103</v>
      </c>
      <c r="B60" s="145" t="s">
        <v>104</v>
      </c>
      <c r="C60" s="113"/>
      <c r="D60" s="113"/>
      <c r="E60" s="113" t="s">
        <v>105</v>
      </c>
      <c r="F60" s="116">
        <v>4</v>
      </c>
      <c r="G60" s="20">
        <f t="shared" ref="G60:G67" si="11">IF(E60="X",F60,0)</f>
        <v>4</v>
      </c>
      <c r="H60" s="20">
        <f t="shared" si="10"/>
        <v>0</v>
      </c>
      <c r="I60" s="114"/>
      <c r="J60" s="114"/>
      <c r="K60" t="s">
        <v>106</v>
      </c>
    </row>
    <row r="61" spans="1:11" ht="25.5" x14ac:dyDescent="0.25">
      <c r="A61" s="145">
        <v>811</v>
      </c>
      <c r="B61" s="145" t="s">
        <v>107</v>
      </c>
      <c r="C61" s="113"/>
      <c r="D61" s="113"/>
      <c r="E61" s="113" t="s">
        <v>108</v>
      </c>
      <c r="F61" s="116">
        <v>4</v>
      </c>
      <c r="G61" s="20">
        <f t="shared" si="11"/>
        <v>4</v>
      </c>
      <c r="H61" s="20">
        <f t="shared" si="10"/>
        <v>0</v>
      </c>
      <c r="I61" s="114"/>
      <c r="J61" s="114"/>
      <c r="K61" t="s">
        <v>109</v>
      </c>
    </row>
    <row r="62" spans="1:11" ht="38.25" x14ac:dyDescent="0.25">
      <c r="A62" s="145" t="s">
        <v>110</v>
      </c>
      <c r="B62" s="145" t="s">
        <v>111</v>
      </c>
      <c r="C62" s="113"/>
      <c r="D62" s="113"/>
      <c r="E62" s="113" t="s">
        <v>112</v>
      </c>
      <c r="F62" s="116">
        <v>4</v>
      </c>
      <c r="G62" s="20">
        <f t="shared" si="11"/>
        <v>4</v>
      </c>
      <c r="H62" s="20">
        <f t="shared" si="10"/>
        <v>0</v>
      </c>
      <c r="I62" s="114"/>
      <c r="J62" s="114"/>
      <c r="K62" t="s">
        <v>113</v>
      </c>
    </row>
    <row r="63" spans="1:11" ht="38.25" x14ac:dyDescent="0.25">
      <c r="A63" s="145" t="s">
        <v>114</v>
      </c>
      <c r="B63" s="145" t="s">
        <v>115</v>
      </c>
      <c r="C63" s="113"/>
      <c r="D63" s="113"/>
      <c r="E63" s="113" t="s">
        <v>116</v>
      </c>
      <c r="F63" s="116">
        <v>4</v>
      </c>
      <c r="G63" s="20">
        <f t="shared" si="11"/>
        <v>4</v>
      </c>
      <c r="H63" s="20">
        <f t="shared" si="10"/>
        <v>0</v>
      </c>
      <c r="I63" s="114"/>
      <c r="J63" s="114"/>
      <c r="K63" t="s">
        <v>117</v>
      </c>
    </row>
    <row r="64" spans="1:11" ht="38.25" x14ac:dyDescent="0.25">
      <c r="A64" s="145">
        <v>401.05599999999998</v>
      </c>
      <c r="B64" s="145" t="s">
        <v>118</v>
      </c>
      <c r="C64" s="113"/>
      <c r="D64" s="113"/>
      <c r="E64" s="113" t="s">
        <v>119</v>
      </c>
      <c r="F64" s="116">
        <v>5</v>
      </c>
      <c r="G64" s="20">
        <f t="shared" si="11"/>
        <v>5</v>
      </c>
      <c r="H64" s="20">
        <f t="shared" si="10"/>
        <v>0</v>
      </c>
      <c r="I64" s="114"/>
      <c r="J64" s="114"/>
      <c r="K64" t="s">
        <v>120</v>
      </c>
    </row>
    <row r="65" spans="1:11" ht="25.5" x14ac:dyDescent="0.25">
      <c r="A65" s="145">
        <v>451</v>
      </c>
      <c r="B65" s="145" t="s">
        <v>121</v>
      </c>
      <c r="C65" s="113"/>
      <c r="D65" s="113"/>
      <c r="E65" s="113" t="s">
        <v>122</v>
      </c>
      <c r="F65" s="116">
        <v>4</v>
      </c>
      <c r="G65" s="20">
        <f t="shared" si="11"/>
        <v>4</v>
      </c>
      <c r="H65" s="20">
        <f t="shared" si="10"/>
        <v>0</v>
      </c>
      <c r="I65" s="114"/>
      <c r="J65" s="114"/>
      <c r="K65" t="s">
        <v>123</v>
      </c>
    </row>
    <row r="66" spans="1:11" ht="38.25" x14ac:dyDescent="0.25">
      <c r="A66" s="159">
        <v>461.00099999999998</v>
      </c>
      <c r="B66" s="145" t="s">
        <v>1742</v>
      </c>
      <c r="C66" s="113"/>
      <c r="D66" s="113"/>
      <c r="E66" s="113" t="s">
        <v>124</v>
      </c>
      <c r="F66" s="116">
        <v>4</v>
      </c>
      <c r="G66" s="20">
        <f t="shared" si="11"/>
        <v>4</v>
      </c>
      <c r="H66" s="20">
        <f t="shared" si="10"/>
        <v>0</v>
      </c>
      <c r="I66" s="114"/>
      <c r="J66" s="114"/>
      <c r="K66" t="s">
        <v>125</v>
      </c>
    </row>
    <row r="67" spans="1:11" ht="38.25" x14ac:dyDescent="0.25">
      <c r="A67" s="159" t="s">
        <v>126</v>
      </c>
      <c r="B67" s="145" t="s">
        <v>1761</v>
      </c>
      <c r="C67" s="113"/>
      <c r="D67" s="113"/>
      <c r="E67" s="113" t="s">
        <v>127</v>
      </c>
      <c r="F67" s="116">
        <v>4</v>
      </c>
      <c r="G67" s="20">
        <f t="shared" si="11"/>
        <v>4</v>
      </c>
      <c r="H67" s="20">
        <f t="shared" si="10"/>
        <v>0</v>
      </c>
      <c r="I67" s="114"/>
      <c r="J67" s="114"/>
      <c r="K67" t="s">
        <v>128</v>
      </c>
    </row>
    <row r="68" spans="1:11" x14ac:dyDescent="0.25">
      <c r="A68" s="68"/>
      <c r="B68" s="7"/>
      <c r="C68" s="157"/>
      <c r="D68" s="157"/>
      <c r="E68" s="157"/>
      <c r="F68" s="158"/>
      <c r="G68" s="158"/>
      <c r="H68" s="158"/>
      <c r="I68" s="164"/>
      <c r="J68" s="160"/>
    </row>
    <row r="69" spans="1:11" x14ac:dyDescent="0.25">
      <c r="A69" s="67">
        <v>401.00099999999998</v>
      </c>
      <c r="B69" s="6" t="s">
        <v>1038</v>
      </c>
      <c r="C69" s="161"/>
      <c r="D69" s="161"/>
      <c r="E69" s="161"/>
      <c r="F69" s="162"/>
      <c r="G69" s="162"/>
      <c r="H69" s="162"/>
      <c r="I69" s="163"/>
      <c r="J69" s="155"/>
    </row>
    <row r="70" spans="1:11" ht="25.5" x14ac:dyDescent="0.25">
      <c r="A70" s="145">
        <v>401.00099999999998</v>
      </c>
      <c r="B70" s="145" t="s">
        <v>129</v>
      </c>
      <c r="C70" s="113"/>
      <c r="D70" s="113"/>
      <c r="E70" s="113" t="s">
        <v>130</v>
      </c>
      <c r="F70" s="116">
        <v>4</v>
      </c>
      <c r="G70" s="20">
        <f>IF(E70="X",F70,0)</f>
        <v>4</v>
      </c>
      <c r="H70" s="20">
        <f t="shared" ref="H70:H78" si="12">IF(C70="Y",F70,0)</f>
        <v>0</v>
      </c>
      <c r="I70" s="114"/>
      <c r="J70" s="114"/>
      <c r="K70" t="s">
        <v>131</v>
      </c>
    </row>
    <row r="71" spans="1:11" ht="38.25" x14ac:dyDescent="0.25">
      <c r="A71" s="145" t="s">
        <v>132</v>
      </c>
      <c r="B71" s="145" t="s">
        <v>133</v>
      </c>
      <c r="C71" s="113"/>
      <c r="D71" s="113"/>
      <c r="E71" s="113" t="s">
        <v>134</v>
      </c>
      <c r="F71" s="116">
        <v>4</v>
      </c>
      <c r="G71" s="20">
        <f t="shared" ref="G71:G78" si="13">IF(E71="X",F71,0)</f>
        <v>4</v>
      </c>
      <c r="H71" s="20">
        <f t="shared" si="12"/>
        <v>0</v>
      </c>
      <c r="I71" s="114"/>
      <c r="J71" s="114"/>
      <c r="K71" t="s">
        <v>135</v>
      </c>
    </row>
    <row r="72" spans="1:11" ht="25.5" x14ac:dyDescent="0.25">
      <c r="A72" s="145">
        <v>811</v>
      </c>
      <c r="B72" s="145" t="s">
        <v>136</v>
      </c>
      <c r="C72" s="113"/>
      <c r="D72" s="113"/>
      <c r="E72" s="113" t="s">
        <v>137</v>
      </c>
      <c r="F72" s="116">
        <v>4</v>
      </c>
      <c r="G72" s="20">
        <f t="shared" si="13"/>
        <v>4</v>
      </c>
      <c r="H72" s="20">
        <f t="shared" si="12"/>
        <v>0</v>
      </c>
      <c r="I72" s="114"/>
      <c r="J72" s="114"/>
      <c r="K72" t="s">
        <v>138</v>
      </c>
    </row>
    <row r="73" spans="1:11" ht="38.25" x14ac:dyDescent="0.25">
      <c r="A73" s="145" t="s">
        <v>139</v>
      </c>
      <c r="B73" s="145" t="s">
        <v>140</v>
      </c>
      <c r="C73" s="113"/>
      <c r="D73" s="113"/>
      <c r="E73" s="113" t="s">
        <v>141</v>
      </c>
      <c r="F73" s="116">
        <v>4</v>
      </c>
      <c r="G73" s="20">
        <f t="shared" si="13"/>
        <v>4</v>
      </c>
      <c r="H73" s="20">
        <f t="shared" si="12"/>
        <v>0</v>
      </c>
      <c r="I73" s="114"/>
      <c r="J73" s="114"/>
      <c r="K73" t="s">
        <v>142</v>
      </c>
    </row>
    <row r="74" spans="1:11" ht="38.25" x14ac:dyDescent="0.25">
      <c r="A74" s="145" t="s">
        <v>143</v>
      </c>
      <c r="B74" s="145" t="s">
        <v>144</v>
      </c>
      <c r="C74" s="113"/>
      <c r="D74" s="113"/>
      <c r="E74" s="113" t="s">
        <v>145</v>
      </c>
      <c r="F74" s="116">
        <v>4</v>
      </c>
      <c r="G74" s="20">
        <f t="shared" si="13"/>
        <v>4</v>
      </c>
      <c r="H74" s="20">
        <f t="shared" si="12"/>
        <v>0</v>
      </c>
      <c r="I74" s="114"/>
      <c r="J74" s="114"/>
      <c r="K74" t="s">
        <v>146</v>
      </c>
    </row>
    <row r="75" spans="1:11" ht="38.25" x14ac:dyDescent="0.25">
      <c r="A75" s="145">
        <v>401.05599999999998</v>
      </c>
      <c r="B75" s="145" t="s">
        <v>147</v>
      </c>
      <c r="C75" s="113"/>
      <c r="D75" s="113"/>
      <c r="E75" s="113" t="s">
        <v>148</v>
      </c>
      <c r="F75" s="116">
        <v>5</v>
      </c>
      <c r="G75" s="20">
        <f t="shared" si="13"/>
        <v>5</v>
      </c>
      <c r="H75" s="20">
        <f t="shared" si="12"/>
        <v>0</v>
      </c>
      <c r="I75" s="114"/>
      <c r="J75" s="114"/>
      <c r="K75" t="s">
        <v>149</v>
      </c>
    </row>
    <row r="76" spans="1:11" ht="25.5" x14ac:dyDescent="0.25">
      <c r="A76" s="145">
        <v>451</v>
      </c>
      <c r="B76" s="145" t="s">
        <v>150</v>
      </c>
      <c r="C76" s="113"/>
      <c r="D76" s="113"/>
      <c r="E76" s="113" t="s">
        <v>151</v>
      </c>
      <c r="F76" s="116">
        <v>4</v>
      </c>
      <c r="G76" s="20">
        <f t="shared" si="13"/>
        <v>4</v>
      </c>
      <c r="H76" s="20">
        <f t="shared" si="12"/>
        <v>0</v>
      </c>
      <c r="I76" s="114"/>
      <c r="J76" s="114"/>
      <c r="K76" t="s">
        <v>152</v>
      </c>
    </row>
    <row r="77" spans="1:11" ht="38.25" x14ac:dyDescent="0.25">
      <c r="A77" s="159">
        <v>461.00099999999998</v>
      </c>
      <c r="B77" s="145" t="s">
        <v>1741</v>
      </c>
      <c r="C77" s="113"/>
      <c r="D77" s="113"/>
      <c r="E77" s="113" t="s">
        <v>153</v>
      </c>
      <c r="F77" s="116">
        <v>4</v>
      </c>
      <c r="G77" s="20">
        <f t="shared" si="13"/>
        <v>4</v>
      </c>
      <c r="H77" s="20">
        <f t="shared" si="12"/>
        <v>0</v>
      </c>
      <c r="I77" s="114"/>
      <c r="J77" s="114"/>
      <c r="K77" t="s">
        <v>154</v>
      </c>
    </row>
    <row r="78" spans="1:11" ht="38.25" x14ac:dyDescent="0.25">
      <c r="A78" s="159" t="s">
        <v>155</v>
      </c>
      <c r="B78" s="145" t="s">
        <v>1761</v>
      </c>
      <c r="C78" s="113"/>
      <c r="D78" s="113"/>
      <c r="E78" s="113" t="s">
        <v>156</v>
      </c>
      <c r="F78" s="116">
        <v>4</v>
      </c>
      <c r="G78" s="20">
        <f t="shared" si="13"/>
        <v>4</v>
      </c>
      <c r="H78" s="20">
        <f t="shared" si="12"/>
        <v>0</v>
      </c>
      <c r="I78" s="114"/>
      <c r="J78" s="114"/>
      <c r="K78" t="s">
        <v>157</v>
      </c>
    </row>
    <row r="79" spans="1:11" x14ac:dyDescent="0.25">
      <c r="A79" s="68"/>
      <c r="B79" s="7"/>
      <c r="C79" s="157"/>
      <c r="D79" s="157"/>
      <c r="E79" s="157"/>
      <c r="F79" s="158"/>
      <c r="G79" s="158"/>
      <c r="H79" s="158"/>
      <c r="I79" s="164"/>
      <c r="J79" s="160"/>
    </row>
    <row r="80" spans="1:11" x14ac:dyDescent="0.25">
      <c r="A80" s="67">
        <v>401.00099999999998</v>
      </c>
      <c r="B80" s="6" t="s">
        <v>1039</v>
      </c>
      <c r="C80" s="161"/>
      <c r="D80" s="161"/>
      <c r="E80" s="161"/>
      <c r="F80" s="162"/>
      <c r="G80" s="162"/>
      <c r="H80" s="162"/>
      <c r="I80" s="163"/>
      <c r="J80" s="155"/>
    </row>
    <row r="81" spans="1:11" ht="25.5" x14ac:dyDescent="0.25">
      <c r="A81" s="145">
        <v>401.00099999999998</v>
      </c>
      <c r="B81" s="145" t="s">
        <v>158</v>
      </c>
      <c r="C81" s="113"/>
      <c r="D81" s="113"/>
      <c r="E81" s="113" t="s">
        <v>159</v>
      </c>
      <c r="F81" s="116">
        <v>4</v>
      </c>
      <c r="G81" s="20">
        <f>IF(E81="X",F81,0)</f>
        <v>4</v>
      </c>
      <c r="H81" s="20">
        <f t="shared" ref="H81:H89" si="14">IF(C81="Y",F81,0)</f>
        <v>0</v>
      </c>
      <c r="I81" s="114"/>
      <c r="J81" s="114"/>
      <c r="K81" t="s">
        <v>160</v>
      </c>
    </row>
    <row r="82" spans="1:11" ht="38.25" x14ac:dyDescent="0.25">
      <c r="A82" s="145" t="s">
        <v>161</v>
      </c>
      <c r="B82" s="145" t="s">
        <v>162</v>
      </c>
      <c r="C82" s="113"/>
      <c r="D82" s="113"/>
      <c r="E82" s="113" t="s">
        <v>163</v>
      </c>
      <c r="F82" s="116">
        <v>4</v>
      </c>
      <c r="G82" s="20">
        <f t="shared" ref="G82:G89" si="15">IF(E82="X",F82,0)</f>
        <v>4</v>
      </c>
      <c r="H82" s="20">
        <f t="shared" si="14"/>
        <v>0</v>
      </c>
      <c r="I82" s="114"/>
      <c r="J82" s="114"/>
      <c r="K82" t="s">
        <v>164</v>
      </c>
    </row>
    <row r="83" spans="1:11" ht="25.5" x14ac:dyDescent="0.25">
      <c r="A83" s="145">
        <v>811</v>
      </c>
      <c r="B83" s="145" t="s">
        <v>165</v>
      </c>
      <c r="C83" s="113"/>
      <c r="D83" s="113"/>
      <c r="E83" s="113" t="s">
        <v>166</v>
      </c>
      <c r="F83" s="116">
        <v>4</v>
      </c>
      <c r="G83" s="20">
        <f t="shared" si="15"/>
        <v>4</v>
      </c>
      <c r="H83" s="20">
        <f t="shared" si="14"/>
        <v>0</v>
      </c>
      <c r="I83" s="114"/>
      <c r="J83" s="114"/>
      <c r="K83" t="s">
        <v>167</v>
      </c>
    </row>
    <row r="84" spans="1:11" ht="38.25" x14ac:dyDescent="0.25">
      <c r="A84" s="145" t="s">
        <v>168</v>
      </c>
      <c r="B84" s="145" t="s">
        <v>169</v>
      </c>
      <c r="C84" s="113"/>
      <c r="D84" s="113"/>
      <c r="E84" s="113" t="s">
        <v>170</v>
      </c>
      <c r="F84" s="116">
        <v>4</v>
      </c>
      <c r="G84" s="20">
        <f t="shared" si="15"/>
        <v>4</v>
      </c>
      <c r="H84" s="20">
        <f t="shared" si="14"/>
        <v>0</v>
      </c>
      <c r="I84" s="114"/>
      <c r="J84" s="114"/>
      <c r="K84" t="s">
        <v>171</v>
      </c>
    </row>
    <row r="85" spans="1:11" ht="38.25" x14ac:dyDescent="0.25">
      <c r="A85" s="145" t="s">
        <v>172</v>
      </c>
      <c r="B85" s="145" t="s">
        <v>173</v>
      </c>
      <c r="C85" s="113"/>
      <c r="D85" s="113"/>
      <c r="E85" s="113" t="s">
        <v>174</v>
      </c>
      <c r="F85" s="116">
        <v>4</v>
      </c>
      <c r="G85" s="20">
        <f t="shared" si="15"/>
        <v>4</v>
      </c>
      <c r="H85" s="20">
        <f t="shared" si="14"/>
        <v>0</v>
      </c>
      <c r="I85" s="114"/>
      <c r="J85" s="114"/>
      <c r="K85" t="s">
        <v>175</v>
      </c>
    </row>
    <row r="86" spans="1:11" ht="38.25" x14ac:dyDescent="0.25">
      <c r="A86" s="145">
        <v>401.05599999999998</v>
      </c>
      <c r="B86" s="145" t="s">
        <v>176</v>
      </c>
      <c r="C86" s="113"/>
      <c r="D86" s="113"/>
      <c r="E86" s="113" t="s">
        <v>177</v>
      </c>
      <c r="F86" s="116">
        <v>5</v>
      </c>
      <c r="G86" s="20">
        <f t="shared" si="15"/>
        <v>5</v>
      </c>
      <c r="H86" s="20">
        <f t="shared" si="14"/>
        <v>0</v>
      </c>
      <c r="I86" s="114"/>
      <c r="J86" s="114"/>
      <c r="K86" t="s">
        <v>178</v>
      </c>
    </row>
    <row r="87" spans="1:11" ht="25.5" x14ac:dyDescent="0.25">
      <c r="A87" s="145">
        <v>451</v>
      </c>
      <c r="B87" s="145" t="s">
        <v>179</v>
      </c>
      <c r="C87" s="113"/>
      <c r="D87" s="113"/>
      <c r="E87" s="113" t="s">
        <v>180</v>
      </c>
      <c r="F87" s="116">
        <v>4</v>
      </c>
      <c r="G87" s="20">
        <f t="shared" si="15"/>
        <v>4</v>
      </c>
      <c r="H87" s="20">
        <f t="shared" si="14"/>
        <v>0</v>
      </c>
      <c r="I87" s="114"/>
      <c r="J87" s="114"/>
      <c r="K87" t="s">
        <v>181</v>
      </c>
    </row>
    <row r="88" spans="1:11" ht="38.25" x14ac:dyDescent="0.25">
      <c r="A88" s="159">
        <v>461.00099999999998</v>
      </c>
      <c r="B88" s="159" t="s">
        <v>182</v>
      </c>
      <c r="C88" s="113"/>
      <c r="D88" s="113"/>
      <c r="E88" s="113" t="s">
        <v>183</v>
      </c>
      <c r="F88" s="116">
        <v>4</v>
      </c>
      <c r="G88" s="20">
        <f t="shared" si="15"/>
        <v>4</v>
      </c>
      <c r="H88" s="20">
        <f t="shared" si="14"/>
        <v>0</v>
      </c>
      <c r="I88" s="114"/>
      <c r="J88" s="114"/>
      <c r="K88" t="s">
        <v>184</v>
      </c>
    </row>
    <row r="89" spans="1:11" ht="38.25" x14ac:dyDescent="0.25">
      <c r="A89" s="159" t="s">
        <v>185</v>
      </c>
      <c r="B89" s="145" t="s">
        <v>1761</v>
      </c>
      <c r="C89" s="113"/>
      <c r="D89" s="113"/>
      <c r="E89" s="113" t="s">
        <v>186</v>
      </c>
      <c r="F89" s="116">
        <v>4</v>
      </c>
      <c r="G89" s="20">
        <f t="shared" si="15"/>
        <v>4</v>
      </c>
      <c r="H89" s="20">
        <f t="shared" si="14"/>
        <v>0</v>
      </c>
      <c r="I89" s="114"/>
      <c r="J89" s="114"/>
      <c r="K89" t="s">
        <v>187</v>
      </c>
    </row>
    <row r="90" spans="1:11" x14ac:dyDescent="0.25">
      <c r="A90" s="68"/>
      <c r="B90" s="7"/>
      <c r="C90" s="157"/>
      <c r="D90" s="157"/>
      <c r="E90" s="157"/>
      <c r="F90" s="158"/>
      <c r="G90" s="158"/>
      <c r="H90" s="158"/>
      <c r="I90" s="164"/>
      <c r="J90" s="160"/>
    </row>
    <row r="91" spans="1:11" x14ac:dyDescent="0.25">
      <c r="A91" s="67">
        <v>411.00099999999998</v>
      </c>
      <c r="B91" s="6" t="s">
        <v>1034</v>
      </c>
      <c r="C91" s="161"/>
      <c r="D91" s="161"/>
      <c r="E91" s="161"/>
      <c r="F91" s="162"/>
      <c r="G91" s="162"/>
      <c r="H91" s="162"/>
      <c r="I91" s="163"/>
      <c r="J91" s="155"/>
    </row>
    <row r="92" spans="1:11" ht="25.5" x14ac:dyDescent="0.25">
      <c r="A92" s="145">
        <v>411.00099999999998</v>
      </c>
      <c r="B92" s="145" t="s">
        <v>188</v>
      </c>
      <c r="C92" s="113"/>
      <c r="D92" s="113"/>
      <c r="E92" s="113" t="s">
        <v>189</v>
      </c>
      <c r="F92" s="116">
        <v>4</v>
      </c>
      <c r="G92" s="20">
        <f>IF(E92="X",F92,0)</f>
        <v>4</v>
      </c>
      <c r="H92" s="20">
        <f t="shared" ref="H92:H98" si="16">IF(C92="Y",F92,0)</f>
        <v>0</v>
      </c>
      <c r="I92" s="114"/>
      <c r="J92" s="114"/>
      <c r="K92" t="s">
        <v>190</v>
      </c>
    </row>
    <row r="93" spans="1:11" ht="38.25" x14ac:dyDescent="0.25">
      <c r="A93" s="145" t="s">
        <v>191</v>
      </c>
      <c r="B93" s="145" t="s">
        <v>192</v>
      </c>
      <c r="C93" s="113"/>
      <c r="D93" s="113"/>
      <c r="E93" s="113" t="s">
        <v>193</v>
      </c>
      <c r="F93" s="116">
        <v>4</v>
      </c>
      <c r="G93" s="20">
        <f t="shared" ref="G93:G98" si="17">IF(E93="X",F93,0)</f>
        <v>4</v>
      </c>
      <c r="H93" s="20">
        <f t="shared" si="16"/>
        <v>0</v>
      </c>
      <c r="I93" s="114"/>
      <c r="J93" s="114"/>
      <c r="K93" t="s">
        <v>194</v>
      </c>
    </row>
    <row r="94" spans="1:11" ht="25.5" x14ac:dyDescent="0.25">
      <c r="A94" s="145">
        <v>811</v>
      </c>
      <c r="B94" s="145" t="s">
        <v>195</v>
      </c>
      <c r="C94" s="113"/>
      <c r="D94" s="113"/>
      <c r="E94" s="113" t="s">
        <v>196</v>
      </c>
      <c r="F94" s="116">
        <v>4</v>
      </c>
      <c r="G94" s="20">
        <f t="shared" si="17"/>
        <v>4</v>
      </c>
      <c r="H94" s="20">
        <f t="shared" si="16"/>
        <v>0</v>
      </c>
      <c r="I94" s="114"/>
      <c r="J94" s="114"/>
      <c r="K94" t="s">
        <v>197</v>
      </c>
    </row>
    <row r="95" spans="1:11" ht="38.25" x14ac:dyDescent="0.25">
      <c r="A95" s="145" t="s">
        <v>198</v>
      </c>
      <c r="B95" s="145" t="s">
        <v>199</v>
      </c>
      <c r="C95" s="113"/>
      <c r="D95" s="113"/>
      <c r="E95" s="113" t="s">
        <v>200</v>
      </c>
      <c r="F95" s="116">
        <v>4</v>
      </c>
      <c r="G95" s="20">
        <f t="shared" si="17"/>
        <v>4</v>
      </c>
      <c r="H95" s="20">
        <f t="shared" si="16"/>
        <v>0</v>
      </c>
      <c r="I95" s="114"/>
      <c r="J95" s="114"/>
      <c r="K95" t="s">
        <v>201</v>
      </c>
    </row>
    <row r="96" spans="1:11" ht="38.25" x14ac:dyDescent="0.25">
      <c r="A96" s="145" t="s">
        <v>202</v>
      </c>
      <c r="B96" s="145" t="s">
        <v>203</v>
      </c>
      <c r="C96" s="113"/>
      <c r="D96" s="113"/>
      <c r="E96" s="113" t="s">
        <v>204</v>
      </c>
      <c r="F96" s="116">
        <v>4</v>
      </c>
      <c r="G96" s="20">
        <f t="shared" si="17"/>
        <v>4</v>
      </c>
      <c r="H96" s="20">
        <f t="shared" si="16"/>
        <v>0</v>
      </c>
      <c r="I96" s="114"/>
      <c r="J96" s="114"/>
      <c r="K96" t="s">
        <v>205</v>
      </c>
    </row>
    <row r="97" spans="1:11" ht="38.25" x14ac:dyDescent="0.25">
      <c r="A97" s="145">
        <v>411.04399999999998</v>
      </c>
      <c r="B97" s="145" t="s">
        <v>396</v>
      </c>
      <c r="C97" s="113"/>
      <c r="D97" s="113"/>
      <c r="E97" s="113" t="s">
        <v>206</v>
      </c>
      <c r="F97" s="116">
        <v>5</v>
      </c>
      <c r="G97" s="20">
        <f t="shared" si="17"/>
        <v>5</v>
      </c>
      <c r="H97" s="20">
        <f t="shared" si="16"/>
        <v>0</v>
      </c>
      <c r="I97" s="114"/>
      <c r="J97" s="114"/>
      <c r="K97" t="s">
        <v>207</v>
      </c>
    </row>
    <row r="98" spans="1:11" ht="25.5" x14ac:dyDescent="0.25">
      <c r="A98" s="145">
        <v>452</v>
      </c>
      <c r="B98" s="145" t="s">
        <v>208</v>
      </c>
      <c r="C98" s="113"/>
      <c r="D98" s="113"/>
      <c r="E98" s="113" t="s">
        <v>209</v>
      </c>
      <c r="F98" s="116">
        <v>4</v>
      </c>
      <c r="G98" s="20">
        <f t="shared" si="17"/>
        <v>4</v>
      </c>
      <c r="H98" s="20">
        <f t="shared" si="16"/>
        <v>0</v>
      </c>
      <c r="I98" s="114"/>
      <c r="J98" s="114"/>
      <c r="K98" t="s">
        <v>210</v>
      </c>
    </row>
    <row r="99" spans="1:11" x14ac:dyDescent="0.25">
      <c r="A99" s="66"/>
      <c r="B99" s="12"/>
      <c r="C99" s="157"/>
      <c r="D99" s="157"/>
      <c r="E99" s="157"/>
      <c r="F99" s="158"/>
      <c r="G99" s="158"/>
      <c r="H99" s="158"/>
      <c r="I99" s="164"/>
      <c r="J99" s="160"/>
    </row>
    <row r="100" spans="1:11" x14ac:dyDescent="0.25">
      <c r="A100" s="67">
        <v>411.00099999999998</v>
      </c>
      <c r="B100" s="6" t="s">
        <v>1035</v>
      </c>
      <c r="C100" s="161"/>
      <c r="D100" s="161"/>
      <c r="E100" s="161"/>
      <c r="F100" s="162"/>
      <c r="G100" s="162"/>
      <c r="H100" s="162"/>
      <c r="I100" s="163"/>
      <c r="J100" s="155"/>
    </row>
    <row r="101" spans="1:11" ht="25.5" x14ac:dyDescent="0.25">
      <c r="A101" s="145">
        <v>411.00099999999998</v>
      </c>
      <c r="B101" s="145" t="s">
        <v>211</v>
      </c>
      <c r="C101" s="113"/>
      <c r="D101" s="113"/>
      <c r="E101" s="113" t="s">
        <v>212</v>
      </c>
      <c r="F101" s="116">
        <v>4</v>
      </c>
      <c r="G101" s="20">
        <f>IF(E101="X",F101,0)</f>
        <v>4</v>
      </c>
      <c r="H101" s="20">
        <f t="shared" ref="H101:H107" si="18">IF(C101="Y",F101,0)</f>
        <v>0</v>
      </c>
      <c r="I101" s="114"/>
      <c r="J101" s="114"/>
      <c r="K101" t="s">
        <v>213</v>
      </c>
    </row>
    <row r="102" spans="1:11" ht="38.25" x14ac:dyDescent="0.25">
      <c r="A102" s="145" t="s">
        <v>214</v>
      </c>
      <c r="B102" s="145" t="s">
        <v>507</v>
      </c>
      <c r="C102" s="113"/>
      <c r="D102" s="113"/>
      <c r="E102" s="113" t="s">
        <v>215</v>
      </c>
      <c r="F102" s="116">
        <v>4</v>
      </c>
      <c r="G102" s="20">
        <f t="shared" ref="G102:G107" si="19">IF(E102="X",F102,0)</f>
        <v>4</v>
      </c>
      <c r="H102" s="20">
        <f t="shared" si="18"/>
        <v>0</v>
      </c>
      <c r="I102" s="114"/>
      <c r="J102" s="114"/>
      <c r="K102" t="s">
        <v>216</v>
      </c>
    </row>
    <row r="103" spans="1:11" ht="25.5" x14ac:dyDescent="0.25">
      <c r="A103" s="145">
        <v>811</v>
      </c>
      <c r="B103" s="145" t="s">
        <v>519</v>
      </c>
      <c r="C103" s="113"/>
      <c r="D103" s="113"/>
      <c r="E103" s="113" t="s">
        <v>520</v>
      </c>
      <c r="F103" s="116">
        <v>4</v>
      </c>
      <c r="G103" s="20">
        <f t="shared" si="19"/>
        <v>4</v>
      </c>
      <c r="H103" s="20">
        <f t="shared" si="18"/>
        <v>0</v>
      </c>
      <c r="I103" s="114"/>
      <c r="J103" s="114"/>
      <c r="K103" t="s">
        <v>521</v>
      </c>
    </row>
    <row r="104" spans="1:11" ht="38.25" x14ac:dyDescent="0.25">
      <c r="A104" s="145" t="s">
        <v>522</v>
      </c>
      <c r="B104" s="145" t="s">
        <v>523</v>
      </c>
      <c r="C104" s="113"/>
      <c r="D104" s="113"/>
      <c r="E104" s="113" t="s">
        <v>524</v>
      </c>
      <c r="F104" s="116">
        <v>4</v>
      </c>
      <c r="G104" s="20">
        <f t="shared" si="19"/>
        <v>4</v>
      </c>
      <c r="H104" s="20">
        <f t="shared" si="18"/>
        <v>0</v>
      </c>
      <c r="I104" s="114"/>
      <c r="J104" s="114"/>
      <c r="K104" t="s">
        <v>525</v>
      </c>
    </row>
    <row r="105" spans="1:11" ht="38.25" x14ac:dyDescent="0.25">
      <c r="A105" s="145" t="s">
        <v>526</v>
      </c>
      <c r="B105" s="145" t="s">
        <v>527</v>
      </c>
      <c r="C105" s="113"/>
      <c r="D105" s="113"/>
      <c r="E105" s="113" t="s">
        <v>528</v>
      </c>
      <c r="F105" s="116">
        <v>4</v>
      </c>
      <c r="G105" s="20">
        <f t="shared" si="19"/>
        <v>4</v>
      </c>
      <c r="H105" s="20">
        <f t="shared" si="18"/>
        <v>0</v>
      </c>
      <c r="I105" s="114"/>
      <c r="J105" s="114"/>
      <c r="K105" t="s">
        <v>529</v>
      </c>
    </row>
    <row r="106" spans="1:11" ht="38.25" x14ac:dyDescent="0.25">
      <c r="A106" s="145">
        <v>411.00400000000002</v>
      </c>
      <c r="B106" s="145" t="s">
        <v>530</v>
      </c>
      <c r="C106" s="113"/>
      <c r="D106" s="113"/>
      <c r="E106" s="113" t="s">
        <v>531</v>
      </c>
      <c r="F106" s="116">
        <v>5</v>
      </c>
      <c r="G106" s="20">
        <f t="shared" si="19"/>
        <v>5</v>
      </c>
      <c r="H106" s="20">
        <f t="shared" si="18"/>
        <v>0</v>
      </c>
      <c r="I106" s="114"/>
      <c r="J106" s="114"/>
      <c r="K106" t="s">
        <v>532</v>
      </c>
    </row>
    <row r="107" spans="1:11" ht="25.5" x14ac:dyDescent="0.25">
      <c r="A107" s="145">
        <v>452</v>
      </c>
      <c r="B107" s="145" t="s">
        <v>533</v>
      </c>
      <c r="C107" s="113"/>
      <c r="D107" s="113"/>
      <c r="E107" s="113" t="s">
        <v>534</v>
      </c>
      <c r="F107" s="116">
        <v>4</v>
      </c>
      <c r="G107" s="20">
        <f t="shared" si="19"/>
        <v>4</v>
      </c>
      <c r="H107" s="20">
        <f t="shared" si="18"/>
        <v>0</v>
      </c>
      <c r="I107" s="114"/>
      <c r="J107" s="114"/>
      <c r="K107" t="s">
        <v>535</v>
      </c>
    </row>
    <row r="108" spans="1:11" x14ac:dyDescent="0.25">
      <c r="A108" s="66"/>
      <c r="B108" s="62"/>
      <c r="C108" s="157"/>
      <c r="D108" s="157"/>
      <c r="E108" s="157"/>
      <c r="F108" s="158"/>
      <c r="G108" s="158"/>
      <c r="H108" s="158"/>
      <c r="I108" s="164"/>
      <c r="J108" s="160"/>
    </row>
    <row r="109" spans="1:11" x14ac:dyDescent="0.25">
      <c r="A109" s="67">
        <v>411.00099999999998</v>
      </c>
      <c r="B109" s="6" t="s">
        <v>397</v>
      </c>
      <c r="C109" s="161"/>
      <c r="D109" s="161"/>
      <c r="E109" s="161"/>
      <c r="F109" s="162"/>
      <c r="G109" s="162"/>
      <c r="H109" s="162"/>
      <c r="I109" s="163"/>
      <c r="J109" s="155"/>
    </row>
    <row r="110" spans="1:11" ht="25.5" x14ac:dyDescent="0.25">
      <c r="A110" s="145">
        <v>411.00099999999998</v>
      </c>
      <c r="B110" s="145" t="s">
        <v>536</v>
      </c>
      <c r="C110" s="113"/>
      <c r="D110" s="113"/>
      <c r="E110" s="113" t="s">
        <v>537</v>
      </c>
      <c r="F110" s="116">
        <v>4</v>
      </c>
      <c r="G110" s="20">
        <f>IF(E110="X",F110,0)</f>
        <v>4</v>
      </c>
      <c r="H110" s="20">
        <f t="shared" ref="H110:H116" si="20">IF(C110="Y",F110,0)</f>
        <v>0</v>
      </c>
      <c r="I110" s="114"/>
      <c r="J110" s="114"/>
      <c r="K110" t="s">
        <v>538</v>
      </c>
    </row>
    <row r="111" spans="1:11" ht="38.25" x14ac:dyDescent="0.25">
      <c r="A111" s="145" t="s">
        <v>539</v>
      </c>
      <c r="B111" s="145" t="s">
        <v>540</v>
      </c>
      <c r="C111" s="113"/>
      <c r="D111" s="113"/>
      <c r="E111" s="113" t="s">
        <v>541</v>
      </c>
      <c r="F111" s="116">
        <v>4</v>
      </c>
      <c r="G111" s="20">
        <f t="shared" ref="G111:G116" si="21">IF(E111="X",F111,0)</f>
        <v>4</v>
      </c>
      <c r="H111" s="20">
        <f t="shared" si="20"/>
        <v>0</v>
      </c>
      <c r="I111" s="114"/>
      <c r="J111" s="114"/>
      <c r="K111" t="s">
        <v>542</v>
      </c>
    </row>
    <row r="112" spans="1:11" ht="25.5" x14ac:dyDescent="0.25">
      <c r="A112" s="145">
        <v>811</v>
      </c>
      <c r="B112" s="145" t="s">
        <v>543</v>
      </c>
      <c r="C112" s="113"/>
      <c r="D112" s="113"/>
      <c r="E112" s="113" t="s">
        <v>544</v>
      </c>
      <c r="F112" s="116">
        <v>4</v>
      </c>
      <c r="G112" s="20">
        <f t="shared" si="21"/>
        <v>4</v>
      </c>
      <c r="H112" s="20">
        <f t="shared" si="20"/>
        <v>0</v>
      </c>
      <c r="I112" s="114"/>
      <c r="J112" s="114"/>
      <c r="K112" t="s">
        <v>545</v>
      </c>
    </row>
    <row r="113" spans="1:11" ht="38.25" x14ac:dyDescent="0.25">
      <c r="A113" s="145" t="s">
        <v>546</v>
      </c>
      <c r="B113" s="145" t="s">
        <v>547</v>
      </c>
      <c r="C113" s="113"/>
      <c r="D113" s="113"/>
      <c r="E113" s="113" t="s">
        <v>548</v>
      </c>
      <c r="F113" s="116">
        <v>4</v>
      </c>
      <c r="G113" s="20">
        <f t="shared" si="21"/>
        <v>4</v>
      </c>
      <c r="H113" s="20">
        <f t="shared" si="20"/>
        <v>0</v>
      </c>
      <c r="I113" s="114"/>
      <c r="J113" s="114"/>
      <c r="K113" t="s">
        <v>549</v>
      </c>
    </row>
    <row r="114" spans="1:11" ht="38.25" x14ac:dyDescent="0.25">
      <c r="A114" s="145" t="s">
        <v>550</v>
      </c>
      <c r="B114" s="145" t="s">
        <v>551</v>
      </c>
      <c r="C114" s="113"/>
      <c r="D114" s="113"/>
      <c r="E114" s="113" t="s">
        <v>552</v>
      </c>
      <c r="F114" s="116">
        <v>4</v>
      </c>
      <c r="G114" s="20">
        <f t="shared" si="21"/>
        <v>4</v>
      </c>
      <c r="H114" s="20">
        <f t="shared" si="20"/>
        <v>0</v>
      </c>
      <c r="I114" s="114"/>
      <c r="J114" s="114"/>
      <c r="K114" t="s">
        <v>553</v>
      </c>
    </row>
    <row r="115" spans="1:11" ht="38.25" x14ac:dyDescent="0.25">
      <c r="A115" s="145">
        <v>411.00400000000002</v>
      </c>
      <c r="B115" s="145" t="s">
        <v>554</v>
      </c>
      <c r="C115" s="113"/>
      <c r="D115" s="113"/>
      <c r="E115" s="113" t="s">
        <v>555</v>
      </c>
      <c r="F115" s="116">
        <v>5</v>
      </c>
      <c r="G115" s="20">
        <f t="shared" si="21"/>
        <v>5</v>
      </c>
      <c r="H115" s="20">
        <f t="shared" si="20"/>
        <v>0</v>
      </c>
      <c r="I115" s="114"/>
      <c r="J115" s="114"/>
      <c r="K115" t="s">
        <v>556</v>
      </c>
    </row>
    <row r="116" spans="1:11" ht="25.5" x14ac:dyDescent="0.25">
      <c r="A116" s="145">
        <v>452</v>
      </c>
      <c r="B116" s="145" t="s">
        <v>557</v>
      </c>
      <c r="C116" s="113"/>
      <c r="D116" s="113"/>
      <c r="E116" s="113" t="s">
        <v>558</v>
      </c>
      <c r="F116" s="116">
        <v>4</v>
      </c>
      <c r="G116" s="20">
        <f t="shared" si="21"/>
        <v>4</v>
      </c>
      <c r="H116" s="20">
        <f t="shared" si="20"/>
        <v>0</v>
      </c>
      <c r="I116" s="114"/>
      <c r="J116" s="114"/>
      <c r="K116" t="s">
        <v>559</v>
      </c>
    </row>
    <row r="117" spans="1:11" x14ac:dyDescent="0.25">
      <c r="A117" s="66"/>
      <c r="B117" s="62"/>
      <c r="C117" s="157"/>
      <c r="D117" s="157"/>
      <c r="E117" s="157"/>
      <c r="F117" s="158"/>
      <c r="G117" s="158"/>
      <c r="H117" s="158"/>
      <c r="I117" s="164"/>
      <c r="J117" s="160"/>
    </row>
    <row r="118" spans="1:11" ht="25.5" x14ac:dyDescent="0.25">
      <c r="A118" s="67">
        <v>431.00099999999998</v>
      </c>
      <c r="B118" s="6" t="s">
        <v>398</v>
      </c>
      <c r="C118" s="161"/>
      <c r="D118" s="161"/>
      <c r="E118" s="161"/>
      <c r="F118" s="162"/>
      <c r="G118" s="162"/>
      <c r="H118" s="162"/>
      <c r="I118" s="163"/>
      <c r="J118" s="155"/>
    </row>
    <row r="119" spans="1:11" ht="25.5" x14ac:dyDescent="0.25">
      <c r="A119" s="145">
        <v>431.00099999999998</v>
      </c>
      <c r="B119" s="145" t="s">
        <v>560</v>
      </c>
      <c r="C119" s="113"/>
      <c r="D119" s="113"/>
      <c r="E119" s="113" t="s">
        <v>561</v>
      </c>
      <c r="F119" s="116">
        <v>4</v>
      </c>
      <c r="G119" s="20">
        <f>IF(E119="X",F119,0)</f>
        <v>4</v>
      </c>
      <c r="H119" s="20">
        <f t="shared" ref="H119:H126" si="22">IF(C119="Y",F119,0)</f>
        <v>0</v>
      </c>
      <c r="I119" s="114"/>
      <c r="J119" s="114"/>
      <c r="K119" t="s">
        <v>562</v>
      </c>
    </row>
    <row r="120" spans="1:11" ht="38.25" x14ac:dyDescent="0.25">
      <c r="A120" s="145" t="s">
        <v>563</v>
      </c>
      <c r="B120" s="145" t="s">
        <v>564</v>
      </c>
      <c r="C120" s="113"/>
      <c r="D120" s="113"/>
      <c r="E120" s="113" t="s">
        <v>565</v>
      </c>
      <c r="F120" s="116">
        <v>4</v>
      </c>
      <c r="G120" s="20">
        <f t="shared" ref="G120:G126" si="23">IF(E120="X",F120,0)</f>
        <v>4</v>
      </c>
      <c r="H120" s="20">
        <f t="shared" si="22"/>
        <v>0</v>
      </c>
      <c r="I120" s="114"/>
      <c r="J120" s="114"/>
      <c r="K120" t="s">
        <v>566</v>
      </c>
    </row>
    <row r="121" spans="1:11" ht="25.5" x14ac:dyDescent="0.25">
      <c r="A121" s="145">
        <v>811</v>
      </c>
      <c r="B121" s="145" t="s">
        <v>567</v>
      </c>
      <c r="C121" s="113"/>
      <c r="D121" s="113"/>
      <c r="E121" s="113" t="s">
        <v>568</v>
      </c>
      <c r="F121" s="116">
        <v>4</v>
      </c>
      <c r="G121" s="20">
        <f t="shared" si="23"/>
        <v>4</v>
      </c>
      <c r="H121" s="20">
        <f t="shared" si="22"/>
        <v>0</v>
      </c>
      <c r="I121" s="114"/>
      <c r="J121" s="114"/>
      <c r="K121" t="s">
        <v>569</v>
      </c>
    </row>
    <row r="122" spans="1:11" ht="25.5" x14ac:dyDescent="0.25">
      <c r="A122" s="145" t="s">
        <v>570</v>
      </c>
      <c r="B122" s="145" t="s">
        <v>399</v>
      </c>
      <c r="C122" s="113"/>
      <c r="D122" s="113"/>
      <c r="E122" s="113" t="s">
        <v>571</v>
      </c>
      <c r="F122" s="116">
        <v>4</v>
      </c>
      <c r="G122" s="20">
        <f t="shared" si="23"/>
        <v>4</v>
      </c>
      <c r="H122" s="20">
        <f t="shared" si="22"/>
        <v>0</v>
      </c>
      <c r="I122" s="114"/>
      <c r="J122" s="114"/>
      <c r="K122" t="s">
        <v>572</v>
      </c>
    </row>
    <row r="123" spans="1:11" ht="38.25" x14ac:dyDescent="0.25">
      <c r="A123" s="145">
        <v>431.04500000000002</v>
      </c>
      <c r="B123" s="145" t="s">
        <v>573</v>
      </c>
      <c r="C123" s="113"/>
      <c r="D123" s="113"/>
      <c r="E123" s="113" t="s">
        <v>574</v>
      </c>
      <c r="F123" s="116">
        <v>5</v>
      </c>
      <c r="G123" s="20">
        <f t="shared" si="23"/>
        <v>5</v>
      </c>
      <c r="H123" s="20">
        <f t="shared" si="22"/>
        <v>0</v>
      </c>
      <c r="I123" s="114"/>
      <c r="J123" s="114"/>
      <c r="K123" t="s">
        <v>575</v>
      </c>
    </row>
    <row r="124" spans="1:11" ht="25.5" x14ac:dyDescent="0.25">
      <c r="A124" s="145">
        <v>453.00099999999998</v>
      </c>
      <c r="B124" s="145" t="s">
        <v>576</v>
      </c>
      <c r="C124" s="113"/>
      <c r="D124" s="113"/>
      <c r="E124" s="113" t="s">
        <v>577</v>
      </c>
      <c r="F124" s="116">
        <v>4</v>
      </c>
      <c r="G124" s="20">
        <f t="shared" si="23"/>
        <v>4</v>
      </c>
      <c r="H124" s="20">
        <f t="shared" si="22"/>
        <v>0</v>
      </c>
      <c r="I124" s="114"/>
      <c r="J124" s="114"/>
      <c r="K124" t="s">
        <v>578</v>
      </c>
    </row>
    <row r="125" spans="1:11" ht="38.25" x14ac:dyDescent="0.25">
      <c r="A125" s="159">
        <v>422.00099999999998</v>
      </c>
      <c r="B125" s="159" t="s">
        <v>508</v>
      </c>
      <c r="C125" s="113"/>
      <c r="D125" s="113"/>
      <c r="E125" s="113" t="s">
        <v>579</v>
      </c>
      <c r="F125" s="116">
        <v>4</v>
      </c>
      <c r="G125" s="20">
        <f t="shared" si="23"/>
        <v>4</v>
      </c>
      <c r="H125" s="20">
        <f t="shared" si="22"/>
        <v>0</v>
      </c>
      <c r="I125" s="114"/>
      <c r="J125" s="114"/>
      <c r="K125" t="s">
        <v>580</v>
      </c>
    </row>
    <row r="126" spans="1:11" ht="25.5" x14ac:dyDescent="0.25">
      <c r="A126" s="159">
        <v>454.00099999999998</v>
      </c>
      <c r="B126" s="159" t="s">
        <v>400</v>
      </c>
      <c r="C126" s="113"/>
      <c r="D126" s="113"/>
      <c r="E126" s="113" t="s">
        <v>581</v>
      </c>
      <c r="F126" s="116">
        <v>4</v>
      </c>
      <c r="G126" s="20">
        <f t="shared" si="23"/>
        <v>4</v>
      </c>
      <c r="H126" s="20">
        <f t="shared" si="22"/>
        <v>0</v>
      </c>
      <c r="I126" s="114"/>
      <c r="J126" s="114"/>
      <c r="K126" t="s">
        <v>582</v>
      </c>
    </row>
    <row r="127" spans="1:11" x14ac:dyDescent="0.25">
      <c r="A127" s="68"/>
      <c r="B127" s="7"/>
      <c r="C127" s="157"/>
      <c r="D127" s="157"/>
      <c r="E127" s="157"/>
      <c r="F127" s="158"/>
      <c r="G127" s="158"/>
      <c r="H127" s="158"/>
      <c r="I127" s="164"/>
      <c r="J127" s="160"/>
    </row>
    <row r="128" spans="1:11" ht="38.25" x14ac:dyDescent="0.25">
      <c r="A128" s="69"/>
      <c r="B128" s="8" t="s">
        <v>401</v>
      </c>
      <c r="C128" s="161"/>
      <c r="D128" s="161"/>
      <c r="E128" s="161"/>
      <c r="F128" s="162"/>
      <c r="G128" s="162"/>
      <c r="H128" s="162"/>
      <c r="I128" s="163"/>
      <c r="J128" s="155"/>
    </row>
    <row r="129" spans="1:11" ht="38.25" x14ac:dyDescent="0.25">
      <c r="A129" s="145" t="s">
        <v>969</v>
      </c>
      <c r="B129" s="145" t="s">
        <v>1762</v>
      </c>
      <c r="C129" s="113"/>
      <c r="D129" s="113"/>
      <c r="E129" s="113" t="s">
        <v>583</v>
      </c>
      <c r="F129" s="116">
        <v>3</v>
      </c>
      <c r="G129" s="20">
        <f>IF(E129="X",F129,0)</f>
        <v>3</v>
      </c>
      <c r="H129" s="20">
        <f t="shared" ref="H129:H192" si="24">IF(C129="Y",F129,0)</f>
        <v>0</v>
      </c>
      <c r="I129" s="114"/>
      <c r="J129" s="114"/>
      <c r="K129" t="s">
        <v>584</v>
      </c>
    </row>
    <row r="130" spans="1:11" ht="51" x14ac:dyDescent="0.25">
      <c r="A130" s="145" t="s">
        <v>970</v>
      </c>
      <c r="B130" s="145" t="s">
        <v>402</v>
      </c>
      <c r="C130" s="113"/>
      <c r="D130" s="113"/>
      <c r="E130" s="113" t="s">
        <v>585</v>
      </c>
      <c r="F130" s="116">
        <v>4</v>
      </c>
      <c r="G130" s="20">
        <f t="shared" ref="G130:G193" si="25">IF(E130="X",F130,0)</f>
        <v>4</v>
      </c>
      <c r="H130" s="20">
        <f t="shared" si="24"/>
        <v>0</v>
      </c>
      <c r="I130" s="114"/>
      <c r="J130" s="114"/>
      <c r="K130" t="s">
        <v>586</v>
      </c>
    </row>
    <row r="131" spans="1:11" ht="38.25" x14ac:dyDescent="0.25">
      <c r="A131" s="145" t="s">
        <v>587</v>
      </c>
      <c r="B131" s="145" t="s">
        <v>403</v>
      </c>
      <c r="C131" s="113"/>
      <c r="D131" s="113"/>
      <c r="E131" s="113" t="s">
        <v>588</v>
      </c>
      <c r="F131" s="116">
        <v>3</v>
      </c>
      <c r="G131" s="20">
        <f t="shared" si="25"/>
        <v>3</v>
      </c>
      <c r="H131" s="20">
        <f t="shared" si="24"/>
        <v>0</v>
      </c>
      <c r="I131" s="114"/>
      <c r="J131" s="114"/>
      <c r="K131" t="s">
        <v>589</v>
      </c>
    </row>
    <row r="132" spans="1:11" ht="38.25" x14ac:dyDescent="0.25">
      <c r="A132" s="145">
        <v>862.00099999999998</v>
      </c>
      <c r="B132" s="145" t="s">
        <v>1763</v>
      </c>
      <c r="C132" s="113"/>
      <c r="D132" s="113"/>
      <c r="E132" s="113" t="s">
        <v>590</v>
      </c>
      <c r="F132" s="116">
        <v>3</v>
      </c>
      <c r="G132" s="20">
        <f t="shared" si="25"/>
        <v>3</v>
      </c>
      <c r="H132" s="20">
        <f t="shared" si="24"/>
        <v>0</v>
      </c>
      <c r="I132" s="114"/>
      <c r="J132" s="114"/>
      <c r="K132" t="s">
        <v>591</v>
      </c>
    </row>
    <row r="133" spans="1:11" ht="25.5" x14ac:dyDescent="0.25">
      <c r="A133" s="145">
        <v>862.00099999999998</v>
      </c>
      <c r="B133" s="145" t="s">
        <v>1764</v>
      </c>
      <c r="C133" s="113"/>
      <c r="D133" s="113"/>
      <c r="E133" s="113" t="s">
        <v>592</v>
      </c>
      <c r="F133" s="116">
        <v>3</v>
      </c>
      <c r="G133" s="20">
        <f t="shared" si="25"/>
        <v>3</v>
      </c>
      <c r="H133" s="20">
        <f t="shared" si="24"/>
        <v>0</v>
      </c>
      <c r="I133" s="114"/>
      <c r="J133" s="114"/>
      <c r="K133" t="s">
        <v>593</v>
      </c>
    </row>
    <row r="134" spans="1:11" ht="51" x14ac:dyDescent="0.25">
      <c r="A134" s="145">
        <v>365.00200000000001</v>
      </c>
      <c r="B134" s="145" t="s">
        <v>509</v>
      </c>
      <c r="C134" s="113"/>
      <c r="D134" s="113"/>
      <c r="E134" s="113" t="s">
        <v>594</v>
      </c>
      <c r="F134" s="116">
        <v>3</v>
      </c>
      <c r="G134" s="20">
        <f t="shared" si="25"/>
        <v>3</v>
      </c>
      <c r="H134" s="20">
        <f t="shared" si="24"/>
        <v>0</v>
      </c>
      <c r="I134" s="114"/>
      <c r="J134" s="114"/>
      <c r="K134" t="s">
        <v>595</v>
      </c>
    </row>
    <row r="135" spans="1:11" ht="25.5" x14ac:dyDescent="0.25">
      <c r="A135" s="145">
        <v>635.00400000000002</v>
      </c>
      <c r="B135" s="145" t="s">
        <v>404</v>
      </c>
      <c r="C135" s="113"/>
      <c r="D135" s="113"/>
      <c r="E135" s="113" t="s">
        <v>596</v>
      </c>
      <c r="F135" s="116">
        <v>3</v>
      </c>
      <c r="G135" s="20">
        <f t="shared" si="25"/>
        <v>3</v>
      </c>
      <c r="H135" s="20">
        <f t="shared" si="24"/>
        <v>0</v>
      </c>
      <c r="I135" s="114"/>
      <c r="J135" s="114"/>
      <c r="K135" t="s">
        <v>597</v>
      </c>
    </row>
    <row r="136" spans="1:11" ht="25.5" x14ac:dyDescent="0.25">
      <c r="A136" s="145"/>
      <c r="B136" s="145" t="s">
        <v>405</v>
      </c>
      <c r="C136" s="113"/>
      <c r="D136" s="113"/>
      <c r="E136" s="113" t="s">
        <v>598</v>
      </c>
      <c r="F136" s="116">
        <v>3</v>
      </c>
      <c r="G136" s="20">
        <f t="shared" si="25"/>
        <v>3</v>
      </c>
      <c r="H136" s="20">
        <f t="shared" si="24"/>
        <v>0</v>
      </c>
      <c r="I136" s="114"/>
      <c r="J136" s="114"/>
      <c r="K136" t="s">
        <v>599</v>
      </c>
    </row>
    <row r="137" spans="1:11" ht="25.5" x14ac:dyDescent="0.25">
      <c r="A137" s="145"/>
      <c r="B137" s="145" t="s">
        <v>406</v>
      </c>
      <c r="C137" s="113"/>
      <c r="D137" s="113"/>
      <c r="E137" s="113" t="s">
        <v>600</v>
      </c>
      <c r="F137" s="116">
        <v>3</v>
      </c>
      <c r="G137" s="20">
        <f t="shared" si="25"/>
        <v>3</v>
      </c>
      <c r="H137" s="20">
        <f t="shared" si="24"/>
        <v>0</v>
      </c>
      <c r="I137" s="114"/>
      <c r="J137" s="114"/>
      <c r="K137" t="s">
        <v>601</v>
      </c>
    </row>
    <row r="138" spans="1:11" ht="38.25" x14ac:dyDescent="0.25">
      <c r="A138" s="145" t="s">
        <v>971</v>
      </c>
      <c r="B138" s="145" t="s">
        <v>407</v>
      </c>
      <c r="C138" s="113"/>
      <c r="D138" s="113"/>
      <c r="E138" s="113" t="s">
        <v>602</v>
      </c>
      <c r="F138" s="116">
        <v>3</v>
      </c>
      <c r="G138" s="20">
        <f t="shared" si="25"/>
        <v>3</v>
      </c>
      <c r="H138" s="20">
        <f t="shared" si="24"/>
        <v>0</v>
      </c>
      <c r="I138" s="114"/>
      <c r="J138" s="114"/>
      <c r="K138" t="s">
        <v>603</v>
      </c>
    </row>
    <row r="139" spans="1:11" ht="38.25" x14ac:dyDescent="0.25">
      <c r="A139" s="145"/>
      <c r="B139" s="145" t="s">
        <v>510</v>
      </c>
      <c r="C139" s="113"/>
      <c r="D139" s="113"/>
      <c r="E139" s="113" t="s">
        <v>604</v>
      </c>
      <c r="F139" s="116">
        <v>5</v>
      </c>
      <c r="G139" s="20">
        <f t="shared" si="25"/>
        <v>5</v>
      </c>
      <c r="H139" s="20">
        <f t="shared" si="24"/>
        <v>0</v>
      </c>
      <c r="I139" s="114"/>
      <c r="J139" s="114"/>
      <c r="K139" t="s">
        <v>605</v>
      </c>
    </row>
    <row r="140" spans="1:11" ht="38.25" x14ac:dyDescent="0.25">
      <c r="A140" s="145" t="s">
        <v>972</v>
      </c>
      <c r="B140" s="145" t="s">
        <v>511</v>
      </c>
      <c r="C140" s="113"/>
      <c r="D140" s="113"/>
      <c r="E140" s="113" t="s">
        <v>606</v>
      </c>
      <c r="F140" s="116">
        <v>5</v>
      </c>
      <c r="G140" s="20">
        <f t="shared" si="25"/>
        <v>5</v>
      </c>
      <c r="H140" s="20">
        <f t="shared" si="24"/>
        <v>0</v>
      </c>
      <c r="I140" s="114"/>
      <c r="J140" s="114"/>
      <c r="K140" t="s">
        <v>607</v>
      </c>
    </row>
    <row r="141" spans="1:11" ht="38.25" x14ac:dyDescent="0.25">
      <c r="A141" s="145">
        <v>761.00099999999998</v>
      </c>
      <c r="B141" s="145" t="s">
        <v>512</v>
      </c>
      <c r="C141" s="113"/>
      <c r="D141" s="113"/>
      <c r="E141" s="113" t="s">
        <v>608</v>
      </c>
      <c r="F141" s="116">
        <v>3</v>
      </c>
      <c r="G141" s="20">
        <f t="shared" si="25"/>
        <v>3</v>
      </c>
      <c r="H141" s="20">
        <f t="shared" si="24"/>
        <v>0</v>
      </c>
      <c r="I141" s="114"/>
      <c r="J141" s="114"/>
      <c r="K141" t="s">
        <v>609</v>
      </c>
    </row>
    <row r="142" spans="1:11" ht="38.25" x14ac:dyDescent="0.25">
      <c r="A142" s="145">
        <v>753.00300000000004</v>
      </c>
      <c r="B142" s="145" t="s">
        <v>513</v>
      </c>
      <c r="C142" s="113"/>
      <c r="D142" s="113"/>
      <c r="E142" s="113" t="s">
        <v>610</v>
      </c>
      <c r="F142" s="116">
        <v>3</v>
      </c>
      <c r="G142" s="20">
        <f t="shared" si="25"/>
        <v>3</v>
      </c>
      <c r="H142" s="20">
        <f t="shared" si="24"/>
        <v>0</v>
      </c>
      <c r="I142" s="114"/>
      <c r="J142" s="114"/>
      <c r="K142" t="s">
        <v>611</v>
      </c>
    </row>
    <row r="143" spans="1:11" ht="38.25" x14ac:dyDescent="0.25">
      <c r="A143" s="145">
        <v>753.00099999999998</v>
      </c>
      <c r="B143" s="145" t="s">
        <v>514</v>
      </c>
      <c r="C143" s="113"/>
      <c r="D143" s="113"/>
      <c r="E143" s="113" t="s">
        <v>612</v>
      </c>
      <c r="F143" s="116">
        <v>5</v>
      </c>
      <c r="G143" s="20">
        <f t="shared" si="25"/>
        <v>5</v>
      </c>
      <c r="H143" s="20">
        <f t="shared" si="24"/>
        <v>0</v>
      </c>
      <c r="I143" s="114"/>
      <c r="J143" s="114"/>
      <c r="K143" t="s">
        <v>613</v>
      </c>
    </row>
    <row r="144" spans="1:11" ht="38.25" x14ac:dyDescent="0.25">
      <c r="A144" s="145"/>
      <c r="B144" s="145" t="s">
        <v>515</v>
      </c>
      <c r="C144" s="113"/>
      <c r="D144" s="113"/>
      <c r="E144" s="113" t="s">
        <v>614</v>
      </c>
      <c r="F144" s="116">
        <v>3</v>
      </c>
      <c r="G144" s="20">
        <f t="shared" si="25"/>
        <v>3</v>
      </c>
      <c r="H144" s="20">
        <f t="shared" si="24"/>
        <v>0</v>
      </c>
      <c r="I144" s="114"/>
      <c r="J144" s="114"/>
      <c r="K144" t="s">
        <v>615</v>
      </c>
    </row>
    <row r="145" spans="1:11" ht="38.25" x14ac:dyDescent="0.25">
      <c r="A145" s="159"/>
      <c r="B145" s="159" t="s">
        <v>516</v>
      </c>
      <c r="C145" s="113"/>
      <c r="D145" s="113"/>
      <c r="E145" s="113" t="s">
        <v>616</v>
      </c>
      <c r="F145" s="116">
        <v>3</v>
      </c>
      <c r="G145" s="20">
        <f t="shared" si="25"/>
        <v>3</v>
      </c>
      <c r="H145" s="20">
        <f t="shared" si="24"/>
        <v>0</v>
      </c>
      <c r="I145" s="114"/>
      <c r="J145" s="114"/>
      <c r="K145" t="s">
        <v>617</v>
      </c>
    </row>
    <row r="146" spans="1:11" ht="38.25" x14ac:dyDescent="0.25">
      <c r="A146" s="145">
        <v>381.01499999999999</v>
      </c>
      <c r="B146" s="145" t="s">
        <v>517</v>
      </c>
      <c r="C146" s="113"/>
      <c r="D146" s="113"/>
      <c r="E146" s="113" t="s">
        <v>618</v>
      </c>
      <c r="F146" s="116">
        <v>3</v>
      </c>
      <c r="G146" s="20">
        <f t="shared" si="25"/>
        <v>3</v>
      </c>
      <c r="H146" s="20">
        <f t="shared" si="24"/>
        <v>0</v>
      </c>
      <c r="I146" s="114"/>
      <c r="J146" s="114"/>
      <c r="K146" t="s">
        <v>619</v>
      </c>
    </row>
    <row r="147" spans="1:11" ht="38.25" x14ac:dyDescent="0.25">
      <c r="A147" s="145">
        <v>381.00200000000001</v>
      </c>
      <c r="B147" s="145" t="s">
        <v>518</v>
      </c>
      <c r="C147" s="113"/>
      <c r="D147" s="113"/>
      <c r="E147" s="113" t="s">
        <v>620</v>
      </c>
      <c r="F147" s="116">
        <v>3</v>
      </c>
      <c r="G147" s="20">
        <f t="shared" si="25"/>
        <v>3</v>
      </c>
      <c r="H147" s="20">
        <f t="shared" si="24"/>
        <v>0</v>
      </c>
      <c r="I147" s="114"/>
      <c r="J147" s="114"/>
      <c r="K147" t="s">
        <v>621</v>
      </c>
    </row>
    <row r="148" spans="1:11" ht="38.25" x14ac:dyDescent="0.25">
      <c r="A148" s="145">
        <v>381.017</v>
      </c>
      <c r="B148" s="145" t="s">
        <v>0</v>
      </c>
      <c r="C148" s="113"/>
      <c r="D148" s="113"/>
      <c r="E148" s="113" t="s">
        <v>622</v>
      </c>
      <c r="F148" s="116">
        <v>3</v>
      </c>
      <c r="G148" s="20">
        <f t="shared" si="25"/>
        <v>3</v>
      </c>
      <c r="H148" s="20">
        <f t="shared" si="24"/>
        <v>0</v>
      </c>
      <c r="I148" s="114"/>
      <c r="J148" s="114"/>
      <c r="K148" t="s">
        <v>623</v>
      </c>
    </row>
    <row r="149" spans="1:11" ht="51" x14ac:dyDescent="0.25">
      <c r="A149" s="145">
        <v>801.00699999999995</v>
      </c>
      <c r="B149" s="145" t="s">
        <v>1</v>
      </c>
      <c r="C149" s="113"/>
      <c r="D149" s="113"/>
      <c r="E149" s="113" t="s">
        <v>624</v>
      </c>
      <c r="F149" s="116">
        <v>3</v>
      </c>
      <c r="G149" s="20">
        <f t="shared" si="25"/>
        <v>3</v>
      </c>
      <c r="H149" s="20">
        <f t="shared" si="24"/>
        <v>0</v>
      </c>
      <c r="I149" s="114"/>
      <c r="J149" s="114"/>
      <c r="K149" t="s">
        <v>625</v>
      </c>
    </row>
    <row r="150" spans="1:11" ht="38.25" x14ac:dyDescent="0.25">
      <c r="A150" s="145">
        <v>802.00099999999998</v>
      </c>
      <c r="B150" s="145" t="s">
        <v>2</v>
      </c>
      <c r="C150" s="113"/>
      <c r="D150" s="113"/>
      <c r="E150" s="113" t="s">
        <v>626</v>
      </c>
      <c r="F150" s="116">
        <v>3</v>
      </c>
      <c r="G150" s="20">
        <f t="shared" si="25"/>
        <v>3</v>
      </c>
      <c r="H150" s="20">
        <f t="shared" si="24"/>
        <v>0</v>
      </c>
      <c r="I150" s="114"/>
      <c r="J150" s="114"/>
      <c r="K150" t="s">
        <v>627</v>
      </c>
    </row>
    <row r="151" spans="1:11" ht="38.25" x14ac:dyDescent="0.25">
      <c r="A151" s="145"/>
      <c r="B151" s="145" t="s">
        <v>3</v>
      </c>
      <c r="C151" s="113"/>
      <c r="D151" s="113"/>
      <c r="E151" s="113" t="s">
        <v>628</v>
      </c>
      <c r="F151" s="116">
        <v>5</v>
      </c>
      <c r="G151" s="20">
        <f t="shared" si="25"/>
        <v>5</v>
      </c>
      <c r="H151" s="20">
        <f t="shared" si="24"/>
        <v>0</v>
      </c>
      <c r="I151" s="114"/>
      <c r="J151" s="114"/>
      <c r="K151" t="s">
        <v>629</v>
      </c>
    </row>
    <row r="152" spans="1:11" ht="38.25" x14ac:dyDescent="0.25">
      <c r="A152" s="145">
        <v>801.01099999999997</v>
      </c>
      <c r="B152" s="145" t="s">
        <v>4</v>
      </c>
      <c r="C152" s="113"/>
      <c r="D152" s="113"/>
      <c r="E152" s="113" t="s">
        <v>630</v>
      </c>
      <c r="F152" s="116">
        <v>5</v>
      </c>
      <c r="G152" s="20">
        <f t="shared" si="25"/>
        <v>5</v>
      </c>
      <c r="H152" s="20">
        <f t="shared" si="24"/>
        <v>0</v>
      </c>
      <c r="I152" s="114"/>
      <c r="J152" s="114"/>
      <c r="K152" t="s">
        <v>631</v>
      </c>
    </row>
    <row r="153" spans="1:11" ht="38.25" x14ac:dyDescent="0.25">
      <c r="A153" s="145"/>
      <c r="B153" s="145" t="s">
        <v>408</v>
      </c>
      <c r="C153" s="113"/>
      <c r="D153" s="113"/>
      <c r="E153" s="113" t="s">
        <v>632</v>
      </c>
      <c r="F153" s="116">
        <v>3</v>
      </c>
      <c r="G153" s="20">
        <f t="shared" si="25"/>
        <v>3</v>
      </c>
      <c r="H153" s="20">
        <f t="shared" si="24"/>
        <v>0</v>
      </c>
      <c r="I153" s="114"/>
      <c r="J153" s="114"/>
      <c r="K153" t="s">
        <v>633</v>
      </c>
    </row>
    <row r="154" spans="1:11" ht="25.5" x14ac:dyDescent="0.25">
      <c r="A154" s="145">
        <v>621.00300000000004</v>
      </c>
      <c r="B154" s="145" t="s">
        <v>409</v>
      </c>
      <c r="C154" s="113"/>
      <c r="D154" s="113"/>
      <c r="E154" s="113" t="s">
        <v>634</v>
      </c>
      <c r="F154" s="116">
        <v>3</v>
      </c>
      <c r="G154" s="20">
        <f t="shared" si="25"/>
        <v>3</v>
      </c>
      <c r="H154" s="20">
        <f t="shared" si="24"/>
        <v>0</v>
      </c>
      <c r="I154" s="114"/>
      <c r="J154" s="114"/>
      <c r="K154" t="s">
        <v>635</v>
      </c>
    </row>
    <row r="155" spans="1:11" ht="38.25" x14ac:dyDescent="0.25">
      <c r="A155" s="145">
        <v>621.00099999999998</v>
      </c>
      <c r="B155" s="145" t="s">
        <v>947</v>
      </c>
      <c r="C155" s="113"/>
      <c r="D155" s="113"/>
      <c r="E155" s="113" t="s">
        <v>636</v>
      </c>
      <c r="F155" s="116">
        <v>3</v>
      </c>
      <c r="G155" s="20">
        <f t="shared" si="25"/>
        <v>3</v>
      </c>
      <c r="H155" s="20">
        <f t="shared" si="24"/>
        <v>0</v>
      </c>
      <c r="I155" s="114"/>
      <c r="J155" s="114"/>
      <c r="K155" t="s">
        <v>637</v>
      </c>
    </row>
    <row r="156" spans="1:11" ht="38.25" x14ac:dyDescent="0.25">
      <c r="A156" s="145" t="s">
        <v>973</v>
      </c>
      <c r="B156" s="145" t="s">
        <v>5</v>
      </c>
      <c r="C156" s="113"/>
      <c r="D156" s="113"/>
      <c r="E156" s="113" t="s">
        <v>638</v>
      </c>
      <c r="F156" s="116">
        <v>3</v>
      </c>
      <c r="G156" s="20">
        <f t="shared" si="25"/>
        <v>3</v>
      </c>
      <c r="H156" s="20">
        <f t="shared" si="24"/>
        <v>0</v>
      </c>
      <c r="I156" s="114"/>
      <c r="J156" s="114"/>
      <c r="K156" t="s">
        <v>639</v>
      </c>
    </row>
    <row r="157" spans="1:11" ht="51" x14ac:dyDescent="0.25">
      <c r="A157" s="145">
        <v>821.01800000000003</v>
      </c>
      <c r="B157" s="145" t="s">
        <v>6</v>
      </c>
      <c r="C157" s="113"/>
      <c r="D157" s="113"/>
      <c r="E157" s="113" t="s">
        <v>640</v>
      </c>
      <c r="F157" s="116">
        <v>3</v>
      </c>
      <c r="G157" s="20">
        <f t="shared" si="25"/>
        <v>3</v>
      </c>
      <c r="H157" s="20">
        <f t="shared" si="24"/>
        <v>0</v>
      </c>
      <c r="I157" s="114"/>
      <c r="J157" s="114"/>
      <c r="K157" t="s">
        <v>641</v>
      </c>
    </row>
    <row r="158" spans="1:11" ht="38.25" x14ac:dyDescent="0.25">
      <c r="A158" s="145" t="s">
        <v>974</v>
      </c>
      <c r="B158" s="145" t="s">
        <v>7</v>
      </c>
      <c r="C158" s="113"/>
      <c r="D158" s="113"/>
      <c r="E158" s="113" t="s">
        <v>642</v>
      </c>
      <c r="F158" s="116">
        <v>3</v>
      </c>
      <c r="G158" s="20">
        <f t="shared" si="25"/>
        <v>3</v>
      </c>
      <c r="H158" s="20">
        <f t="shared" si="24"/>
        <v>0</v>
      </c>
      <c r="I158" s="114"/>
      <c r="J158" s="114"/>
      <c r="K158" t="s">
        <v>643</v>
      </c>
    </row>
    <row r="159" spans="1:11" ht="51" x14ac:dyDescent="0.25">
      <c r="A159" s="145">
        <v>822.01199999999994</v>
      </c>
      <c r="B159" s="145" t="s">
        <v>8</v>
      </c>
      <c r="C159" s="113"/>
      <c r="D159" s="113"/>
      <c r="E159" s="113" t="s">
        <v>644</v>
      </c>
      <c r="F159" s="116">
        <v>3</v>
      </c>
      <c r="G159" s="20">
        <f t="shared" si="25"/>
        <v>3</v>
      </c>
      <c r="H159" s="20">
        <f t="shared" si="24"/>
        <v>0</v>
      </c>
      <c r="I159" s="114"/>
      <c r="J159" s="114"/>
      <c r="K159" t="s">
        <v>645</v>
      </c>
    </row>
    <row r="160" spans="1:11" ht="25.5" x14ac:dyDescent="0.25">
      <c r="A160" s="159" t="s">
        <v>975</v>
      </c>
      <c r="B160" s="159" t="s">
        <v>410</v>
      </c>
      <c r="C160" s="113"/>
      <c r="D160" s="113"/>
      <c r="E160" s="113" t="s">
        <v>646</v>
      </c>
      <c r="F160" s="116">
        <v>3</v>
      </c>
      <c r="G160" s="20">
        <f t="shared" si="25"/>
        <v>3</v>
      </c>
      <c r="H160" s="20">
        <f t="shared" si="24"/>
        <v>0</v>
      </c>
      <c r="I160" s="114"/>
      <c r="J160" s="114"/>
      <c r="K160" t="s">
        <v>647</v>
      </c>
    </row>
    <row r="161" spans="1:11" ht="51" x14ac:dyDescent="0.25">
      <c r="A161" s="159" t="s">
        <v>976</v>
      </c>
      <c r="B161" s="159" t="s">
        <v>9</v>
      </c>
      <c r="C161" s="113"/>
      <c r="D161" s="113"/>
      <c r="E161" s="113" t="s">
        <v>648</v>
      </c>
      <c r="F161" s="116">
        <v>3</v>
      </c>
      <c r="G161" s="20">
        <f t="shared" si="25"/>
        <v>3</v>
      </c>
      <c r="H161" s="20">
        <f t="shared" si="24"/>
        <v>0</v>
      </c>
      <c r="I161" s="114"/>
      <c r="J161" s="114"/>
      <c r="K161" t="s">
        <v>649</v>
      </c>
    </row>
    <row r="162" spans="1:11" ht="38.25" x14ac:dyDescent="0.25">
      <c r="A162" s="159" t="s">
        <v>977</v>
      </c>
      <c r="B162" s="159" t="s">
        <v>411</v>
      </c>
      <c r="C162" s="113"/>
      <c r="D162" s="113"/>
      <c r="E162" s="113" t="s">
        <v>650</v>
      </c>
      <c r="F162" s="116">
        <v>3</v>
      </c>
      <c r="G162" s="20">
        <f t="shared" si="25"/>
        <v>3</v>
      </c>
      <c r="H162" s="20">
        <f t="shared" si="24"/>
        <v>0</v>
      </c>
      <c r="I162" s="114"/>
      <c r="J162" s="114"/>
      <c r="K162" t="s">
        <v>651</v>
      </c>
    </row>
    <row r="163" spans="1:11" ht="38.25" x14ac:dyDescent="0.25">
      <c r="A163" s="159">
        <v>531.02499999999998</v>
      </c>
      <c r="B163" s="159" t="s">
        <v>10</v>
      </c>
      <c r="C163" s="113"/>
      <c r="D163" s="113"/>
      <c r="E163" s="113" t="s">
        <v>652</v>
      </c>
      <c r="F163" s="116">
        <v>4</v>
      </c>
      <c r="G163" s="20">
        <f t="shared" si="25"/>
        <v>4</v>
      </c>
      <c r="H163" s="20">
        <f t="shared" si="24"/>
        <v>0</v>
      </c>
      <c r="I163" s="114"/>
      <c r="J163" s="114"/>
      <c r="K163" t="s">
        <v>653</v>
      </c>
    </row>
    <row r="164" spans="1:11" ht="51" x14ac:dyDescent="0.25">
      <c r="A164" s="145" t="s">
        <v>978</v>
      </c>
      <c r="B164" s="145" t="s">
        <v>11</v>
      </c>
      <c r="C164" s="113"/>
      <c r="D164" s="113"/>
      <c r="E164" s="113" t="s">
        <v>654</v>
      </c>
      <c r="F164" s="116">
        <v>3</v>
      </c>
      <c r="G164" s="20">
        <f t="shared" si="25"/>
        <v>3</v>
      </c>
      <c r="H164" s="20">
        <f t="shared" si="24"/>
        <v>0</v>
      </c>
      <c r="I164" s="114"/>
      <c r="J164" s="114"/>
      <c r="K164" t="s">
        <v>655</v>
      </c>
    </row>
    <row r="165" spans="1:11" ht="38.25" x14ac:dyDescent="0.25">
      <c r="A165" s="145">
        <v>812.00099999999998</v>
      </c>
      <c r="B165" s="145" t="s">
        <v>12</v>
      </c>
      <c r="C165" s="113"/>
      <c r="D165" s="113"/>
      <c r="E165" s="113" t="s">
        <v>656</v>
      </c>
      <c r="F165" s="116">
        <v>3</v>
      </c>
      <c r="G165" s="20">
        <f t="shared" si="25"/>
        <v>3</v>
      </c>
      <c r="H165" s="20">
        <f t="shared" si="24"/>
        <v>0</v>
      </c>
      <c r="I165" s="114"/>
      <c r="J165" s="114"/>
      <c r="K165" t="s">
        <v>657</v>
      </c>
    </row>
    <row r="166" spans="1:11" ht="38.25" x14ac:dyDescent="0.25">
      <c r="A166" s="145">
        <v>811.005</v>
      </c>
      <c r="B166" s="145" t="s">
        <v>412</v>
      </c>
      <c r="C166" s="113"/>
      <c r="D166" s="113"/>
      <c r="E166" s="113" t="s">
        <v>658</v>
      </c>
      <c r="F166" s="116">
        <v>3</v>
      </c>
      <c r="G166" s="20">
        <f t="shared" si="25"/>
        <v>3</v>
      </c>
      <c r="H166" s="20">
        <f t="shared" si="24"/>
        <v>0</v>
      </c>
      <c r="I166" s="114"/>
      <c r="J166" s="114"/>
      <c r="K166" t="s">
        <v>659</v>
      </c>
    </row>
    <row r="167" spans="1:11" ht="51" x14ac:dyDescent="0.25">
      <c r="A167" s="145">
        <v>7625.01</v>
      </c>
      <c r="B167" s="145" t="s">
        <v>13</v>
      </c>
      <c r="C167" s="113"/>
      <c r="D167" s="113"/>
      <c r="E167" s="113" t="s">
        <v>660</v>
      </c>
      <c r="F167" s="116">
        <v>4</v>
      </c>
      <c r="G167" s="20">
        <f t="shared" si="25"/>
        <v>4</v>
      </c>
      <c r="H167" s="20">
        <f t="shared" si="24"/>
        <v>0</v>
      </c>
      <c r="I167" s="114"/>
      <c r="J167" s="114"/>
      <c r="K167" t="s">
        <v>661</v>
      </c>
    </row>
    <row r="168" spans="1:11" ht="38.25" x14ac:dyDescent="0.25">
      <c r="A168" s="145">
        <v>391.00099999999998</v>
      </c>
      <c r="B168" s="145" t="s">
        <v>14</v>
      </c>
      <c r="C168" s="113"/>
      <c r="D168" s="113"/>
      <c r="E168" s="113" t="s">
        <v>662</v>
      </c>
      <c r="F168" s="116">
        <v>4</v>
      </c>
      <c r="G168" s="20">
        <f t="shared" si="25"/>
        <v>4</v>
      </c>
      <c r="H168" s="20">
        <f t="shared" si="24"/>
        <v>0</v>
      </c>
      <c r="I168" s="114"/>
      <c r="J168" s="114"/>
      <c r="K168" t="s">
        <v>663</v>
      </c>
    </row>
    <row r="169" spans="1:11" ht="38.25" x14ac:dyDescent="0.25">
      <c r="A169" s="145" t="s">
        <v>951</v>
      </c>
      <c r="B169" s="145" t="s">
        <v>15</v>
      </c>
      <c r="C169" s="113"/>
      <c r="D169" s="113"/>
      <c r="E169" s="113" t="s">
        <v>664</v>
      </c>
      <c r="F169" s="116">
        <v>3</v>
      </c>
      <c r="G169" s="20">
        <f t="shared" si="25"/>
        <v>3</v>
      </c>
      <c r="H169" s="20">
        <f t="shared" si="24"/>
        <v>0</v>
      </c>
      <c r="I169" s="114"/>
      <c r="J169" s="114"/>
      <c r="K169" t="s">
        <v>665</v>
      </c>
    </row>
    <row r="170" spans="1:11" ht="38.25" x14ac:dyDescent="0.25">
      <c r="A170" s="145">
        <v>663.01400000000001</v>
      </c>
      <c r="B170" s="145" t="s">
        <v>16</v>
      </c>
      <c r="C170" s="113"/>
      <c r="D170" s="113"/>
      <c r="E170" s="113" t="s">
        <v>666</v>
      </c>
      <c r="F170" s="116">
        <v>3</v>
      </c>
      <c r="G170" s="20">
        <f t="shared" si="25"/>
        <v>3</v>
      </c>
      <c r="H170" s="20">
        <f t="shared" si="24"/>
        <v>0</v>
      </c>
      <c r="I170" s="114"/>
      <c r="J170" s="114"/>
      <c r="K170" t="s">
        <v>667</v>
      </c>
    </row>
    <row r="171" spans="1:11" ht="38.25" x14ac:dyDescent="0.25">
      <c r="A171" s="145"/>
      <c r="B171" s="145" t="s">
        <v>413</v>
      </c>
      <c r="C171" s="113"/>
      <c r="D171" s="113"/>
      <c r="E171" s="113" t="s">
        <v>668</v>
      </c>
      <c r="F171" s="116">
        <v>5</v>
      </c>
      <c r="G171" s="20">
        <f t="shared" si="25"/>
        <v>5</v>
      </c>
      <c r="H171" s="20">
        <f t="shared" si="24"/>
        <v>0</v>
      </c>
      <c r="I171" s="114"/>
      <c r="J171" s="114"/>
      <c r="K171" t="s">
        <v>669</v>
      </c>
    </row>
    <row r="172" spans="1:11" x14ac:dyDescent="0.25">
      <c r="A172" s="145">
        <v>222</v>
      </c>
      <c r="B172" s="145" t="s">
        <v>414</v>
      </c>
      <c r="C172" s="113"/>
      <c r="D172" s="113"/>
      <c r="E172" s="113" t="s">
        <v>670</v>
      </c>
      <c r="F172" s="116">
        <v>5</v>
      </c>
      <c r="G172" s="20">
        <f t="shared" si="25"/>
        <v>5</v>
      </c>
      <c r="H172" s="20">
        <f t="shared" si="24"/>
        <v>0</v>
      </c>
      <c r="I172" s="114"/>
      <c r="J172" s="114"/>
      <c r="K172" t="s">
        <v>671</v>
      </c>
    </row>
    <row r="173" spans="1:11" ht="25.5" x14ac:dyDescent="0.25">
      <c r="A173" s="145">
        <v>762</v>
      </c>
      <c r="B173" s="145" t="s">
        <v>17</v>
      </c>
      <c r="C173" s="113"/>
      <c r="D173" s="113"/>
      <c r="E173" s="113" t="s">
        <v>672</v>
      </c>
      <c r="F173" s="116">
        <v>5</v>
      </c>
      <c r="G173" s="20">
        <f t="shared" si="25"/>
        <v>5</v>
      </c>
      <c r="H173" s="20">
        <f t="shared" si="24"/>
        <v>0</v>
      </c>
      <c r="I173" s="114"/>
      <c r="J173" s="114"/>
      <c r="K173" t="s">
        <v>673</v>
      </c>
    </row>
    <row r="174" spans="1:11" ht="38.25" x14ac:dyDescent="0.25">
      <c r="A174" s="145">
        <v>762.01</v>
      </c>
      <c r="B174" s="145" t="s">
        <v>415</v>
      </c>
      <c r="C174" s="113"/>
      <c r="D174" s="113"/>
      <c r="E174" s="113" t="s">
        <v>674</v>
      </c>
      <c r="F174" s="116">
        <v>3</v>
      </c>
      <c r="G174" s="20">
        <f t="shared" si="25"/>
        <v>3</v>
      </c>
      <c r="H174" s="20">
        <f t="shared" si="24"/>
        <v>0</v>
      </c>
      <c r="I174" s="114"/>
      <c r="J174" s="114"/>
      <c r="K174" t="s">
        <v>675</v>
      </c>
    </row>
    <row r="175" spans="1:11" ht="25.5" x14ac:dyDescent="0.25">
      <c r="A175" s="145"/>
      <c r="B175" s="145" t="s">
        <v>416</v>
      </c>
      <c r="C175" s="113"/>
      <c r="D175" s="113"/>
      <c r="E175" s="113" t="s">
        <v>676</v>
      </c>
      <c r="F175" s="116">
        <v>4</v>
      </c>
      <c r="G175" s="20">
        <f t="shared" si="25"/>
        <v>4</v>
      </c>
      <c r="H175" s="20">
        <f t="shared" si="24"/>
        <v>0</v>
      </c>
      <c r="I175" s="114"/>
      <c r="J175" s="114"/>
      <c r="K175" t="s">
        <v>677</v>
      </c>
    </row>
    <row r="176" spans="1:11" ht="38.25" x14ac:dyDescent="0.25">
      <c r="A176" s="145"/>
      <c r="B176" s="145" t="s">
        <v>18</v>
      </c>
      <c r="C176" s="113"/>
      <c r="D176" s="113"/>
      <c r="E176" s="113" t="s">
        <v>678</v>
      </c>
      <c r="F176" s="116">
        <v>5</v>
      </c>
      <c r="G176" s="20">
        <f t="shared" si="25"/>
        <v>5</v>
      </c>
      <c r="H176" s="20">
        <f t="shared" si="24"/>
        <v>0</v>
      </c>
      <c r="I176" s="114"/>
      <c r="J176" s="114"/>
      <c r="K176" t="s">
        <v>679</v>
      </c>
    </row>
    <row r="177" spans="1:11" ht="25.5" x14ac:dyDescent="0.25">
      <c r="A177" s="145" t="s">
        <v>952</v>
      </c>
      <c r="B177" s="145" t="s">
        <v>19</v>
      </c>
      <c r="C177" s="113"/>
      <c r="D177" s="113"/>
      <c r="E177" s="113" t="s">
        <v>680</v>
      </c>
      <c r="F177" s="116">
        <v>5</v>
      </c>
      <c r="G177" s="20">
        <f t="shared" si="25"/>
        <v>5</v>
      </c>
      <c r="H177" s="20">
        <f t="shared" si="24"/>
        <v>0</v>
      </c>
      <c r="I177" s="114"/>
      <c r="J177" s="114"/>
      <c r="K177" t="s">
        <v>681</v>
      </c>
    </row>
    <row r="178" spans="1:11" ht="25.5" x14ac:dyDescent="0.25">
      <c r="A178" s="145" t="s">
        <v>953</v>
      </c>
      <c r="B178" s="145" t="s">
        <v>20</v>
      </c>
      <c r="C178" s="113"/>
      <c r="D178" s="113"/>
      <c r="E178" s="113" t="s">
        <v>682</v>
      </c>
      <c r="F178" s="116">
        <v>5</v>
      </c>
      <c r="G178" s="20">
        <f t="shared" si="25"/>
        <v>5</v>
      </c>
      <c r="H178" s="20">
        <f t="shared" si="24"/>
        <v>0</v>
      </c>
      <c r="I178" s="114"/>
      <c r="J178" s="114"/>
      <c r="K178" t="s">
        <v>683</v>
      </c>
    </row>
    <row r="179" spans="1:11" ht="38.25" x14ac:dyDescent="0.25">
      <c r="A179" s="145">
        <v>306.01</v>
      </c>
      <c r="B179" s="145" t="s">
        <v>417</v>
      </c>
      <c r="C179" s="113"/>
      <c r="D179" s="113"/>
      <c r="E179" s="113" t="s">
        <v>684</v>
      </c>
      <c r="F179" s="116">
        <v>5</v>
      </c>
      <c r="G179" s="20">
        <f t="shared" si="25"/>
        <v>5</v>
      </c>
      <c r="H179" s="20">
        <f t="shared" si="24"/>
        <v>0</v>
      </c>
      <c r="I179" s="114"/>
      <c r="J179" s="114"/>
      <c r="K179" t="s">
        <v>685</v>
      </c>
    </row>
    <row r="180" spans="1:11" ht="25.5" x14ac:dyDescent="0.25">
      <c r="A180" s="145">
        <v>306.005</v>
      </c>
      <c r="B180" s="145" t="s">
        <v>686</v>
      </c>
      <c r="C180" s="113"/>
      <c r="D180" s="113"/>
      <c r="E180" s="113" t="s">
        <v>687</v>
      </c>
      <c r="F180" s="116">
        <v>5</v>
      </c>
      <c r="G180" s="20">
        <f t="shared" si="25"/>
        <v>5</v>
      </c>
      <c r="H180" s="20">
        <f t="shared" si="24"/>
        <v>0</v>
      </c>
      <c r="I180" s="114"/>
      <c r="J180" s="114"/>
      <c r="K180" t="s">
        <v>688</v>
      </c>
    </row>
    <row r="181" spans="1:11" ht="25.5" x14ac:dyDescent="0.25">
      <c r="A181" s="145">
        <v>306.005</v>
      </c>
      <c r="B181" s="145" t="s">
        <v>279</v>
      </c>
      <c r="C181" s="113"/>
      <c r="D181" s="113"/>
      <c r="E181" s="113" t="s">
        <v>689</v>
      </c>
      <c r="F181" s="116">
        <v>5</v>
      </c>
      <c r="G181" s="20">
        <f t="shared" si="25"/>
        <v>5</v>
      </c>
      <c r="H181" s="20">
        <f t="shared" si="24"/>
        <v>0</v>
      </c>
      <c r="I181" s="114"/>
      <c r="J181" s="114"/>
      <c r="K181" t="s">
        <v>690</v>
      </c>
    </row>
    <row r="182" spans="1:11" x14ac:dyDescent="0.25">
      <c r="A182" s="145"/>
      <c r="B182" s="145" t="s">
        <v>418</v>
      </c>
      <c r="C182" s="113"/>
      <c r="D182" s="113"/>
      <c r="E182" s="113" t="s">
        <v>691</v>
      </c>
      <c r="F182" s="116">
        <v>5</v>
      </c>
      <c r="G182" s="20">
        <f t="shared" si="25"/>
        <v>5</v>
      </c>
      <c r="H182" s="20">
        <f t="shared" si="24"/>
        <v>0</v>
      </c>
      <c r="I182" s="114"/>
      <c r="J182" s="114"/>
      <c r="K182" t="s">
        <v>692</v>
      </c>
    </row>
    <row r="183" spans="1:11" ht="51" x14ac:dyDescent="0.25">
      <c r="A183" s="145">
        <v>665</v>
      </c>
      <c r="B183" s="145" t="s">
        <v>21</v>
      </c>
      <c r="C183" s="113"/>
      <c r="D183" s="113"/>
      <c r="E183" s="113" t="s">
        <v>693</v>
      </c>
      <c r="F183" s="116">
        <v>3</v>
      </c>
      <c r="G183" s="20">
        <f t="shared" si="25"/>
        <v>3</v>
      </c>
      <c r="H183" s="20">
        <f t="shared" si="24"/>
        <v>0</v>
      </c>
      <c r="I183" s="114"/>
      <c r="J183" s="114"/>
      <c r="K183" t="s">
        <v>694</v>
      </c>
    </row>
    <row r="184" spans="1:11" ht="25.5" x14ac:dyDescent="0.25">
      <c r="A184" s="145">
        <v>456.00099999999998</v>
      </c>
      <c r="B184" s="145" t="s">
        <v>695</v>
      </c>
      <c r="C184" s="113"/>
      <c r="D184" s="113"/>
      <c r="E184" s="113" t="s">
        <v>696</v>
      </c>
      <c r="F184" s="116">
        <v>3</v>
      </c>
      <c r="G184" s="20">
        <f t="shared" si="25"/>
        <v>3</v>
      </c>
      <c r="H184" s="20">
        <f t="shared" si="24"/>
        <v>0</v>
      </c>
      <c r="I184" s="114"/>
      <c r="J184" s="114"/>
      <c r="K184" t="s">
        <v>697</v>
      </c>
    </row>
    <row r="185" spans="1:11" ht="38.25" x14ac:dyDescent="0.25">
      <c r="A185" s="145">
        <v>872</v>
      </c>
      <c r="B185" s="145" t="s">
        <v>22</v>
      </c>
      <c r="C185" s="113"/>
      <c r="D185" s="113"/>
      <c r="E185" s="113" t="s">
        <v>698</v>
      </c>
      <c r="F185" s="116">
        <v>5</v>
      </c>
      <c r="G185" s="20">
        <f t="shared" si="25"/>
        <v>5</v>
      </c>
      <c r="H185" s="20">
        <f t="shared" si="24"/>
        <v>0</v>
      </c>
      <c r="I185" s="114"/>
      <c r="J185" s="114"/>
      <c r="K185" t="s">
        <v>699</v>
      </c>
    </row>
    <row r="186" spans="1:11" x14ac:dyDescent="0.25">
      <c r="A186" s="145">
        <v>308.024</v>
      </c>
      <c r="B186" s="145" t="s">
        <v>419</v>
      </c>
      <c r="C186" s="113"/>
      <c r="D186" s="113"/>
      <c r="E186" s="113" t="s">
        <v>700</v>
      </c>
      <c r="F186" s="116">
        <v>5</v>
      </c>
      <c r="G186" s="20">
        <f t="shared" si="25"/>
        <v>5</v>
      </c>
      <c r="H186" s="20">
        <f t="shared" si="24"/>
        <v>0</v>
      </c>
      <c r="I186" s="114"/>
      <c r="J186" s="114"/>
      <c r="K186" t="s">
        <v>701</v>
      </c>
    </row>
    <row r="187" spans="1:11" ht="38.25" x14ac:dyDescent="0.25">
      <c r="A187" s="145">
        <v>863.00099999999998</v>
      </c>
      <c r="B187" s="145" t="s">
        <v>420</v>
      </c>
      <c r="C187" s="113"/>
      <c r="D187" s="113"/>
      <c r="E187" s="113" t="s">
        <v>702</v>
      </c>
      <c r="F187" s="116">
        <v>3</v>
      </c>
      <c r="G187" s="20">
        <f t="shared" si="25"/>
        <v>3</v>
      </c>
      <c r="H187" s="20">
        <f t="shared" si="24"/>
        <v>0</v>
      </c>
      <c r="I187" s="114"/>
      <c r="J187" s="114"/>
      <c r="K187" t="s">
        <v>703</v>
      </c>
    </row>
    <row r="188" spans="1:11" ht="51" x14ac:dyDescent="0.25">
      <c r="A188" s="145" t="s">
        <v>954</v>
      </c>
      <c r="B188" s="145" t="s">
        <v>421</v>
      </c>
      <c r="C188" s="113"/>
      <c r="D188" s="113"/>
      <c r="E188" s="113" t="s">
        <v>704</v>
      </c>
      <c r="F188" s="116">
        <v>4</v>
      </c>
      <c r="G188" s="20">
        <f t="shared" si="25"/>
        <v>4</v>
      </c>
      <c r="H188" s="20">
        <f t="shared" si="24"/>
        <v>0</v>
      </c>
      <c r="I188" s="114"/>
      <c r="J188" s="114"/>
      <c r="K188" t="s">
        <v>705</v>
      </c>
    </row>
    <row r="189" spans="1:11" ht="25.5" x14ac:dyDescent="0.25">
      <c r="A189" s="145">
        <v>868.00099999999998</v>
      </c>
      <c r="B189" s="145" t="s">
        <v>422</v>
      </c>
      <c r="C189" s="113"/>
      <c r="D189" s="113"/>
      <c r="E189" s="113" t="s">
        <v>706</v>
      </c>
      <c r="F189" s="116">
        <v>4</v>
      </c>
      <c r="G189" s="20">
        <f t="shared" si="25"/>
        <v>4</v>
      </c>
      <c r="H189" s="20">
        <f t="shared" si="24"/>
        <v>0</v>
      </c>
      <c r="I189" s="114"/>
      <c r="J189" s="114"/>
      <c r="K189" t="s">
        <v>707</v>
      </c>
    </row>
    <row r="190" spans="1:11" ht="38.25" x14ac:dyDescent="0.25">
      <c r="A190" s="145">
        <v>862.00199999999995</v>
      </c>
      <c r="B190" s="145" t="s">
        <v>423</v>
      </c>
      <c r="C190" s="113"/>
      <c r="D190" s="113"/>
      <c r="E190" s="113" t="s">
        <v>708</v>
      </c>
      <c r="F190" s="116">
        <v>4</v>
      </c>
      <c r="G190" s="20">
        <f t="shared" si="25"/>
        <v>4</v>
      </c>
      <c r="H190" s="20">
        <f t="shared" si="24"/>
        <v>0</v>
      </c>
      <c r="I190" s="114"/>
      <c r="J190" s="114"/>
      <c r="K190" t="s">
        <v>709</v>
      </c>
    </row>
    <row r="191" spans="1:11" ht="25.5" x14ac:dyDescent="0.25">
      <c r="A191" s="145">
        <v>861.00099999999998</v>
      </c>
      <c r="B191" s="145" t="s">
        <v>424</v>
      </c>
      <c r="C191" s="113"/>
      <c r="D191" s="113"/>
      <c r="E191" s="113" t="s">
        <v>710</v>
      </c>
      <c r="F191" s="116">
        <v>4</v>
      </c>
      <c r="G191" s="20">
        <f t="shared" si="25"/>
        <v>4</v>
      </c>
      <c r="H191" s="20">
        <f t="shared" si="24"/>
        <v>0</v>
      </c>
      <c r="I191" s="114"/>
      <c r="J191" s="114"/>
      <c r="K191" t="s">
        <v>711</v>
      </c>
    </row>
    <row r="192" spans="1:11" ht="51" x14ac:dyDescent="0.25">
      <c r="A192" s="145" t="s">
        <v>712</v>
      </c>
      <c r="B192" s="159" t="s">
        <v>425</v>
      </c>
      <c r="C192" s="113"/>
      <c r="D192" s="113"/>
      <c r="E192" s="113" t="s">
        <v>713</v>
      </c>
      <c r="F192" s="116">
        <v>5</v>
      </c>
      <c r="G192" s="20">
        <f t="shared" si="25"/>
        <v>5</v>
      </c>
      <c r="H192" s="20">
        <f t="shared" si="24"/>
        <v>0</v>
      </c>
      <c r="I192" s="114"/>
      <c r="J192" s="114"/>
      <c r="K192" t="s">
        <v>714</v>
      </c>
    </row>
    <row r="193" spans="1:11" ht="51" x14ac:dyDescent="0.25">
      <c r="A193" s="145" t="s">
        <v>715</v>
      </c>
      <c r="B193" s="159" t="s">
        <v>426</v>
      </c>
      <c r="C193" s="113"/>
      <c r="D193" s="113"/>
      <c r="E193" s="113" t="s">
        <v>716</v>
      </c>
      <c r="F193" s="116">
        <v>5</v>
      </c>
      <c r="G193" s="20">
        <f t="shared" si="25"/>
        <v>5</v>
      </c>
      <c r="H193" s="20">
        <f t="shared" ref="H193:H198" si="26">IF(C193="Y",F193,0)</f>
        <v>0</v>
      </c>
      <c r="I193" s="114"/>
      <c r="J193" s="114"/>
      <c r="K193" t="s">
        <v>717</v>
      </c>
    </row>
    <row r="194" spans="1:11" ht="51" x14ac:dyDescent="0.25">
      <c r="A194" s="145" t="s">
        <v>718</v>
      </c>
      <c r="B194" s="159" t="s">
        <v>427</v>
      </c>
      <c r="C194" s="113"/>
      <c r="D194" s="113"/>
      <c r="E194" s="113" t="s">
        <v>719</v>
      </c>
      <c r="F194" s="116">
        <v>5</v>
      </c>
      <c r="G194" s="20">
        <f>IF(E194="X",F194,0)</f>
        <v>5</v>
      </c>
      <c r="H194" s="20">
        <f t="shared" si="26"/>
        <v>0</v>
      </c>
      <c r="I194" s="114"/>
      <c r="J194" s="114"/>
      <c r="K194" t="s">
        <v>720</v>
      </c>
    </row>
    <row r="195" spans="1:11" ht="25.5" x14ac:dyDescent="0.25">
      <c r="A195" s="145"/>
      <c r="B195" s="145" t="s">
        <v>439</v>
      </c>
      <c r="C195" s="113"/>
      <c r="D195" s="113"/>
      <c r="E195" s="113" t="s">
        <v>721</v>
      </c>
      <c r="F195" s="116">
        <v>5</v>
      </c>
      <c r="G195" s="20">
        <f>IF(E195="X",F195,0)</f>
        <v>5</v>
      </c>
      <c r="H195" s="20">
        <f t="shared" si="26"/>
        <v>0</v>
      </c>
      <c r="I195" s="114"/>
      <c r="J195" s="114"/>
      <c r="K195" t="s">
        <v>722</v>
      </c>
    </row>
    <row r="196" spans="1:11" ht="38.25" x14ac:dyDescent="0.25">
      <c r="A196" s="145">
        <v>231</v>
      </c>
      <c r="B196" s="145" t="s">
        <v>428</v>
      </c>
      <c r="C196" s="113"/>
      <c r="D196" s="113"/>
      <c r="E196" s="113" t="s">
        <v>723</v>
      </c>
      <c r="F196" s="116">
        <v>3</v>
      </c>
      <c r="G196" s="20">
        <f>IF(E196="X",F196,0)</f>
        <v>3</v>
      </c>
      <c r="H196" s="20">
        <f t="shared" si="26"/>
        <v>0</v>
      </c>
      <c r="I196" s="114"/>
      <c r="J196" s="114"/>
      <c r="K196" t="s">
        <v>724</v>
      </c>
    </row>
    <row r="197" spans="1:11" ht="38.25" x14ac:dyDescent="0.25">
      <c r="A197" s="145">
        <v>242</v>
      </c>
      <c r="B197" s="145" t="s">
        <v>429</v>
      </c>
      <c r="C197" s="113"/>
      <c r="D197" s="113"/>
      <c r="E197" s="113" t="s">
        <v>725</v>
      </c>
      <c r="F197" s="116">
        <v>3</v>
      </c>
      <c r="G197" s="20">
        <f>IF(E197="X",F197,0)</f>
        <v>3</v>
      </c>
      <c r="H197" s="20">
        <f t="shared" si="26"/>
        <v>0</v>
      </c>
      <c r="I197" s="114"/>
      <c r="J197" s="114"/>
      <c r="K197" t="s">
        <v>726</v>
      </c>
    </row>
    <row r="198" spans="1:11" ht="38.25" x14ac:dyDescent="0.25">
      <c r="A198" s="145">
        <v>241</v>
      </c>
      <c r="B198" s="145" t="s">
        <v>430</v>
      </c>
      <c r="C198" s="113"/>
      <c r="D198" s="113"/>
      <c r="E198" s="113" t="s">
        <v>727</v>
      </c>
      <c r="F198" s="116">
        <v>3</v>
      </c>
      <c r="G198" s="20">
        <f>IF(E198="X",F198,0)</f>
        <v>3</v>
      </c>
      <c r="H198" s="20">
        <f t="shared" si="26"/>
        <v>0</v>
      </c>
      <c r="I198" s="114"/>
      <c r="J198" s="114"/>
      <c r="K198" t="s">
        <v>728</v>
      </c>
    </row>
    <row r="199" spans="1:11" x14ac:dyDescent="0.25">
      <c r="A199" s="66"/>
      <c r="B199" s="62"/>
      <c r="C199" s="157"/>
      <c r="D199" s="157"/>
      <c r="E199" s="157"/>
      <c r="F199" s="158"/>
      <c r="G199" s="158"/>
      <c r="H199" s="158"/>
      <c r="I199" s="164"/>
      <c r="J199" s="160"/>
    </row>
    <row r="200" spans="1:11" x14ac:dyDescent="0.25">
      <c r="A200" s="67"/>
      <c r="B200" s="6" t="s">
        <v>431</v>
      </c>
      <c r="C200" s="161"/>
      <c r="D200" s="161"/>
      <c r="E200" s="161"/>
      <c r="F200" s="162"/>
      <c r="G200" s="162"/>
      <c r="H200" s="162"/>
      <c r="I200" s="163"/>
      <c r="J200" s="155"/>
    </row>
    <row r="201" spans="1:11" ht="25.5" x14ac:dyDescent="0.25">
      <c r="A201" s="145">
        <v>205</v>
      </c>
      <c r="B201" s="145" t="s">
        <v>432</v>
      </c>
      <c r="C201" s="113"/>
      <c r="D201" s="113"/>
      <c r="E201" s="113" t="s">
        <v>729</v>
      </c>
      <c r="F201" s="116">
        <v>4</v>
      </c>
      <c r="G201" s="20">
        <f t="shared" ref="G201:G210" si="27">IF(E201="X",F201,0)</f>
        <v>4</v>
      </c>
      <c r="H201" s="20">
        <f t="shared" ref="H201:H210" si="28">IF(C201="Y",F201,0)</f>
        <v>0</v>
      </c>
      <c r="I201" s="114"/>
      <c r="J201" s="114"/>
      <c r="K201" t="s">
        <v>730</v>
      </c>
    </row>
    <row r="202" spans="1:11" ht="25.5" x14ac:dyDescent="0.25">
      <c r="A202" s="145">
        <v>205</v>
      </c>
      <c r="B202" s="145" t="s">
        <v>433</v>
      </c>
      <c r="C202" s="113"/>
      <c r="D202" s="113"/>
      <c r="E202" s="113" t="s">
        <v>731</v>
      </c>
      <c r="F202" s="116">
        <v>5</v>
      </c>
      <c r="G202" s="20">
        <f t="shared" si="27"/>
        <v>5</v>
      </c>
      <c r="H202" s="20">
        <f t="shared" si="28"/>
        <v>0</v>
      </c>
      <c r="I202" s="114"/>
      <c r="J202" s="114"/>
      <c r="K202" t="s">
        <v>732</v>
      </c>
    </row>
    <row r="203" spans="1:11" ht="38.25" x14ac:dyDescent="0.25">
      <c r="A203" s="145">
        <v>205</v>
      </c>
      <c r="B203" s="145" t="s">
        <v>434</v>
      </c>
      <c r="C203" s="113"/>
      <c r="D203" s="113"/>
      <c r="E203" s="113" t="s">
        <v>733</v>
      </c>
      <c r="F203" s="116">
        <v>4</v>
      </c>
      <c r="G203" s="20">
        <f t="shared" si="27"/>
        <v>4</v>
      </c>
      <c r="H203" s="20">
        <f t="shared" si="28"/>
        <v>0</v>
      </c>
      <c r="I203" s="114"/>
      <c r="J203" s="114"/>
      <c r="K203" t="s">
        <v>734</v>
      </c>
    </row>
    <row r="204" spans="1:11" ht="38.25" x14ac:dyDescent="0.25">
      <c r="A204" s="145">
        <v>205</v>
      </c>
      <c r="B204" s="145" t="s">
        <v>435</v>
      </c>
      <c r="C204" s="113"/>
      <c r="D204" s="113"/>
      <c r="E204" s="113" t="s">
        <v>735</v>
      </c>
      <c r="F204" s="116">
        <v>4</v>
      </c>
      <c r="G204" s="20">
        <f t="shared" si="27"/>
        <v>4</v>
      </c>
      <c r="H204" s="20">
        <f t="shared" si="28"/>
        <v>0</v>
      </c>
      <c r="I204" s="114"/>
      <c r="J204" s="114"/>
      <c r="K204" t="s">
        <v>736</v>
      </c>
    </row>
    <row r="205" spans="1:11" ht="38.25" x14ac:dyDescent="0.25">
      <c r="A205" s="145">
        <v>871</v>
      </c>
      <c r="B205" s="145" t="s">
        <v>436</v>
      </c>
      <c r="C205" s="113"/>
      <c r="D205" s="113"/>
      <c r="E205" s="113" t="s">
        <v>737</v>
      </c>
      <c r="F205" s="116">
        <v>4</v>
      </c>
      <c r="G205" s="20">
        <f t="shared" si="27"/>
        <v>4</v>
      </c>
      <c r="H205" s="20">
        <f t="shared" si="28"/>
        <v>0</v>
      </c>
      <c r="I205" s="114"/>
      <c r="J205" s="114"/>
      <c r="K205" t="s">
        <v>738</v>
      </c>
    </row>
    <row r="206" spans="1:11" ht="38.25" x14ac:dyDescent="0.25">
      <c r="A206" s="145">
        <v>543.00099999999998</v>
      </c>
      <c r="B206" s="145" t="s">
        <v>23</v>
      </c>
      <c r="C206" s="113"/>
      <c r="D206" s="113"/>
      <c r="E206" s="113" t="s">
        <v>739</v>
      </c>
      <c r="F206" s="116">
        <v>4</v>
      </c>
      <c r="G206" s="20">
        <f t="shared" si="27"/>
        <v>4</v>
      </c>
      <c r="H206" s="20">
        <f t="shared" si="28"/>
        <v>0</v>
      </c>
      <c r="I206" s="114"/>
      <c r="J206" s="114"/>
      <c r="K206" t="s">
        <v>740</v>
      </c>
    </row>
    <row r="207" spans="1:11" ht="25.5" x14ac:dyDescent="0.25">
      <c r="A207" s="145">
        <v>313.00599999999997</v>
      </c>
      <c r="B207" s="145" t="s">
        <v>437</v>
      </c>
      <c r="C207" s="113"/>
      <c r="D207" s="113"/>
      <c r="E207" s="113" t="s">
        <v>741</v>
      </c>
      <c r="F207" s="116">
        <v>5</v>
      </c>
      <c r="G207" s="20">
        <f t="shared" si="27"/>
        <v>5</v>
      </c>
      <c r="H207" s="20">
        <f t="shared" si="28"/>
        <v>0</v>
      </c>
      <c r="I207" s="114"/>
      <c r="J207" s="114"/>
      <c r="K207" t="s">
        <v>742</v>
      </c>
    </row>
    <row r="208" spans="1:11" ht="51" x14ac:dyDescent="0.25">
      <c r="A208" s="159">
        <v>571</v>
      </c>
      <c r="B208" s="159" t="s">
        <v>24</v>
      </c>
      <c r="C208" s="113"/>
      <c r="D208" s="113"/>
      <c r="E208" s="113" t="s">
        <v>743</v>
      </c>
      <c r="F208" s="116">
        <v>4</v>
      </c>
      <c r="G208" s="20">
        <f t="shared" si="27"/>
        <v>4</v>
      </c>
      <c r="H208" s="20">
        <f t="shared" si="28"/>
        <v>0</v>
      </c>
      <c r="I208" s="114"/>
      <c r="J208" s="114"/>
      <c r="K208" t="s">
        <v>744</v>
      </c>
    </row>
    <row r="209" spans="1:11" ht="38.25" x14ac:dyDescent="0.25">
      <c r="A209" s="145">
        <v>571</v>
      </c>
      <c r="B209" s="145" t="s">
        <v>25</v>
      </c>
      <c r="C209" s="113"/>
      <c r="D209" s="113"/>
      <c r="E209" s="113" t="s">
        <v>745</v>
      </c>
      <c r="F209" s="116">
        <v>5</v>
      </c>
      <c r="G209" s="20">
        <f t="shared" si="27"/>
        <v>5</v>
      </c>
      <c r="H209" s="20">
        <f t="shared" si="28"/>
        <v>0</v>
      </c>
      <c r="I209" s="114"/>
      <c r="J209" s="114"/>
      <c r="K209" t="s">
        <v>746</v>
      </c>
    </row>
    <row r="210" spans="1:11" ht="25.5" x14ac:dyDescent="0.25">
      <c r="A210" s="145">
        <v>308.024</v>
      </c>
      <c r="B210" s="145" t="s">
        <v>438</v>
      </c>
      <c r="C210" s="113"/>
      <c r="D210" s="113"/>
      <c r="E210" s="113" t="s">
        <v>747</v>
      </c>
      <c r="F210" s="116">
        <v>5</v>
      </c>
      <c r="G210" s="20">
        <f t="shared" si="27"/>
        <v>5</v>
      </c>
      <c r="H210" s="20">
        <f t="shared" si="28"/>
        <v>0</v>
      </c>
      <c r="I210" s="114"/>
      <c r="J210" s="114"/>
      <c r="K210" t="s">
        <v>748</v>
      </c>
    </row>
    <row r="211" spans="1:11" x14ac:dyDescent="0.25">
      <c r="F211" s="85">
        <f>SUM(F10:F210)</f>
        <v>700</v>
      </c>
      <c r="G211" s="85">
        <f>SUM(G10:G210)</f>
        <v>700</v>
      </c>
      <c r="H211" s="86">
        <f>SUM(H10:H210)</f>
        <v>0</v>
      </c>
    </row>
  </sheetData>
  <sheetProtection formatCells="0" selectLockedCells="1"/>
  <mergeCells count="1">
    <mergeCell ref="D6:J6"/>
  </mergeCells>
  <phoneticPr fontId="0" type="noConversion"/>
  <pageMargins left="3.937007874015748E-2" right="3.937007874015748E-2" top="0.94488188976377963" bottom="0.74803149606299213" header="0.19685039370078741" footer="0.31496062992125984"/>
  <pageSetup paperSize="9" scale="78" fitToHeight="0" orientation="portrait" r:id="rId1"/>
  <headerFooter>
    <oddHeader>&amp;L&amp;G&amp;C&amp;A&amp;R</oddHeader>
    <oddFooter>&amp;L&amp;F&amp;C&amp;RPage &amp;P / &amp;N</oddFooter>
  </headerFooter>
  <drawing r:id="rId2"/>
  <legacyDrawing r:id="rId3"/>
  <legacyDrawingHF r:id="rId4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>
    <pageSetUpPr fitToPage="1"/>
  </sheetPr>
  <dimension ref="A1:K210"/>
  <sheetViews>
    <sheetView showGridLines="0" zoomScaleNormal="100" workbookViewId="0">
      <pane ySplit="8" topLeftCell="A9" activePane="bottomLeft" state="frozen"/>
      <selection activeCell="B39" sqref="B39:J39"/>
      <selection pane="bottomLeft" activeCell="A6" sqref="A6"/>
    </sheetView>
  </sheetViews>
  <sheetFormatPr defaultRowHeight="15" x14ac:dyDescent="0.25"/>
  <cols>
    <col min="2" max="2" width="50.7109375" customWidth="1"/>
    <col min="3" max="5" width="10.7109375" style="1" customWidth="1"/>
    <col min="6" max="8" width="10.7109375" style="1" hidden="1" customWidth="1"/>
    <col min="9" max="9" width="55.42578125" style="2" customWidth="1"/>
    <col min="10" max="10" width="20.7109375" customWidth="1"/>
    <col min="11" max="11" width="0" hidden="1" customWidth="1"/>
  </cols>
  <sheetData>
    <row r="1" spans="1:11" ht="15" hidden="1" customHeight="1" x14ac:dyDescent="0.25"/>
    <row r="2" spans="1:11" ht="15" hidden="1" customHeight="1" x14ac:dyDescent="0.25">
      <c r="B2" s="3" t="s">
        <v>749</v>
      </c>
      <c r="C2" s="3">
        <f>COUNTA(K9:K50)</f>
        <v>16</v>
      </c>
    </row>
    <row r="3" spans="1:11" ht="15" hidden="1" customHeight="1" x14ac:dyDescent="0.25">
      <c r="B3" s="3" t="s">
        <v>750</v>
      </c>
      <c r="C3" s="4">
        <f xml:space="preserve"> COUNTA(C9:C24)</f>
        <v>0</v>
      </c>
      <c r="E3" s="16"/>
    </row>
    <row r="4" spans="1:11" ht="15" hidden="1" customHeight="1" x14ac:dyDescent="0.25">
      <c r="B4" s="3" t="s">
        <v>751</v>
      </c>
      <c r="C4" s="4">
        <f xml:space="preserve"> COUNTA(D9:D24)</f>
        <v>0</v>
      </c>
      <c r="E4" s="16"/>
    </row>
    <row r="5" spans="1:11" ht="15" hidden="1" customHeight="1" x14ac:dyDescent="0.25">
      <c r="B5" s="3" t="s">
        <v>752</v>
      </c>
      <c r="C5" s="4">
        <f xml:space="preserve"> COUNTA(E9:E24)</f>
        <v>16</v>
      </c>
      <c r="D5" s="5"/>
      <c r="E5" s="5">
        <f>SUM(C3:C5)</f>
        <v>16</v>
      </c>
      <c r="F5" s="5"/>
      <c r="G5" s="5"/>
      <c r="H5" s="5"/>
    </row>
    <row r="6" spans="1:11" ht="69.95" customHeight="1" x14ac:dyDescent="0.25">
      <c r="A6" s="221"/>
      <c r="B6" s="226"/>
      <c r="C6" s="226"/>
      <c r="D6" s="220" t="s">
        <v>1747</v>
      </c>
      <c r="E6" s="220"/>
      <c r="F6" s="220"/>
      <c r="G6" s="220"/>
      <c r="H6" s="220"/>
      <c r="I6" s="220"/>
      <c r="J6" s="220"/>
    </row>
    <row r="7" spans="1:11" ht="24.95" customHeight="1" x14ac:dyDescent="0.35">
      <c r="A7" s="222" t="s">
        <v>440</v>
      </c>
      <c r="B7" s="221"/>
      <c r="C7" s="223"/>
      <c r="D7" s="223"/>
      <c r="E7" s="223"/>
      <c r="F7" s="223"/>
      <c r="G7" s="223"/>
      <c r="H7" s="223"/>
      <c r="I7" s="224"/>
      <c r="J7" s="221"/>
    </row>
    <row r="8" spans="1:11" s="13" customFormat="1" ht="60.2" customHeight="1" x14ac:dyDescent="0.25">
      <c r="A8" s="74" t="s">
        <v>753</v>
      </c>
      <c r="B8" s="189" t="s">
        <v>1738</v>
      </c>
      <c r="C8" s="102" t="s">
        <v>754</v>
      </c>
      <c r="D8" s="102" t="s">
        <v>755</v>
      </c>
      <c r="E8" s="102" t="s">
        <v>756</v>
      </c>
      <c r="F8" s="100" t="s">
        <v>757</v>
      </c>
      <c r="G8" s="100" t="s">
        <v>758</v>
      </c>
      <c r="H8" s="100" t="s">
        <v>759</v>
      </c>
      <c r="I8" s="168" t="s">
        <v>36</v>
      </c>
      <c r="J8" s="111" t="s">
        <v>760</v>
      </c>
    </row>
    <row r="9" spans="1:11" ht="25.5" x14ac:dyDescent="0.25">
      <c r="A9" s="169">
        <v>211</v>
      </c>
      <c r="B9" s="145" t="s">
        <v>990</v>
      </c>
      <c r="C9" s="113"/>
      <c r="D9" s="113"/>
      <c r="E9" s="113" t="s">
        <v>761</v>
      </c>
      <c r="F9" s="116">
        <v>3</v>
      </c>
      <c r="G9" s="20">
        <f>IF(E9="X",F9,0)</f>
        <v>3</v>
      </c>
      <c r="H9" s="20">
        <f t="shared" ref="H9:H24" si="0">IF(C9="Y",F9,0)</f>
        <v>0</v>
      </c>
      <c r="I9" s="171"/>
      <c r="J9" s="170"/>
      <c r="K9" t="s">
        <v>762</v>
      </c>
    </row>
    <row r="10" spans="1:11" ht="25.5" x14ac:dyDescent="0.25">
      <c r="A10" s="169"/>
      <c r="B10" s="145" t="s">
        <v>989</v>
      </c>
      <c r="C10" s="113"/>
      <c r="D10" s="113"/>
      <c r="E10" s="113" t="s">
        <v>763</v>
      </c>
      <c r="F10" s="116">
        <v>3</v>
      </c>
      <c r="G10" s="20">
        <f t="shared" ref="G10:G24" si="1">IF(E10="X",F10,0)</f>
        <v>3</v>
      </c>
      <c r="H10" s="20">
        <f t="shared" si="0"/>
        <v>0</v>
      </c>
      <c r="I10" s="171"/>
      <c r="J10" s="170"/>
      <c r="K10" t="s">
        <v>764</v>
      </c>
    </row>
    <row r="11" spans="1:11" ht="25.5" x14ac:dyDescent="0.25">
      <c r="A11" s="169">
        <v>217</v>
      </c>
      <c r="B11" s="145" t="s">
        <v>441</v>
      </c>
      <c r="C11" s="113"/>
      <c r="D11" s="113"/>
      <c r="E11" s="113" t="s">
        <v>765</v>
      </c>
      <c r="F11" s="116">
        <v>3</v>
      </c>
      <c r="G11" s="20">
        <f t="shared" si="1"/>
        <v>3</v>
      </c>
      <c r="H11" s="20">
        <f t="shared" si="0"/>
        <v>0</v>
      </c>
      <c r="I11" s="114"/>
      <c r="J11" s="114"/>
      <c r="K11" t="s">
        <v>766</v>
      </c>
    </row>
    <row r="12" spans="1:11" ht="25.5" x14ac:dyDescent="0.25">
      <c r="A12" s="169">
        <v>211</v>
      </c>
      <c r="B12" s="145" t="s">
        <v>442</v>
      </c>
      <c r="C12" s="113"/>
      <c r="D12" s="113"/>
      <c r="E12" s="113" t="s">
        <v>767</v>
      </c>
      <c r="F12" s="116">
        <v>3</v>
      </c>
      <c r="G12" s="20">
        <f t="shared" si="1"/>
        <v>3</v>
      </c>
      <c r="H12" s="20">
        <f t="shared" si="0"/>
        <v>0</v>
      </c>
      <c r="I12" s="114"/>
      <c r="J12" s="114"/>
      <c r="K12" t="s">
        <v>768</v>
      </c>
    </row>
    <row r="13" spans="1:11" ht="25.5" x14ac:dyDescent="0.25">
      <c r="A13" s="169">
        <v>215</v>
      </c>
      <c r="B13" s="145" t="s">
        <v>443</v>
      </c>
      <c r="C13" s="113"/>
      <c r="D13" s="113"/>
      <c r="E13" s="113" t="s">
        <v>769</v>
      </c>
      <c r="F13" s="116">
        <v>3</v>
      </c>
      <c r="G13" s="20">
        <f t="shared" si="1"/>
        <v>3</v>
      </c>
      <c r="H13" s="20">
        <f t="shared" si="0"/>
        <v>0</v>
      </c>
      <c r="I13" s="114"/>
      <c r="J13" s="114"/>
      <c r="K13" t="s">
        <v>770</v>
      </c>
    </row>
    <row r="14" spans="1:11" ht="25.5" x14ac:dyDescent="0.25">
      <c r="A14" s="169">
        <v>212</v>
      </c>
      <c r="B14" s="145" t="s">
        <v>444</v>
      </c>
      <c r="C14" s="113"/>
      <c r="D14" s="113"/>
      <c r="E14" s="113" t="s">
        <v>771</v>
      </c>
      <c r="F14" s="116">
        <v>3</v>
      </c>
      <c r="G14" s="20">
        <f t="shared" si="1"/>
        <v>3</v>
      </c>
      <c r="H14" s="20">
        <f t="shared" si="0"/>
        <v>0</v>
      </c>
      <c r="I14" s="114"/>
      <c r="J14" s="114"/>
      <c r="K14" t="s">
        <v>772</v>
      </c>
    </row>
    <row r="15" spans="1:11" s="1" customFormat="1" ht="25.5" x14ac:dyDescent="0.25">
      <c r="A15" s="169">
        <v>213</v>
      </c>
      <c r="B15" s="145" t="s">
        <v>445</v>
      </c>
      <c r="C15" s="113"/>
      <c r="D15" s="113"/>
      <c r="E15" s="113" t="s">
        <v>773</v>
      </c>
      <c r="F15" s="116">
        <v>3</v>
      </c>
      <c r="G15" s="20">
        <f t="shared" si="1"/>
        <v>3</v>
      </c>
      <c r="H15" s="20">
        <f t="shared" si="0"/>
        <v>0</v>
      </c>
      <c r="I15" s="114"/>
      <c r="J15" s="114"/>
      <c r="K15" s="94" t="s">
        <v>774</v>
      </c>
    </row>
    <row r="16" spans="1:11" ht="38.25" x14ac:dyDescent="0.25">
      <c r="A16" s="169">
        <v>218.00299999999999</v>
      </c>
      <c r="B16" s="145" t="s">
        <v>1765</v>
      </c>
      <c r="C16" s="113"/>
      <c r="D16" s="113"/>
      <c r="E16" s="113" t="s">
        <v>775</v>
      </c>
      <c r="F16" s="116">
        <v>3</v>
      </c>
      <c r="G16" s="20">
        <f t="shared" si="1"/>
        <v>3</v>
      </c>
      <c r="H16" s="20">
        <f t="shared" si="0"/>
        <v>0</v>
      </c>
      <c r="I16" s="114"/>
      <c r="J16" s="114"/>
      <c r="K16" t="s">
        <v>776</v>
      </c>
    </row>
    <row r="17" spans="1:11" ht="38.25" x14ac:dyDescent="0.25">
      <c r="A17" s="169">
        <v>218.00399999999999</v>
      </c>
      <c r="B17" s="145" t="s">
        <v>985</v>
      </c>
      <c r="C17" s="113"/>
      <c r="D17" s="113"/>
      <c r="E17" s="113" t="s">
        <v>777</v>
      </c>
      <c r="F17" s="116">
        <v>3</v>
      </c>
      <c r="G17" s="20">
        <f t="shared" si="1"/>
        <v>3</v>
      </c>
      <c r="H17" s="20">
        <f t="shared" si="0"/>
        <v>0</v>
      </c>
      <c r="I17" s="114"/>
      <c r="J17" s="114"/>
      <c r="K17" t="s">
        <v>778</v>
      </c>
    </row>
    <row r="18" spans="1:11" ht="25.5" x14ac:dyDescent="0.25">
      <c r="A18" s="169">
        <v>218.005</v>
      </c>
      <c r="B18" s="145" t="s">
        <v>986</v>
      </c>
      <c r="C18" s="113"/>
      <c r="D18" s="113"/>
      <c r="E18" s="113" t="s">
        <v>779</v>
      </c>
      <c r="F18" s="116">
        <v>3</v>
      </c>
      <c r="G18" s="20">
        <f t="shared" si="1"/>
        <v>3</v>
      </c>
      <c r="H18" s="20">
        <f t="shared" si="0"/>
        <v>0</v>
      </c>
      <c r="I18" s="114"/>
      <c r="J18" s="114"/>
      <c r="K18" t="s">
        <v>780</v>
      </c>
    </row>
    <row r="19" spans="1:11" ht="25.5" x14ac:dyDescent="0.25">
      <c r="A19" s="169">
        <v>218.006</v>
      </c>
      <c r="B19" s="145" t="s">
        <v>987</v>
      </c>
      <c r="C19" s="113"/>
      <c r="D19" s="113"/>
      <c r="E19" s="113" t="s">
        <v>781</v>
      </c>
      <c r="F19" s="116">
        <v>3</v>
      </c>
      <c r="G19" s="20">
        <f t="shared" si="1"/>
        <v>3</v>
      </c>
      <c r="H19" s="20">
        <f t="shared" si="0"/>
        <v>0</v>
      </c>
      <c r="I19" s="114"/>
      <c r="J19" s="114"/>
      <c r="K19" t="s">
        <v>782</v>
      </c>
    </row>
    <row r="20" spans="1:11" ht="25.5" x14ac:dyDescent="0.25">
      <c r="A20" s="169">
        <v>218.00700000000001</v>
      </c>
      <c r="B20" s="145" t="s">
        <v>988</v>
      </c>
      <c r="C20" s="113"/>
      <c r="D20" s="113"/>
      <c r="E20" s="113" t="s">
        <v>783</v>
      </c>
      <c r="F20" s="116">
        <v>3</v>
      </c>
      <c r="G20" s="20">
        <f t="shared" si="1"/>
        <v>3</v>
      </c>
      <c r="H20" s="20">
        <f t="shared" si="0"/>
        <v>0</v>
      </c>
      <c r="I20" s="114"/>
      <c r="J20" s="114"/>
      <c r="K20" t="s">
        <v>784</v>
      </c>
    </row>
    <row r="21" spans="1:11" ht="38.25" x14ac:dyDescent="0.25">
      <c r="A21" s="169"/>
      <c r="B21" s="145" t="s">
        <v>991</v>
      </c>
      <c r="C21" s="113"/>
      <c r="D21" s="113"/>
      <c r="E21" s="113" t="s">
        <v>785</v>
      </c>
      <c r="F21" s="116">
        <v>3</v>
      </c>
      <c r="G21" s="20">
        <f t="shared" si="1"/>
        <v>3</v>
      </c>
      <c r="H21" s="20">
        <f t="shared" si="0"/>
        <v>0</v>
      </c>
      <c r="I21" s="114"/>
      <c r="J21" s="114"/>
      <c r="K21" t="s">
        <v>786</v>
      </c>
    </row>
    <row r="22" spans="1:11" ht="25.5" x14ac:dyDescent="0.25">
      <c r="A22" s="169">
        <v>218</v>
      </c>
      <c r="B22" s="145" t="s">
        <v>984</v>
      </c>
      <c r="C22" s="113"/>
      <c r="D22" s="113"/>
      <c r="E22" s="113" t="s">
        <v>787</v>
      </c>
      <c r="F22" s="116">
        <v>3</v>
      </c>
      <c r="G22" s="20">
        <f t="shared" si="1"/>
        <v>3</v>
      </c>
      <c r="H22" s="20">
        <f t="shared" si="0"/>
        <v>0</v>
      </c>
      <c r="I22" s="114"/>
      <c r="J22" s="114"/>
      <c r="K22" t="s">
        <v>788</v>
      </c>
    </row>
    <row r="23" spans="1:11" ht="38.25" x14ac:dyDescent="0.25">
      <c r="A23" s="169">
        <v>218</v>
      </c>
      <c r="B23" s="145" t="s">
        <v>446</v>
      </c>
      <c r="C23" s="113"/>
      <c r="D23" s="113"/>
      <c r="E23" s="113" t="s">
        <v>789</v>
      </c>
      <c r="F23" s="116">
        <v>3</v>
      </c>
      <c r="G23" s="20">
        <f t="shared" si="1"/>
        <v>3</v>
      </c>
      <c r="H23" s="20">
        <f t="shared" si="0"/>
        <v>0</v>
      </c>
      <c r="I23" s="114"/>
      <c r="J23" s="114"/>
      <c r="K23" t="s">
        <v>790</v>
      </c>
    </row>
    <row r="24" spans="1:11" x14ac:dyDescent="0.25">
      <c r="A24" s="169">
        <v>343.00099999999998</v>
      </c>
      <c r="B24" s="145" t="s">
        <v>447</v>
      </c>
      <c r="C24" s="113"/>
      <c r="D24" s="113"/>
      <c r="E24" s="113" t="s">
        <v>791</v>
      </c>
      <c r="F24" s="116">
        <v>3</v>
      </c>
      <c r="G24" s="20">
        <f t="shared" si="1"/>
        <v>3</v>
      </c>
      <c r="H24" s="20">
        <f t="shared" si="0"/>
        <v>0</v>
      </c>
      <c r="I24" s="114"/>
      <c r="J24" s="114"/>
      <c r="K24" t="s">
        <v>792</v>
      </c>
    </row>
    <row r="25" spans="1:11" x14ac:dyDescent="0.25">
      <c r="F25" s="85">
        <f>SUM(F9:F24)</f>
        <v>48</v>
      </c>
      <c r="G25" s="85">
        <f>SUM(G9:G24)</f>
        <v>48</v>
      </c>
      <c r="H25" s="86">
        <f>SUM(H9:H24)</f>
        <v>0</v>
      </c>
    </row>
    <row r="35" spans="3:3" x14ac:dyDescent="0.25">
      <c r="C35" s="9"/>
    </row>
    <row r="38" spans="3:3" x14ac:dyDescent="0.25">
      <c r="C38" s="9"/>
    </row>
    <row r="186" spans="5:5" x14ac:dyDescent="0.25">
      <c r="E186" s="9"/>
    </row>
    <row r="210" spans="5:5" x14ac:dyDescent="0.25">
      <c r="E210" s="9"/>
    </row>
  </sheetData>
  <sheetProtection formatCells="0" selectLockedCells="1"/>
  <mergeCells count="1">
    <mergeCell ref="D6:J6"/>
  </mergeCells>
  <phoneticPr fontId="0" type="noConversion"/>
  <pageMargins left="3.937007874015748E-2" right="3.937007874015748E-2" top="0.94488188976377963" bottom="0.74803149606299213" header="0.19685039370078741" footer="0.31496062992125984"/>
  <pageSetup paperSize="9" scale="73" fitToHeight="0" orientation="portrait" r:id="rId1"/>
  <headerFooter>
    <oddHeader>&amp;L&amp;G&amp;C&amp;A&amp;R</oddHeader>
    <oddFooter>&amp;L&amp;F&amp;C&amp;RPage &amp;P / &amp;N</oddFooter>
  </headerFooter>
  <drawing r:id="rId2"/>
  <legacyDrawing r:id="rId3"/>
  <legacyDrawingHF r:id="rId4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>
    <pageSetUpPr fitToPage="1"/>
  </sheetPr>
  <dimension ref="A1:K53"/>
  <sheetViews>
    <sheetView showGridLines="0" zoomScaleNormal="100" workbookViewId="0">
      <pane ySplit="8" topLeftCell="A9" activePane="bottomLeft" state="frozen"/>
      <selection activeCell="B39" sqref="B39:J39"/>
      <selection pane="bottomLeft" activeCell="O10" sqref="O10"/>
    </sheetView>
  </sheetViews>
  <sheetFormatPr defaultRowHeight="15" x14ac:dyDescent="0.25"/>
  <cols>
    <col min="2" max="2" width="51" bestFit="1" customWidth="1"/>
    <col min="3" max="5" width="10.7109375" style="1" customWidth="1"/>
    <col min="6" max="8" width="10.7109375" style="1" hidden="1" customWidth="1"/>
    <col min="9" max="9" width="45.7109375" style="2" customWidth="1"/>
    <col min="10" max="10" width="20.7109375" customWidth="1"/>
    <col min="11" max="11" width="9.140625" hidden="1" customWidth="1"/>
  </cols>
  <sheetData>
    <row r="1" spans="1:11" ht="15" hidden="1" customHeight="1" x14ac:dyDescent="0.25"/>
    <row r="2" spans="1:11" ht="15" hidden="1" customHeight="1" x14ac:dyDescent="0.25">
      <c r="B2" s="3" t="s">
        <v>793</v>
      </c>
      <c r="C2" s="3">
        <f>COUNTA(K9:K54)</f>
        <v>40</v>
      </c>
    </row>
    <row r="3" spans="1:11" ht="15" hidden="1" customHeight="1" x14ac:dyDescent="0.25">
      <c r="B3" s="3" t="s">
        <v>794</v>
      </c>
      <c r="C3" s="4">
        <f xml:space="preserve"> COUNTA(C9:C54)</f>
        <v>0</v>
      </c>
      <c r="E3" s="16"/>
    </row>
    <row r="4" spans="1:11" ht="15" hidden="1" customHeight="1" x14ac:dyDescent="0.25">
      <c r="B4" s="3" t="s">
        <v>795</v>
      </c>
      <c r="C4" s="4">
        <f xml:space="preserve"> COUNTA(D9:D54)</f>
        <v>0</v>
      </c>
      <c r="E4" s="16"/>
    </row>
    <row r="5" spans="1:11" ht="15" hidden="1" customHeight="1" x14ac:dyDescent="0.25">
      <c r="B5" s="3" t="s">
        <v>796</v>
      </c>
      <c r="C5" s="4">
        <f xml:space="preserve"> COUNTA(E9:E54)</f>
        <v>40</v>
      </c>
      <c r="D5" s="5"/>
      <c r="E5" s="5">
        <f>SUM(C3:C5)</f>
        <v>40</v>
      </c>
      <c r="F5" s="5"/>
      <c r="G5" s="5"/>
      <c r="H5" s="5"/>
    </row>
    <row r="6" spans="1:11" ht="69.95" customHeight="1" x14ac:dyDescent="0.25">
      <c r="A6" s="225"/>
      <c r="B6" s="226"/>
      <c r="C6" s="220" t="s">
        <v>1767</v>
      </c>
      <c r="D6" s="220"/>
      <c r="E6" s="220"/>
      <c r="F6" s="220"/>
      <c r="G6" s="220"/>
      <c r="H6" s="220"/>
      <c r="I6" s="220"/>
      <c r="J6" s="220"/>
    </row>
    <row r="7" spans="1:11" ht="24.95" customHeight="1" x14ac:dyDescent="0.4">
      <c r="A7" s="222" t="s">
        <v>448</v>
      </c>
      <c r="B7" s="221"/>
      <c r="C7" s="223"/>
      <c r="D7" s="227" t="s">
        <v>1768</v>
      </c>
      <c r="E7" s="227"/>
      <c r="F7" s="227"/>
      <c r="G7" s="227"/>
      <c r="H7" s="227"/>
      <c r="I7" s="227"/>
      <c r="J7" s="227"/>
    </row>
    <row r="8" spans="1:11" s="13" customFormat="1" ht="45.2" customHeight="1" x14ac:dyDescent="0.25">
      <c r="A8" s="74" t="s">
        <v>797</v>
      </c>
      <c r="B8" s="189" t="s">
        <v>1738</v>
      </c>
      <c r="C8" s="102" t="s">
        <v>798</v>
      </c>
      <c r="D8" s="102" t="s">
        <v>799</v>
      </c>
      <c r="E8" s="102" t="s">
        <v>800</v>
      </c>
      <c r="F8" s="100" t="s">
        <v>801</v>
      </c>
      <c r="G8" s="100" t="s">
        <v>802</v>
      </c>
      <c r="H8" s="100" t="s">
        <v>803</v>
      </c>
      <c r="I8" s="185" t="s">
        <v>804</v>
      </c>
      <c r="J8" s="111" t="s">
        <v>805</v>
      </c>
    </row>
    <row r="9" spans="1:11" ht="25.5" x14ac:dyDescent="0.25">
      <c r="A9" s="173">
        <v>303.00700000000001</v>
      </c>
      <c r="B9" s="145" t="s">
        <v>1032</v>
      </c>
      <c r="C9" s="121"/>
      <c r="D9" s="113"/>
      <c r="E9" s="113" t="s">
        <v>806</v>
      </c>
      <c r="F9" s="116">
        <v>5</v>
      </c>
      <c r="G9" s="20">
        <f>IF(E9="X",F9,0)</f>
        <v>5</v>
      </c>
      <c r="H9" s="20">
        <f t="shared" ref="H9:H30" si="0">IF(C9="Y",F9,0)</f>
        <v>0</v>
      </c>
      <c r="I9" s="143"/>
      <c r="J9" s="143"/>
      <c r="K9" t="s">
        <v>807</v>
      </c>
    </row>
    <row r="10" spans="1:11" ht="25.5" x14ac:dyDescent="0.25">
      <c r="A10" s="173"/>
      <c r="B10" s="145" t="s">
        <v>1033</v>
      </c>
      <c r="C10" s="121"/>
      <c r="D10" s="113"/>
      <c r="E10" s="113" t="s">
        <v>808</v>
      </c>
      <c r="F10" s="116">
        <v>5</v>
      </c>
      <c r="G10" s="20">
        <f>IF(E10="X",F10,0)</f>
        <v>5</v>
      </c>
      <c r="H10" s="20">
        <f>IF(C10="Y",F10,0)</f>
        <v>0</v>
      </c>
      <c r="I10" s="143"/>
      <c r="J10" s="143"/>
      <c r="K10" t="s">
        <v>809</v>
      </c>
    </row>
    <row r="11" spans="1:11" ht="38.25" x14ac:dyDescent="0.25">
      <c r="A11" s="20">
        <v>308.00099999999998</v>
      </c>
      <c r="B11" s="145" t="s">
        <v>1766</v>
      </c>
      <c r="C11" s="121"/>
      <c r="D11" s="113"/>
      <c r="E11" s="113" t="s">
        <v>810</v>
      </c>
      <c r="F11" s="116">
        <v>5</v>
      </c>
      <c r="G11" s="20">
        <f t="shared" ref="G11:G30" si="1">IF(E11="X",F11,0)</f>
        <v>5</v>
      </c>
      <c r="H11" s="20">
        <f t="shared" si="0"/>
        <v>0</v>
      </c>
      <c r="I11" s="114"/>
      <c r="J11" s="114"/>
      <c r="K11" t="s">
        <v>811</v>
      </c>
    </row>
    <row r="12" spans="1:11" ht="38.25" x14ac:dyDescent="0.25">
      <c r="A12" s="19"/>
      <c r="B12" s="145" t="s">
        <v>26</v>
      </c>
      <c r="C12" s="121"/>
      <c r="D12" s="113"/>
      <c r="E12" s="113" t="s">
        <v>812</v>
      </c>
      <c r="F12" s="116">
        <v>5</v>
      </c>
      <c r="G12" s="20">
        <f t="shared" si="1"/>
        <v>5</v>
      </c>
      <c r="H12" s="20">
        <f t="shared" si="0"/>
        <v>0</v>
      </c>
      <c r="I12" s="114"/>
      <c r="J12" s="114"/>
      <c r="K12" t="s">
        <v>813</v>
      </c>
    </row>
    <row r="13" spans="1:11" ht="63.75" x14ac:dyDescent="0.25">
      <c r="A13" s="20">
        <v>302.01</v>
      </c>
      <c r="B13" s="145" t="s">
        <v>28</v>
      </c>
      <c r="C13" s="121"/>
      <c r="D13" s="113"/>
      <c r="E13" s="113" t="s">
        <v>814</v>
      </c>
      <c r="F13" s="116">
        <v>5</v>
      </c>
      <c r="G13" s="20">
        <f t="shared" si="1"/>
        <v>5</v>
      </c>
      <c r="H13" s="20">
        <f t="shared" si="0"/>
        <v>0</v>
      </c>
      <c r="I13" s="114"/>
      <c r="J13" s="114"/>
      <c r="K13" t="s">
        <v>815</v>
      </c>
    </row>
    <row r="14" spans="1:11" ht="38.25" x14ac:dyDescent="0.25">
      <c r="A14" s="20">
        <v>711.01499999999999</v>
      </c>
      <c r="B14" s="145" t="s">
        <v>27</v>
      </c>
      <c r="C14" s="121"/>
      <c r="D14" s="113"/>
      <c r="E14" s="113" t="s">
        <v>816</v>
      </c>
      <c r="F14" s="116">
        <v>5</v>
      </c>
      <c r="G14" s="20">
        <f t="shared" si="1"/>
        <v>5</v>
      </c>
      <c r="H14" s="20">
        <f t="shared" si="0"/>
        <v>0</v>
      </c>
      <c r="I14" s="114"/>
      <c r="J14" s="114"/>
      <c r="K14" t="s">
        <v>817</v>
      </c>
    </row>
    <row r="15" spans="1:11" ht="38.25" x14ac:dyDescent="0.25">
      <c r="A15" s="20">
        <v>711.01599999999996</v>
      </c>
      <c r="B15" s="145" t="s">
        <v>29</v>
      </c>
      <c r="C15" s="121"/>
      <c r="D15" s="113"/>
      <c r="E15" s="113" t="s">
        <v>818</v>
      </c>
      <c r="F15" s="116">
        <v>5</v>
      </c>
      <c r="G15" s="20">
        <f t="shared" si="1"/>
        <v>5</v>
      </c>
      <c r="H15" s="20">
        <f t="shared" si="0"/>
        <v>0</v>
      </c>
      <c r="I15" s="114"/>
      <c r="J15" s="114"/>
      <c r="K15" t="s">
        <v>819</v>
      </c>
    </row>
    <row r="16" spans="1:11" ht="25.5" x14ac:dyDescent="0.25">
      <c r="A16" s="173">
        <v>715.00699999999995</v>
      </c>
      <c r="B16" s="145" t="s">
        <v>30</v>
      </c>
      <c r="C16" s="121"/>
      <c r="D16" s="113"/>
      <c r="E16" s="113" t="s">
        <v>820</v>
      </c>
      <c r="F16" s="116">
        <v>5</v>
      </c>
      <c r="G16" s="20">
        <f t="shared" si="1"/>
        <v>5</v>
      </c>
      <c r="H16" s="20">
        <f t="shared" si="0"/>
        <v>0</v>
      </c>
      <c r="I16" s="143"/>
      <c r="J16" s="143"/>
      <c r="K16" t="s">
        <v>821</v>
      </c>
    </row>
    <row r="17" spans="1:11" ht="51" x14ac:dyDescent="0.25">
      <c r="A17" s="20">
        <v>305</v>
      </c>
      <c r="B17" s="145" t="s">
        <v>31</v>
      </c>
      <c r="C17" s="121"/>
      <c r="D17" s="113"/>
      <c r="E17" s="113" t="s">
        <v>822</v>
      </c>
      <c r="F17" s="116">
        <v>5</v>
      </c>
      <c r="G17" s="20">
        <f t="shared" si="1"/>
        <v>5</v>
      </c>
      <c r="H17" s="20">
        <f t="shared" si="0"/>
        <v>0</v>
      </c>
      <c r="I17" s="114"/>
      <c r="J17" s="114"/>
      <c r="K17" t="s">
        <v>823</v>
      </c>
    </row>
    <row r="18" spans="1:11" ht="51" x14ac:dyDescent="0.25">
      <c r="A18" s="20">
        <v>308.024</v>
      </c>
      <c r="B18" s="145" t="s">
        <v>32</v>
      </c>
      <c r="C18" s="121"/>
      <c r="D18" s="113"/>
      <c r="E18" s="113" t="s">
        <v>824</v>
      </c>
      <c r="F18" s="116">
        <v>5</v>
      </c>
      <c r="G18" s="20">
        <f t="shared" si="1"/>
        <v>5</v>
      </c>
      <c r="H18" s="20">
        <f t="shared" si="0"/>
        <v>0</v>
      </c>
      <c r="I18" s="114"/>
      <c r="J18" s="114"/>
      <c r="K18" t="s">
        <v>825</v>
      </c>
    </row>
    <row r="19" spans="1:11" ht="38.25" x14ac:dyDescent="0.25">
      <c r="A19" s="20">
        <v>308.024</v>
      </c>
      <c r="B19" s="145" t="s">
        <v>449</v>
      </c>
      <c r="C19" s="121"/>
      <c r="D19" s="113"/>
      <c r="E19" s="113" t="s">
        <v>826</v>
      </c>
      <c r="F19" s="116">
        <v>4</v>
      </c>
      <c r="G19" s="20">
        <f t="shared" si="1"/>
        <v>4</v>
      </c>
      <c r="H19" s="20">
        <f t="shared" si="0"/>
        <v>0</v>
      </c>
      <c r="I19" s="143"/>
      <c r="J19" s="143"/>
      <c r="K19" t="s">
        <v>827</v>
      </c>
    </row>
    <row r="20" spans="1:11" ht="25.5" x14ac:dyDescent="0.25">
      <c r="A20" s="20">
        <v>308.024</v>
      </c>
      <c r="B20" s="145" t="s">
        <v>450</v>
      </c>
      <c r="C20" s="121"/>
      <c r="D20" s="113"/>
      <c r="E20" s="113" t="s">
        <v>828</v>
      </c>
      <c r="F20" s="116">
        <v>5</v>
      </c>
      <c r="G20" s="20">
        <f t="shared" si="1"/>
        <v>5</v>
      </c>
      <c r="H20" s="20">
        <f t="shared" si="0"/>
        <v>0</v>
      </c>
      <c r="I20" s="114"/>
      <c r="J20" s="114"/>
      <c r="K20" t="s">
        <v>829</v>
      </c>
    </row>
    <row r="21" spans="1:11" ht="38.25" x14ac:dyDescent="0.25">
      <c r="A21" s="19"/>
      <c r="B21" s="145" t="s">
        <v>33</v>
      </c>
      <c r="C21" s="121"/>
      <c r="D21" s="113"/>
      <c r="E21" s="113" t="s">
        <v>830</v>
      </c>
      <c r="F21" s="116">
        <v>4</v>
      </c>
      <c r="G21" s="20">
        <f t="shared" si="1"/>
        <v>4</v>
      </c>
      <c r="H21" s="20">
        <f t="shared" si="0"/>
        <v>0</v>
      </c>
      <c r="I21" s="114"/>
      <c r="J21" s="114"/>
      <c r="K21" t="s">
        <v>831</v>
      </c>
    </row>
    <row r="22" spans="1:11" ht="38.25" x14ac:dyDescent="0.25">
      <c r="A22" s="20">
        <v>308.024</v>
      </c>
      <c r="B22" s="145" t="s">
        <v>451</v>
      </c>
      <c r="C22" s="121"/>
      <c r="D22" s="113"/>
      <c r="E22" s="113" t="s">
        <v>832</v>
      </c>
      <c r="F22" s="116">
        <v>4</v>
      </c>
      <c r="G22" s="20">
        <f t="shared" si="1"/>
        <v>4</v>
      </c>
      <c r="H22" s="20">
        <f t="shared" si="0"/>
        <v>0</v>
      </c>
      <c r="I22" s="114"/>
      <c r="J22" s="114"/>
      <c r="K22" t="s">
        <v>833</v>
      </c>
    </row>
    <row r="23" spans="1:11" ht="25.5" x14ac:dyDescent="0.25">
      <c r="A23" s="19"/>
      <c r="B23" s="145" t="s">
        <v>34</v>
      </c>
      <c r="C23" s="121"/>
      <c r="D23" s="113"/>
      <c r="E23" s="113" t="s">
        <v>834</v>
      </c>
      <c r="F23" s="116">
        <v>4</v>
      </c>
      <c r="G23" s="20">
        <f t="shared" si="1"/>
        <v>4</v>
      </c>
      <c r="H23" s="20">
        <f t="shared" si="0"/>
        <v>0</v>
      </c>
      <c r="I23" s="114"/>
      <c r="J23" s="114"/>
      <c r="K23" t="s">
        <v>835</v>
      </c>
    </row>
    <row r="24" spans="1:11" ht="38.25" x14ac:dyDescent="0.25">
      <c r="A24" s="20" t="s">
        <v>950</v>
      </c>
      <c r="B24" s="145" t="s">
        <v>35</v>
      </c>
      <c r="C24" s="121"/>
      <c r="D24" s="113"/>
      <c r="E24" s="113" t="s">
        <v>836</v>
      </c>
      <c r="F24" s="116">
        <v>5</v>
      </c>
      <c r="G24" s="20">
        <f t="shared" si="1"/>
        <v>5</v>
      </c>
      <c r="H24" s="20">
        <f t="shared" si="0"/>
        <v>0</v>
      </c>
      <c r="I24" s="143"/>
      <c r="J24" s="143"/>
      <c r="K24" t="s">
        <v>837</v>
      </c>
    </row>
    <row r="25" spans="1:11" ht="25.5" x14ac:dyDescent="0.25">
      <c r="A25" s="20">
        <v>754</v>
      </c>
      <c r="B25" s="145" t="s">
        <v>452</v>
      </c>
      <c r="C25" s="121"/>
      <c r="D25" s="113"/>
      <c r="E25" s="113" t="s">
        <v>838</v>
      </c>
      <c r="F25" s="116">
        <v>5</v>
      </c>
      <c r="G25" s="20">
        <f t="shared" si="1"/>
        <v>5</v>
      </c>
      <c r="H25" s="20">
        <f t="shared" si="0"/>
        <v>0</v>
      </c>
      <c r="I25" s="114"/>
      <c r="J25" s="114"/>
      <c r="K25" t="s">
        <v>839</v>
      </c>
    </row>
    <row r="26" spans="1:11" ht="38.25" x14ac:dyDescent="0.25">
      <c r="A26" s="20">
        <v>308.01100000000002</v>
      </c>
      <c r="B26" s="145" t="s">
        <v>886</v>
      </c>
      <c r="C26" s="121"/>
      <c r="D26" s="113"/>
      <c r="E26" s="113" t="s">
        <v>840</v>
      </c>
      <c r="F26" s="116">
        <v>5</v>
      </c>
      <c r="G26" s="20">
        <f t="shared" si="1"/>
        <v>5</v>
      </c>
      <c r="H26" s="20">
        <f t="shared" si="0"/>
        <v>0</v>
      </c>
      <c r="I26" s="114"/>
      <c r="J26" s="114"/>
      <c r="K26" t="s">
        <v>841</v>
      </c>
    </row>
    <row r="27" spans="1:11" ht="51" x14ac:dyDescent="0.25">
      <c r="A27" s="19">
        <v>864.00199999999995</v>
      </c>
      <c r="B27" s="145" t="s">
        <v>888</v>
      </c>
      <c r="C27" s="121"/>
      <c r="D27" s="113"/>
      <c r="E27" s="113" t="s">
        <v>842</v>
      </c>
      <c r="F27" s="116">
        <v>5</v>
      </c>
      <c r="G27" s="20">
        <f t="shared" si="1"/>
        <v>5</v>
      </c>
      <c r="H27" s="20">
        <f t="shared" si="0"/>
        <v>0</v>
      </c>
      <c r="I27" s="114"/>
      <c r="J27" s="114"/>
      <c r="K27" t="s">
        <v>843</v>
      </c>
    </row>
    <row r="28" spans="1:11" ht="38.25" x14ac:dyDescent="0.25">
      <c r="A28" s="19"/>
      <c r="B28" s="145" t="s">
        <v>949</v>
      </c>
      <c r="C28" s="121"/>
      <c r="D28" s="113"/>
      <c r="E28" s="113" t="s">
        <v>844</v>
      </c>
      <c r="F28" s="116">
        <v>5</v>
      </c>
      <c r="G28" s="20">
        <f t="shared" si="1"/>
        <v>5</v>
      </c>
      <c r="H28" s="20">
        <f t="shared" si="0"/>
        <v>0</v>
      </c>
      <c r="I28" s="114"/>
      <c r="J28" s="114"/>
      <c r="K28" t="s">
        <v>845</v>
      </c>
    </row>
    <row r="29" spans="1:11" ht="51" x14ac:dyDescent="0.25">
      <c r="A29" s="19">
        <v>665.00099999999998</v>
      </c>
      <c r="B29" s="145" t="s">
        <v>887</v>
      </c>
      <c r="C29" s="121"/>
      <c r="D29" s="113"/>
      <c r="E29" s="113" t="s">
        <v>846</v>
      </c>
      <c r="F29" s="116">
        <v>3</v>
      </c>
      <c r="G29" s="20">
        <f t="shared" si="1"/>
        <v>3</v>
      </c>
      <c r="H29" s="20">
        <f t="shared" si="0"/>
        <v>0</v>
      </c>
      <c r="I29" s="114"/>
      <c r="J29" s="114"/>
      <c r="K29" t="s">
        <v>847</v>
      </c>
    </row>
    <row r="30" spans="1:11" ht="25.5" x14ac:dyDescent="0.25">
      <c r="A30" s="19">
        <v>665.00599999999997</v>
      </c>
      <c r="B30" s="145" t="s">
        <v>453</v>
      </c>
      <c r="C30" s="121"/>
      <c r="D30" s="113"/>
      <c r="E30" s="113" t="s">
        <v>848</v>
      </c>
      <c r="F30" s="116">
        <v>3</v>
      </c>
      <c r="G30" s="20">
        <f t="shared" si="1"/>
        <v>3</v>
      </c>
      <c r="H30" s="20">
        <f t="shared" si="0"/>
        <v>0</v>
      </c>
      <c r="I30" s="114"/>
      <c r="J30" s="114"/>
      <c r="K30" t="s">
        <v>849</v>
      </c>
    </row>
    <row r="31" spans="1:11" x14ac:dyDescent="0.25">
      <c r="A31" s="132"/>
      <c r="B31" s="62"/>
      <c r="C31" s="156"/>
      <c r="D31" s="157"/>
      <c r="E31" s="174"/>
      <c r="F31" s="169"/>
      <c r="G31" s="169"/>
      <c r="H31" s="169"/>
      <c r="I31" s="164"/>
      <c r="J31" s="160"/>
    </row>
    <row r="32" spans="1:11" x14ac:dyDescent="0.25">
      <c r="A32" s="175">
        <v>308.00700000000001</v>
      </c>
      <c r="B32" s="6" t="s">
        <v>454</v>
      </c>
      <c r="C32" s="155"/>
      <c r="D32" s="161"/>
      <c r="E32" s="161"/>
      <c r="F32" s="162"/>
      <c r="G32" s="162"/>
      <c r="H32" s="162"/>
      <c r="I32" s="163"/>
      <c r="J32" s="155"/>
    </row>
    <row r="33" spans="1:11" ht="38.25" x14ac:dyDescent="0.25">
      <c r="A33" s="19">
        <v>306.00900000000001</v>
      </c>
      <c r="B33" s="145" t="s">
        <v>889</v>
      </c>
      <c r="C33" s="121"/>
      <c r="D33" s="113"/>
      <c r="E33" s="113" t="s">
        <v>850</v>
      </c>
      <c r="F33" s="116">
        <v>5</v>
      </c>
      <c r="G33" s="20">
        <f>IF(E33="X",F33,0)</f>
        <v>5</v>
      </c>
      <c r="H33" s="20">
        <f t="shared" ref="H33:H41" si="2">IF(C33="Y",F33,0)</f>
        <v>0</v>
      </c>
      <c r="I33" s="114"/>
      <c r="J33" s="114"/>
      <c r="K33" t="s">
        <v>851</v>
      </c>
    </row>
    <row r="34" spans="1:11" ht="25.5" x14ac:dyDescent="0.25">
      <c r="A34" s="19">
        <v>308.00799999999998</v>
      </c>
      <c r="B34" s="145" t="s">
        <v>890</v>
      </c>
      <c r="C34" s="121"/>
      <c r="D34" s="113"/>
      <c r="E34" s="113" t="s">
        <v>852</v>
      </c>
      <c r="F34" s="116">
        <v>5</v>
      </c>
      <c r="G34" s="20">
        <f t="shared" ref="G34:G41" si="3">IF(E34="X",F34,0)</f>
        <v>5</v>
      </c>
      <c r="H34" s="20">
        <f t="shared" si="2"/>
        <v>0</v>
      </c>
      <c r="I34" s="143"/>
      <c r="J34" s="143"/>
      <c r="K34" t="s">
        <v>853</v>
      </c>
    </row>
    <row r="35" spans="1:11" ht="25.5" x14ac:dyDescent="0.25">
      <c r="A35" s="19">
        <v>308.00799999999998</v>
      </c>
      <c r="B35" s="145" t="s">
        <v>455</v>
      </c>
      <c r="C35" s="121"/>
      <c r="D35" s="113"/>
      <c r="E35" s="113" t="s">
        <v>854</v>
      </c>
      <c r="F35" s="116">
        <v>5</v>
      </c>
      <c r="G35" s="20">
        <f t="shared" si="3"/>
        <v>5</v>
      </c>
      <c r="H35" s="20">
        <f t="shared" si="2"/>
        <v>0</v>
      </c>
      <c r="I35" s="114"/>
      <c r="J35" s="114"/>
      <c r="K35" t="s">
        <v>855</v>
      </c>
    </row>
    <row r="36" spans="1:11" ht="38.25" x14ac:dyDescent="0.25">
      <c r="A36" s="19"/>
      <c r="B36" s="145" t="s">
        <v>456</v>
      </c>
      <c r="C36" s="121"/>
      <c r="D36" s="113"/>
      <c r="E36" s="113" t="s">
        <v>856</v>
      </c>
      <c r="F36" s="116">
        <v>5</v>
      </c>
      <c r="G36" s="20">
        <f t="shared" si="3"/>
        <v>5</v>
      </c>
      <c r="H36" s="20">
        <f t="shared" si="2"/>
        <v>0</v>
      </c>
      <c r="I36" s="114"/>
      <c r="J36" s="114"/>
      <c r="K36" t="s">
        <v>857</v>
      </c>
    </row>
    <row r="37" spans="1:11" x14ac:dyDescent="0.25">
      <c r="A37" s="19">
        <v>308.00700000000001</v>
      </c>
      <c r="B37" s="145" t="s">
        <v>457</v>
      </c>
      <c r="C37" s="121"/>
      <c r="D37" s="113"/>
      <c r="E37" s="113" t="s">
        <v>858</v>
      </c>
      <c r="F37" s="116">
        <v>5</v>
      </c>
      <c r="G37" s="20">
        <f t="shared" si="3"/>
        <v>5</v>
      </c>
      <c r="H37" s="20">
        <f t="shared" si="2"/>
        <v>0</v>
      </c>
      <c r="I37" s="114"/>
      <c r="J37" s="114"/>
      <c r="K37" t="s">
        <v>859</v>
      </c>
    </row>
    <row r="38" spans="1:11" ht="25.5" x14ac:dyDescent="0.25">
      <c r="A38" s="19">
        <v>308.01100000000002</v>
      </c>
      <c r="B38" s="145" t="s">
        <v>458</v>
      </c>
      <c r="C38" s="121"/>
      <c r="D38" s="113"/>
      <c r="E38" s="113" t="s">
        <v>860</v>
      </c>
      <c r="F38" s="116">
        <v>5</v>
      </c>
      <c r="G38" s="20">
        <f t="shared" si="3"/>
        <v>5</v>
      </c>
      <c r="H38" s="20">
        <f t="shared" si="2"/>
        <v>0</v>
      </c>
      <c r="I38" s="114"/>
      <c r="J38" s="114"/>
      <c r="K38" t="s">
        <v>861</v>
      </c>
    </row>
    <row r="39" spans="1:11" ht="25.5" x14ac:dyDescent="0.25">
      <c r="A39" s="19">
        <v>308.01100000000002</v>
      </c>
      <c r="B39" s="145" t="s">
        <v>459</v>
      </c>
      <c r="C39" s="121"/>
      <c r="D39" s="113"/>
      <c r="E39" s="113" t="s">
        <v>862</v>
      </c>
      <c r="F39" s="116">
        <v>5</v>
      </c>
      <c r="G39" s="20">
        <f t="shared" si="3"/>
        <v>5</v>
      </c>
      <c r="H39" s="20">
        <f t="shared" si="2"/>
        <v>0</v>
      </c>
      <c r="I39" s="114"/>
      <c r="J39" s="114"/>
      <c r="K39" t="s">
        <v>863</v>
      </c>
    </row>
    <row r="40" spans="1:11" x14ac:dyDescent="0.25">
      <c r="A40" s="19">
        <v>308.00700000000001</v>
      </c>
      <c r="B40" s="145" t="s">
        <v>460</v>
      </c>
      <c r="C40" s="121"/>
      <c r="D40" s="113"/>
      <c r="E40" s="113" t="s">
        <v>864</v>
      </c>
      <c r="F40" s="116">
        <v>5</v>
      </c>
      <c r="G40" s="20">
        <f t="shared" si="3"/>
        <v>5</v>
      </c>
      <c r="H40" s="20">
        <f t="shared" si="2"/>
        <v>0</v>
      </c>
      <c r="I40" s="143"/>
      <c r="J40" s="143"/>
      <c r="K40" t="s">
        <v>865</v>
      </c>
    </row>
    <row r="41" spans="1:11" x14ac:dyDescent="0.25">
      <c r="A41" s="19">
        <v>308.00700000000001</v>
      </c>
      <c r="B41" s="145" t="s">
        <v>461</v>
      </c>
      <c r="C41" s="121"/>
      <c r="D41" s="113"/>
      <c r="E41" s="113" t="s">
        <v>866</v>
      </c>
      <c r="F41" s="116">
        <v>5</v>
      </c>
      <c r="G41" s="20">
        <f t="shared" si="3"/>
        <v>5</v>
      </c>
      <c r="H41" s="20">
        <f t="shared" si="2"/>
        <v>0</v>
      </c>
      <c r="I41" s="114"/>
      <c r="J41" s="114"/>
      <c r="K41" t="s">
        <v>867</v>
      </c>
    </row>
    <row r="42" spans="1:11" x14ac:dyDescent="0.25">
      <c r="A42" s="132"/>
      <c r="B42" s="62"/>
      <c r="C42" s="156"/>
      <c r="D42" s="157"/>
      <c r="E42" s="174"/>
      <c r="F42" s="169"/>
      <c r="G42" s="169"/>
      <c r="H42" s="169"/>
      <c r="I42" s="164"/>
      <c r="J42" s="160"/>
    </row>
    <row r="43" spans="1:11" ht="41.25" x14ac:dyDescent="0.25">
      <c r="A43" s="175">
        <v>754.00099999999998</v>
      </c>
      <c r="B43" s="6" t="s">
        <v>1041</v>
      </c>
      <c r="C43" s="155"/>
      <c r="D43" s="161"/>
      <c r="E43" s="161"/>
      <c r="F43" s="162"/>
      <c r="G43" s="162"/>
      <c r="H43" s="162"/>
      <c r="I43" s="163"/>
      <c r="J43" s="155"/>
    </row>
    <row r="44" spans="1:11" ht="25.5" x14ac:dyDescent="0.25">
      <c r="A44" s="19">
        <v>754.00099999999998</v>
      </c>
      <c r="B44" s="145" t="s">
        <v>462</v>
      </c>
      <c r="C44" s="121"/>
      <c r="D44" s="113"/>
      <c r="E44" s="113" t="s">
        <v>868</v>
      </c>
      <c r="F44" s="172">
        <v>5</v>
      </c>
      <c r="G44" s="20">
        <f>IF(E44="X",F44,0)</f>
        <v>5</v>
      </c>
      <c r="H44" s="20">
        <f t="shared" ref="H44:H52" si="4">IF(C44="Y",F44,0)</f>
        <v>0</v>
      </c>
      <c r="I44" s="114"/>
      <c r="J44" s="114"/>
      <c r="K44" t="s">
        <v>869</v>
      </c>
    </row>
    <row r="45" spans="1:11" ht="25.5" x14ac:dyDescent="0.25">
      <c r="A45" s="19">
        <v>754.00099999999998</v>
      </c>
      <c r="B45" s="145" t="s">
        <v>463</v>
      </c>
      <c r="C45" s="121"/>
      <c r="D45" s="113"/>
      <c r="E45" s="113" t="s">
        <v>870</v>
      </c>
      <c r="F45" s="172">
        <v>5</v>
      </c>
      <c r="G45" s="20">
        <f t="shared" ref="G45:G52" si="5">IF(E45="X",F45,0)</f>
        <v>5</v>
      </c>
      <c r="H45" s="20">
        <f t="shared" si="4"/>
        <v>0</v>
      </c>
      <c r="I45" s="114"/>
      <c r="J45" s="114"/>
      <c r="K45" t="s">
        <v>871</v>
      </c>
    </row>
    <row r="46" spans="1:11" ht="25.5" x14ac:dyDescent="0.25">
      <c r="A46" s="19">
        <v>754.00099999999998</v>
      </c>
      <c r="B46" s="145" t="s">
        <v>464</v>
      </c>
      <c r="C46" s="121"/>
      <c r="D46" s="113"/>
      <c r="E46" s="113" t="s">
        <v>872</v>
      </c>
      <c r="F46" s="172">
        <v>5</v>
      </c>
      <c r="G46" s="20">
        <f t="shared" si="5"/>
        <v>5</v>
      </c>
      <c r="H46" s="20">
        <f t="shared" si="4"/>
        <v>0</v>
      </c>
      <c r="I46" s="114"/>
      <c r="J46" s="114"/>
      <c r="K46" t="s">
        <v>873</v>
      </c>
    </row>
    <row r="47" spans="1:11" ht="25.5" x14ac:dyDescent="0.25">
      <c r="A47" s="19">
        <v>754.00099999999998</v>
      </c>
      <c r="B47" s="145" t="s">
        <v>465</v>
      </c>
      <c r="C47" s="121"/>
      <c r="D47" s="113"/>
      <c r="E47" s="113" t="s">
        <v>874</v>
      </c>
      <c r="F47" s="172">
        <v>5</v>
      </c>
      <c r="G47" s="20">
        <f t="shared" si="5"/>
        <v>5</v>
      </c>
      <c r="H47" s="20">
        <f t="shared" si="4"/>
        <v>0</v>
      </c>
      <c r="I47" s="114"/>
      <c r="J47" s="114"/>
      <c r="K47" t="s">
        <v>875</v>
      </c>
    </row>
    <row r="48" spans="1:11" ht="38.25" x14ac:dyDescent="0.25">
      <c r="A48" s="19">
        <v>754.00099999999998</v>
      </c>
      <c r="B48" s="145" t="s">
        <v>891</v>
      </c>
      <c r="C48" s="121"/>
      <c r="D48" s="113"/>
      <c r="E48" s="113" t="s">
        <v>876</v>
      </c>
      <c r="F48" s="172">
        <v>5</v>
      </c>
      <c r="G48" s="20">
        <f t="shared" si="5"/>
        <v>5</v>
      </c>
      <c r="H48" s="20">
        <f t="shared" si="4"/>
        <v>0</v>
      </c>
      <c r="I48" s="114"/>
      <c r="J48" s="114"/>
      <c r="K48" t="s">
        <v>877</v>
      </c>
    </row>
    <row r="49" spans="1:11" ht="25.5" x14ac:dyDescent="0.25">
      <c r="A49" s="19">
        <v>754.00099999999998</v>
      </c>
      <c r="B49" s="145" t="s">
        <v>892</v>
      </c>
      <c r="C49" s="121"/>
      <c r="D49" s="113"/>
      <c r="E49" s="113" t="s">
        <v>878</v>
      </c>
      <c r="F49" s="172">
        <v>5</v>
      </c>
      <c r="G49" s="20">
        <f t="shared" si="5"/>
        <v>5</v>
      </c>
      <c r="H49" s="20">
        <f t="shared" si="4"/>
        <v>0</v>
      </c>
      <c r="I49" s="114"/>
      <c r="J49" s="114"/>
      <c r="K49" t="s">
        <v>879</v>
      </c>
    </row>
    <row r="50" spans="1:11" ht="38.25" x14ac:dyDescent="0.25">
      <c r="A50" s="19">
        <v>753.00199999999995</v>
      </c>
      <c r="B50" s="145" t="s">
        <v>893</v>
      </c>
      <c r="C50" s="121"/>
      <c r="D50" s="113"/>
      <c r="E50" s="113" t="s">
        <v>880</v>
      </c>
      <c r="F50" s="116">
        <v>5</v>
      </c>
      <c r="G50" s="20">
        <f t="shared" si="5"/>
        <v>5</v>
      </c>
      <c r="H50" s="20">
        <f t="shared" si="4"/>
        <v>0</v>
      </c>
      <c r="I50" s="114"/>
      <c r="J50" s="114"/>
      <c r="K50" t="s">
        <v>881</v>
      </c>
    </row>
    <row r="51" spans="1:11" ht="128.25" x14ac:dyDescent="0.25">
      <c r="A51" s="19">
        <v>308.00599999999997</v>
      </c>
      <c r="B51" s="145" t="s">
        <v>1735</v>
      </c>
      <c r="C51" s="121"/>
      <c r="D51" s="113"/>
      <c r="E51" s="113" t="s">
        <v>882</v>
      </c>
      <c r="F51" s="172">
        <v>5</v>
      </c>
      <c r="G51" s="20">
        <f t="shared" si="5"/>
        <v>5</v>
      </c>
      <c r="H51" s="20">
        <f t="shared" si="4"/>
        <v>0</v>
      </c>
      <c r="I51" s="143"/>
      <c r="J51" s="143"/>
      <c r="K51" t="s">
        <v>883</v>
      </c>
    </row>
    <row r="52" spans="1:11" ht="25.5" x14ac:dyDescent="0.25">
      <c r="A52" s="19"/>
      <c r="B52" s="145" t="s">
        <v>466</v>
      </c>
      <c r="C52" s="121"/>
      <c r="D52" s="113"/>
      <c r="E52" s="113" t="s">
        <v>884</v>
      </c>
      <c r="F52" s="172">
        <v>5</v>
      </c>
      <c r="G52" s="20">
        <f t="shared" si="5"/>
        <v>5</v>
      </c>
      <c r="H52" s="20">
        <f t="shared" si="4"/>
        <v>0</v>
      </c>
      <c r="I52" s="114"/>
      <c r="J52" s="114"/>
      <c r="K52" t="s">
        <v>885</v>
      </c>
    </row>
    <row r="53" spans="1:11" x14ac:dyDescent="0.25">
      <c r="F53" s="85">
        <f>SUM(F9:F52)</f>
        <v>192</v>
      </c>
      <c r="G53" s="85">
        <f>SUM(G9:G52)</f>
        <v>192</v>
      </c>
      <c r="H53" s="86">
        <f>SUM(H9:H52)</f>
        <v>0</v>
      </c>
    </row>
  </sheetData>
  <sheetProtection formatCells="0" selectLockedCells="1"/>
  <mergeCells count="2">
    <mergeCell ref="C6:J6"/>
    <mergeCell ref="D7:J7"/>
  </mergeCells>
  <phoneticPr fontId="0" type="noConversion"/>
  <pageMargins left="3.937007874015748E-2" right="3.937007874015748E-2" top="0.94488188976377963" bottom="0.74803149606299213" header="0.19685039370078741" footer="0.31496062992125984"/>
  <pageSetup paperSize="9" scale="79" fitToHeight="0" orientation="portrait" r:id="rId1"/>
  <headerFooter>
    <oddHeader>&amp;L&amp;G&amp;C&amp;A&amp;R</oddHeader>
    <oddFooter>&amp;L&amp;F&amp;C&amp;RPage &amp;P / &amp;N</oddFooter>
  </headerFooter>
  <drawing r:id="rId2"/>
  <legacyDrawing r:id="rId3"/>
  <legacyDrawingHF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13</vt:i4>
      </vt:variant>
      <vt:variant>
        <vt:lpstr>Именованные диапазоны</vt:lpstr>
      </vt:variant>
      <vt:variant>
        <vt:i4>3</vt:i4>
      </vt:variant>
    </vt:vector>
  </HeadingPairs>
  <TitlesOfParts>
    <vt:vector size="16" baseType="lpstr">
      <vt:lpstr>VESSEL DATA </vt:lpstr>
      <vt:lpstr>INSPECTION REMARKS </vt:lpstr>
      <vt:lpstr>1. GENERAL VESSEL MANAGEMENT</vt:lpstr>
      <vt:lpstr>2. HULL</vt:lpstr>
      <vt:lpstr>3. SUPERSTRUCTURE – EXTERNAL</vt:lpstr>
      <vt:lpstr>4. DECKS</vt:lpstr>
      <vt:lpstr>5. DECK MACHINERY</vt:lpstr>
      <vt:lpstr>6. WHEELHOUSE</vt:lpstr>
      <vt:lpstr>7. ACCOMODATION</vt:lpstr>
      <vt:lpstr>8. GALLEY, LAUNDRY &amp; STORES</vt:lpstr>
      <vt:lpstr>9. TECHNICAL SPACES</vt:lpstr>
      <vt:lpstr>10. TANKS, VOIDS AND STORE SPAC</vt:lpstr>
      <vt:lpstr>11. SAFETY</vt:lpstr>
      <vt:lpstr>'4. DECKS'!Заголовки_для_печати</vt:lpstr>
      <vt:lpstr>'7. ACCOMODATION'!Заголовки_для_печати</vt:lpstr>
      <vt:lpstr>'9. TECHNICAL SPACES'!Заголовки_для_печати</vt:lpstr>
    </vt:vector>
  </TitlesOfParts>
  <Company>SMIT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Remco Berkhof</dc:creator>
  <cp:lastModifiedBy>Vladislav Dolzhikov</cp:lastModifiedBy>
  <cp:lastPrinted>2017-05-23T09:24:17Z</cp:lastPrinted>
  <dcterms:created xsi:type="dcterms:W3CDTF">2013-06-21T12:03:51Z</dcterms:created>
  <dcterms:modified xsi:type="dcterms:W3CDTF">2025-01-10T09:51:34Z</dcterms:modified>
</cp:coreProperties>
</file>