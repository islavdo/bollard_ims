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DOCUMENTS\LAMNALCO\SLIMS COMMENTS\Forms 04_RUS\"/>
    </mc:Choice>
  </mc:AlternateContent>
  <bookViews>
    <workbookView xWindow="0" yWindow="300" windowWidth="14955" windowHeight="8190"/>
  </bookViews>
  <sheets>
    <sheet name="VER (2)" sheetId="3" r:id="rId1"/>
  </sheets>
  <calcPr calcId="152511"/>
</workbook>
</file>

<file path=xl/calcChain.xml><?xml version="1.0" encoding="utf-8"?>
<calcChain xmlns="http://schemas.openxmlformats.org/spreadsheetml/2006/main">
  <c r="M16" i="3" l="1"/>
  <c r="S16" i="3" l="1"/>
  <c r="M27" i="3"/>
  <c r="S27" i="3" s="1"/>
  <c r="W27" i="3" s="1"/>
  <c r="M26" i="3"/>
  <c r="S26" i="3" s="1"/>
  <c r="W26" i="3" s="1"/>
  <c r="M25" i="3"/>
  <c r="S25" i="3" s="1"/>
  <c r="M24" i="3"/>
  <c r="S24" i="3" s="1"/>
  <c r="M23" i="3"/>
  <c r="S23" i="3" s="1"/>
  <c r="W23" i="3" s="1"/>
  <c r="M22" i="3"/>
  <c r="S22" i="3" s="1"/>
  <c r="W22" i="3" s="1"/>
  <c r="M21" i="3"/>
  <c r="S21" i="3" s="1"/>
  <c r="M20" i="3"/>
  <c r="S20" i="3" s="1"/>
  <c r="M19" i="3"/>
  <c r="S19" i="3" s="1"/>
  <c r="W19" i="3" s="1"/>
  <c r="M18" i="3"/>
  <c r="S18" i="3" s="1"/>
  <c r="W18" i="3" s="1"/>
  <c r="M17" i="3"/>
  <c r="V17" i="3" s="1"/>
  <c r="U16" i="3"/>
  <c r="T29" i="3"/>
  <c r="U23" i="3"/>
  <c r="V23" i="3"/>
  <c r="V18" i="3"/>
  <c r="V27" i="3" l="1"/>
  <c r="U17" i="3"/>
  <c r="V22" i="3"/>
  <c r="U22" i="3"/>
  <c r="U24" i="3"/>
  <c r="V19" i="3"/>
  <c r="U21" i="3"/>
  <c r="V24" i="3"/>
  <c r="V20" i="3"/>
  <c r="W25" i="3"/>
  <c r="W21" i="3"/>
  <c r="V25" i="3"/>
  <c r="V21" i="3"/>
  <c r="W24" i="3"/>
  <c r="W20" i="3"/>
  <c r="V26" i="3"/>
  <c r="S17" i="3"/>
  <c r="W17" i="3" s="1"/>
  <c r="V16" i="3"/>
  <c r="W16" i="3"/>
  <c r="W29" i="3" s="1"/>
  <c r="U18" i="3"/>
  <c r="U26" i="3"/>
  <c r="U27" i="3"/>
  <c r="U20" i="3"/>
  <c r="U25" i="3"/>
  <c r="U19" i="3"/>
  <c r="U29" i="3" l="1"/>
  <c r="M30" i="3" s="1"/>
  <c r="M32" i="3"/>
  <c r="V29" i="3"/>
  <c r="M29" i="3" l="1"/>
  <c r="W32" i="3"/>
  <c r="W33" i="3" s="1"/>
  <c r="M34" i="3" s="1"/>
</calcChain>
</file>

<file path=xl/comments1.xml><?xml version="1.0" encoding="utf-8"?>
<comments xmlns="http://schemas.openxmlformats.org/spreadsheetml/2006/main">
  <authors>
    <author>Kemps, Harrie</author>
  </authors>
  <commentList>
    <comment ref="A19" authorId="0" shapeId="0">
      <text>
        <r>
          <rPr>
            <sz val="8"/>
            <color indexed="81"/>
            <rFont val="Tahoma"/>
            <family val="2"/>
          </rPr>
          <t>Subcontractor capable of managing the Top 3 environmental risks  and the successful implementation of the Preventive Measures as given in the prequalification form</t>
        </r>
      </text>
    </comment>
  </commentList>
</comments>
</file>

<file path=xl/sharedStrings.xml><?xml version="1.0" encoding="utf-8"?>
<sst xmlns="http://schemas.openxmlformats.org/spreadsheetml/2006/main" count="76" uniqueCount="76">
  <si>
    <r>
      <rPr>
        <b/>
        <sz val="10"/>
        <color indexed="9"/>
        <rFont val="Arial"/>
        <family val="2"/>
      </rPr>
      <t>CRITERIA / КРИТЕРИИ</t>
    </r>
  </si>
  <si>
    <r>
      <rPr>
        <b/>
        <sz val="10"/>
        <rFont val="Arial"/>
        <family val="2"/>
      </rPr>
      <t>Bad / Плохо</t>
    </r>
  </si>
  <si>
    <r>
      <rPr>
        <b/>
        <sz val="10"/>
        <color indexed="9"/>
        <rFont val="Arial"/>
        <family val="2"/>
      </rPr>
      <t>Poor/Низкое качество</t>
    </r>
  </si>
  <si>
    <r>
      <rPr>
        <b/>
        <sz val="10"/>
        <color indexed="9"/>
        <rFont val="Arial"/>
        <family val="2"/>
      </rPr>
      <t>Good/Надлежащее качество</t>
    </r>
  </si>
  <si>
    <r>
      <rPr>
        <b/>
        <sz val="10"/>
        <color indexed="9"/>
        <rFont val="Arial"/>
        <family val="2"/>
      </rPr>
      <t>Excellent/Отличное качество</t>
    </r>
  </si>
  <si>
    <r>
      <rPr>
        <sz val="10"/>
        <rFont val="Arial"/>
        <family val="2"/>
      </rPr>
      <t>Communication / Обмен информацией</t>
    </r>
  </si>
  <si>
    <r>
      <rPr>
        <sz val="10"/>
        <rFont val="Arial"/>
        <family val="2"/>
      </rPr>
      <t>Quality of work / Качество работ</t>
    </r>
  </si>
  <si>
    <r>
      <rPr>
        <sz val="10"/>
        <rFont val="Arial"/>
        <family val="2"/>
      </rPr>
      <t>Quality of used equipment and materials / Качество используемых материалов и оборудования</t>
    </r>
  </si>
  <si>
    <r>
      <rPr>
        <b/>
        <sz val="10"/>
        <rFont val="Arial"/>
        <family val="2"/>
      </rPr>
      <t>PERFORMANCE OF THE WORK / ВЫПОЛНЕНИЕ РАБОТ</t>
    </r>
  </si>
  <si>
    <r>
      <rPr>
        <b/>
        <sz val="10"/>
        <rFont val="Arial"/>
        <family val="2"/>
      </rPr>
      <t>Address / Адрес:</t>
    </r>
  </si>
  <si>
    <r>
      <rPr>
        <b/>
        <sz val="10"/>
        <rFont val="Arial"/>
        <family val="2"/>
      </rPr>
      <t>Country / Страна:</t>
    </r>
  </si>
  <si>
    <r>
      <rPr>
        <b/>
        <sz val="10"/>
        <rFont val="Arial"/>
        <family val="2"/>
      </rPr>
      <t>Contact person / Контактное лицо:</t>
    </r>
  </si>
  <si>
    <r>
      <rPr>
        <b/>
        <sz val="10"/>
        <rFont val="Arial"/>
        <family val="2"/>
      </rPr>
      <t>Description Material and/or Services / Описание материалов и(или) услуг:</t>
    </r>
  </si>
  <si>
    <r>
      <rPr>
        <b/>
        <sz val="10"/>
        <rFont val="Arial"/>
        <family val="2"/>
      </rPr>
      <t>Purchase Order Number / Номер заказа на поставку:</t>
    </r>
  </si>
  <si>
    <r>
      <rPr>
        <b/>
        <sz val="10"/>
        <rFont val="Arial"/>
        <family val="2"/>
      </rPr>
      <t>Completion date / Дата завершения:</t>
    </r>
  </si>
  <si>
    <r>
      <rPr>
        <b/>
        <sz val="10"/>
        <rFont val="Arial"/>
        <family val="2"/>
      </rPr>
      <t>Date / Дата:</t>
    </r>
  </si>
  <si>
    <r>
      <rPr>
        <b/>
        <sz val="10"/>
        <rFont val="Arial"/>
        <family val="2"/>
      </rPr>
      <t>Filled in by / Заполняется:</t>
    </r>
  </si>
  <si>
    <r>
      <rPr>
        <sz val="10"/>
        <rFont val="Arial"/>
        <family val="2"/>
      </rPr>
      <t>Documentation / reporting / Документация и отчетность</t>
    </r>
  </si>
  <si>
    <r>
      <rPr>
        <sz val="10"/>
        <rFont val="Arial"/>
        <family val="2"/>
      </rPr>
      <t>Safety awareness / Знание техники безопасности</t>
    </r>
  </si>
  <si>
    <r>
      <rPr>
        <sz val="10"/>
        <rFont val="Arial"/>
        <family val="2"/>
      </rPr>
      <t>Meeting delivery dates / Соблюдение сроков поставки</t>
    </r>
  </si>
  <si>
    <r>
      <rPr>
        <sz val="10"/>
        <rFont val="Arial"/>
        <family val="2"/>
      </rPr>
      <t>Price / Цена</t>
    </r>
  </si>
  <si>
    <r>
      <rPr>
        <sz val="10"/>
        <rFont val="Arial"/>
        <family val="2"/>
      </rPr>
      <t>Flexibility / Cooperation / Service / Гибкость/ Сотрудничество/ Услуги</t>
    </r>
  </si>
  <si>
    <r>
      <rPr>
        <sz val="10"/>
        <rFont val="Arial"/>
        <family val="2"/>
      </rPr>
      <t>Compliance to work specification / Соответствие ТЗ на работы</t>
    </r>
  </si>
  <si>
    <r>
      <rPr>
        <sz val="10"/>
        <rFont val="Arial"/>
        <family val="2"/>
      </rPr>
      <t>Invoice quality / timely / Качество/своевременность счета на оплату</t>
    </r>
  </si>
  <si>
    <r>
      <rPr>
        <sz val="10"/>
        <rFont val="Arial"/>
        <family val="2"/>
      </rPr>
      <t>General performance / Общая эффективность</t>
    </r>
  </si>
  <si>
    <r>
      <rPr>
        <b/>
        <sz val="10"/>
        <color indexed="9"/>
        <rFont val="Arial"/>
        <family val="2"/>
      </rPr>
      <t>N.A. / НД</t>
    </r>
  </si>
  <si>
    <r>
      <rPr>
        <b/>
        <sz val="10"/>
        <color indexed="9"/>
        <rFont val="Arial"/>
        <family val="2"/>
      </rPr>
      <t>Remarks / Замечания</t>
    </r>
  </si>
  <si>
    <r>
      <rPr>
        <sz val="10"/>
        <rFont val="Arial"/>
        <family val="2"/>
      </rPr>
      <t>n.a./НД</t>
    </r>
  </si>
  <si>
    <r>
      <rPr>
        <b/>
        <sz val="10"/>
        <rFont val="Arial"/>
        <family val="2"/>
      </rPr>
      <t>Weight / Вес</t>
    </r>
  </si>
  <si>
    <r>
      <rPr>
        <b/>
        <sz val="10"/>
        <rFont val="Arial"/>
        <family val="2"/>
      </rPr>
      <t>Weighthed Score / Взвешенная оценка</t>
    </r>
  </si>
  <si>
    <r>
      <rPr>
        <b/>
        <sz val="10"/>
        <rFont val="Arial"/>
        <family val="2"/>
      </rPr>
      <t xml:space="preserve">Suggested status / Предлагаемый статус: </t>
    </r>
  </si>
  <si>
    <r>
      <rPr>
        <b/>
        <sz val="10"/>
        <rFont val="Arial"/>
        <family val="2"/>
      </rPr>
      <t>Total Score / Общая оценка</t>
    </r>
  </si>
  <si>
    <r>
      <rPr>
        <b/>
        <sz val="10"/>
        <rFont val="Arial"/>
        <family val="2"/>
      </rPr>
      <t>Min. score / Минимальный балл</t>
    </r>
  </si>
  <si>
    <r>
      <rPr>
        <b/>
        <sz val="10"/>
        <rFont val="Arial"/>
        <family val="2"/>
      </rPr>
      <t>Max. score / Максимальный балл</t>
    </r>
  </si>
  <si>
    <r>
      <rPr>
        <b/>
        <sz val="10"/>
        <rFont val="Arial"/>
        <family val="2"/>
      </rPr>
      <t>Maximum weighted score / Максимальный взвешенный балл:</t>
    </r>
  </si>
  <si>
    <r>
      <rPr>
        <b/>
        <sz val="10"/>
        <rFont val="Arial"/>
        <family val="2"/>
      </rPr>
      <t>Minimum weighted score / Минимальный взвешенный балл:</t>
    </r>
  </si>
  <si>
    <r>
      <rPr>
        <b/>
        <sz val="10"/>
        <rFont val="Arial"/>
        <family val="2"/>
      </rPr>
      <t>Actual weighted score / Фактический взвешенный балл:</t>
    </r>
  </si>
  <si>
    <r>
      <rPr>
        <sz val="10"/>
        <rFont val="Arial"/>
        <family val="2"/>
      </rPr>
      <t>PRF</t>
    </r>
  </si>
  <si>
    <r>
      <rPr>
        <sz val="10"/>
        <rFont val="Arial"/>
        <family val="2"/>
      </rPr>
      <t>REJ/ОТКАЗ</t>
    </r>
  </si>
  <si>
    <r>
      <rPr>
        <sz val="10"/>
        <rFont val="Arial"/>
        <family val="2"/>
      </rPr>
      <t>AUC</t>
    </r>
  </si>
  <si>
    <r>
      <rPr>
        <sz val="10"/>
        <rFont val="Arial"/>
        <family val="2"/>
      </rPr>
      <t>APR/УТВ.</t>
    </r>
  </si>
  <si>
    <r>
      <rPr>
        <b/>
        <sz val="10"/>
        <rFont val="Arial"/>
        <family val="2"/>
      </rPr>
      <t>Date of Delivery / commencement / Срок поставки / дата начала:</t>
    </r>
  </si>
  <si>
    <r>
      <rPr>
        <b/>
        <sz val="10"/>
        <color indexed="9"/>
        <rFont val="Arial"/>
        <family val="2"/>
      </rPr>
      <t>Unacceptable/Неприемлемо</t>
    </r>
  </si>
  <si>
    <r>
      <rPr>
        <sz val="10"/>
        <rFont val="Arial"/>
        <family val="2"/>
      </rPr>
      <t>Environmental Performance / Экологическая эффективность</t>
    </r>
  </si>
  <si>
    <r>
      <rPr>
        <b/>
        <sz val="10"/>
        <rFont val="Arial"/>
        <family val="2"/>
      </rPr>
      <t>FRM-OFF-04-5000-003</t>
    </r>
  </si>
  <si>
    <r>
      <rPr>
        <b/>
        <sz val="10"/>
        <rFont val="Arial"/>
        <family val="2"/>
      </rPr>
      <t>Retention 3 Year / Срок хранения 3 года</t>
    </r>
  </si>
  <si>
    <r>
      <rPr>
        <b/>
        <sz val="11"/>
        <rFont val="Arial"/>
        <family val="2"/>
      </rPr>
      <t xml:space="preserve">SUPPLIER/ SUBCONTRACTOR EVALUATION REPORT / ОТЧЕТ ПО ОЦЕНКЕ ПОСТАВЩИКА/СУБПОДРЯДЧИКА </t>
    </r>
  </si>
  <si>
    <r>
      <rPr>
        <b/>
        <sz val="10"/>
        <rFont val="Arial"/>
        <family val="2"/>
      </rPr>
      <t xml:space="preserve">Supplier/ Subcontractor / Поставщик/Субподрядчик: </t>
    </r>
  </si>
  <si>
    <r>
      <rPr>
        <b/>
        <sz val="10"/>
        <rFont val="Arial"/>
        <family val="2"/>
      </rPr>
      <t>FRM-OFF-04-5000-004</t>
    </r>
  </si>
  <si>
    <r>
      <rPr>
        <b/>
        <sz val="10"/>
        <rFont val="Arial"/>
        <family val="2"/>
      </rPr>
      <t>Poor/Низкое качество</t>
    </r>
  </si>
  <si>
    <r>
      <rPr>
        <b/>
        <sz val="10"/>
        <rFont val="Arial"/>
        <family val="2"/>
      </rPr>
      <t>Good/Надлежащее качество</t>
    </r>
  </si>
  <si>
    <r>
      <rPr>
        <b/>
        <sz val="10"/>
        <rFont val="Arial"/>
        <family val="2"/>
      </rPr>
      <t>Excellent/Отличное качество</t>
    </r>
  </si>
  <si>
    <r>
      <rPr>
        <b/>
        <sz val="10"/>
        <rFont val="Arial"/>
        <family val="2"/>
      </rPr>
      <t>N.A. / НД</t>
    </r>
  </si>
  <si>
    <r>
      <rPr>
        <sz val="10"/>
        <rFont val="Arial"/>
        <family val="2"/>
      </rPr>
      <t>n.a./НД</t>
    </r>
  </si>
  <si>
    <r>
      <rPr>
        <sz val="10"/>
        <rFont val="Arial"/>
        <family val="2"/>
      </rPr>
      <t>n.a./НД</t>
    </r>
  </si>
  <si>
    <r>
      <rPr>
        <sz val="10"/>
        <rFont val="Arial"/>
        <family val="2"/>
      </rPr>
      <t>n.a./НД</t>
    </r>
  </si>
  <si>
    <r>
      <rPr>
        <sz val="10"/>
        <rFont val="Arial"/>
        <family val="2"/>
      </rPr>
      <t>n.a./НД</t>
    </r>
  </si>
  <si>
    <r>
      <rPr>
        <sz val="10"/>
        <rFont val="Arial"/>
        <family val="2"/>
      </rPr>
      <t>n.a./НД</t>
    </r>
  </si>
  <si>
    <r>
      <rPr>
        <sz val="10"/>
        <rFont val="Arial"/>
        <family val="2"/>
      </rPr>
      <t>n.a./НД</t>
    </r>
  </si>
  <si>
    <r>
      <rPr>
        <sz val="10"/>
        <rFont val="Arial"/>
        <family val="2"/>
      </rPr>
      <t>n.a./НД</t>
    </r>
  </si>
  <si>
    <r>
      <rPr>
        <sz val="10"/>
        <rFont val="Arial"/>
        <family val="2"/>
      </rPr>
      <t>n.a./НД</t>
    </r>
  </si>
  <si>
    <r>
      <rPr>
        <sz val="10"/>
        <rFont val="Arial"/>
        <family val="2"/>
      </rPr>
      <t>n.a./НД</t>
    </r>
  </si>
  <si>
    <r>
      <rPr>
        <sz val="10"/>
        <rFont val="Arial"/>
        <family val="2"/>
      </rPr>
      <t>n.a./НД</t>
    </r>
  </si>
  <si>
    <r>
      <rPr>
        <sz val="10"/>
        <rFont val="Arial"/>
        <family val="2"/>
      </rPr>
      <t>n.a./НД</t>
    </r>
  </si>
  <si>
    <r>
      <rPr>
        <b/>
        <sz val="10"/>
        <rFont val="Arial"/>
        <family val="2"/>
      </rPr>
      <t>File / Папка 04</t>
    </r>
  </si>
  <si>
    <r>
      <rPr>
        <b/>
        <sz val="10"/>
        <rFont val="Arial"/>
        <family val="2"/>
      </rPr>
      <t>Retention 3 Year / Срок хранения 3 года</t>
    </r>
  </si>
  <si>
    <r>
      <rPr>
        <b/>
        <sz val="11"/>
        <rFont val="Arial"/>
        <family val="2"/>
      </rPr>
      <t>SUBCONTRACTOR / SUPPLIER EVALUATION REPORT / ОТЧЕТ ПО ОЦЕНКЕ СУБПОДРЯДЧИКА/ПОСТАВЩИКА</t>
    </r>
  </si>
  <si>
    <t>File 04 / Папка 04</t>
  </si>
  <si>
    <t>Project name / Название проекта:</t>
  </si>
  <si>
    <t>Project number / Номер проекта:</t>
  </si>
  <si>
    <t>Score / Баллы</t>
  </si>
  <si>
    <t>General Remarks / 
Общие замечания:</t>
  </si>
  <si>
    <t>Recommendations Projects / Operations / 
Рекомендации по проектам / работам:</t>
  </si>
  <si>
    <t>Recommendations QHSES / 
Рекомендации ОТОСБ и КК:</t>
  </si>
  <si>
    <t>Recommendations Procurement / 
Рекомендации по МТС:</t>
  </si>
  <si>
    <t>Conclusions / actions / 
Заключение / меры: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</si>
</sst>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€&quot;\ * #,##0.00_-;_-&quot;€&quot;\ * #,##0.00\-;_-&quot;€&quot;\ * &quot;-&quot;??_-;_-@_-"/>
    <numFmt numFmtId="165" formatCode="[$-409]dd\-mmm\-yy;@"/>
  </numFmts>
  <fonts count="1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0"/>
      <color indexed="10"/>
      <name val="Arial"/>
      <family val="2"/>
    </font>
    <font>
      <sz val="8"/>
      <color indexed="81"/>
      <name val="Tahoma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 applyProtection="1">
      <alignment horizontal="center" vertical="center" textRotation="90" wrapText="1"/>
    </xf>
    <xf numFmtId="164" fontId="3" fillId="2" borderId="1" xfId="0" applyNumberFormat="1" applyFont="1" applyFill="1" applyBorder="1" applyAlignment="1" applyProtection="1">
      <alignment horizontal="center" vertical="center" textRotation="90" wrapText="1"/>
    </xf>
    <xf numFmtId="0" fontId="0" fillId="0" borderId="0" xfId="0" applyBorder="1" applyAlignment="1">
      <alignment horizontal="left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9" fontId="0" fillId="0" borderId="0" xfId="2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9" fontId="0" fillId="0" borderId="0" xfId="2" applyFont="1" applyFill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left" vertical="center" wrapText="1"/>
    </xf>
    <xf numFmtId="0" fontId="3" fillId="0" borderId="4" xfId="0" applyFont="1" applyBorder="1" applyAlignment="1" applyProtection="1">
      <alignment horizontal="left" vertical="center" wrapText="1"/>
    </xf>
    <xf numFmtId="0" fontId="3" fillId="0" borderId="2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left" vertical="center"/>
    </xf>
    <xf numFmtId="0" fontId="0" fillId="0" borderId="0" xfId="0" applyBorder="1" applyAlignment="1" applyProtection="1">
      <alignment horizontal="left" vertical="center" wrapText="1"/>
    </xf>
    <xf numFmtId="0" fontId="3" fillId="0" borderId="4" xfId="0" applyFont="1" applyBorder="1" applyAlignment="1" applyProtection="1">
      <alignment horizontal="left" vertical="center"/>
    </xf>
    <xf numFmtId="0" fontId="0" fillId="0" borderId="6" xfId="0" applyBorder="1" applyAlignment="1" applyProtection="1">
      <alignment horizontal="left" vertical="center" wrapText="1"/>
    </xf>
    <xf numFmtId="0" fontId="0" fillId="0" borderId="3" xfId="0" applyBorder="1" applyAlignment="1" applyProtection="1">
      <alignment vertical="center" wrapText="1"/>
    </xf>
    <xf numFmtId="0" fontId="0" fillId="0" borderId="4" xfId="0" applyBorder="1" applyAlignment="1" applyProtection="1">
      <alignment vertical="center" wrapText="1"/>
    </xf>
    <xf numFmtId="0" fontId="0" fillId="0" borderId="6" xfId="0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left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 vertical="center" wrapText="1"/>
    </xf>
    <xf numFmtId="0" fontId="0" fillId="0" borderId="0" xfId="0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center" vertical="center" wrapText="1"/>
    </xf>
    <xf numFmtId="0" fontId="3" fillId="0" borderId="0" xfId="0" applyFont="1" applyFill="1" applyBorder="1" applyAlignment="1" applyProtection="1">
      <alignment horizontal="center" vertical="center" wrapText="1"/>
    </xf>
    <xf numFmtId="0" fontId="3" fillId="0" borderId="0" xfId="0" applyFont="1" applyAlignment="1" applyProtection="1">
      <alignment horizontal="left" vertical="center" wrapText="1"/>
    </xf>
    <xf numFmtId="0" fontId="0" fillId="0" borderId="0" xfId="0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0" fontId="0" fillId="0" borderId="0" xfId="0" applyAlignment="1" applyProtection="1">
      <alignment horizontal="left" vertical="center" wrapText="1"/>
    </xf>
    <xf numFmtId="0" fontId="3" fillId="0" borderId="0" xfId="0" applyFont="1" applyAlignment="1" applyProtection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3" fillId="0" borderId="5" xfId="0" applyFont="1" applyBorder="1" applyAlignment="1" applyProtection="1">
      <alignment horizontal="left" vertical="center" wrapText="1"/>
    </xf>
    <xf numFmtId="0" fontId="3" fillId="0" borderId="0" xfId="0" applyFont="1" applyBorder="1" applyAlignment="1" applyProtection="1">
      <alignment horizontal="left" vertical="center" wrapText="1"/>
    </xf>
    <xf numFmtId="0" fontId="3" fillId="0" borderId="6" xfId="0" applyFont="1" applyBorder="1" applyAlignment="1" applyProtection="1">
      <alignment horizontal="left" vertical="center" wrapText="1"/>
    </xf>
    <xf numFmtId="0" fontId="2" fillId="0" borderId="9" xfId="0" applyFont="1" applyBorder="1" applyAlignment="1" applyProtection="1">
      <alignment horizontal="left" vertical="center" wrapText="1"/>
    </xf>
    <xf numFmtId="0" fontId="1" fillId="0" borderId="9" xfId="0" applyFont="1" applyBorder="1" applyAlignment="1" applyProtection="1">
      <alignment horizontal="left" vertical="center" wrapText="1"/>
    </xf>
    <xf numFmtId="0" fontId="2" fillId="0" borderId="10" xfId="0" applyFont="1" applyBorder="1" applyAlignment="1" applyProtection="1">
      <alignment horizontal="left" vertical="center" wrapText="1"/>
    </xf>
    <xf numFmtId="0" fontId="1" fillId="0" borderId="10" xfId="0" applyFont="1" applyBorder="1" applyAlignment="1" applyProtection="1">
      <alignment horizontal="left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8" fillId="4" borderId="9" xfId="0" applyFont="1" applyFill="1" applyBorder="1" applyAlignment="1" applyProtection="1">
      <alignment horizontal="left" vertical="center" wrapText="1"/>
    </xf>
    <xf numFmtId="0" fontId="8" fillId="4" borderId="10" xfId="0" applyFont="1" applyFill="1" applyBorder="1" applyAlignment="1" applyProtection="1">
      <alignment horizontal="left" vertical="center" wrapText="1"/>
    </xf>
    <xf numFmtId="0" fontId="8" fillId="4" borderId="1" xfId="0" applyFont="1" applyFill="1" applyBorder="1" applyAlignment="1" applyProtection="1">
      <alignment horizontal="center" vertical="center" textRotation="90" wrapText="1"/>
    </xf>
    <xf numFmtId="164" fontId="8" fillId="4" borderId="1" xfId="0" applyNumberFormat="1" applyFont="1" applyFill="1" applyBorder="1" applyAlignment="1" applyProtection="1">
      <alignment horizontal="center" vertical="center" textRotation="90" wrapText="1"/>
    </xf>
    <xf numFmtId="0" fontId="8" fillId="4" borderId="1" xfId="0" applyFont="1" applyFill="1" applyBorder="1" applyAlignment="1" applyProtection="1">
      <alignment horizontal="center" vertical="center" wrapText="1"/>
    </xf>
    <xf numFmtId="0" fontId="3" fillId="5" borderId="14" xfId="0" applyFont="1" applyFill="1" applyBorder="1" applyAlignment="1" applyProtection="1">
      <alignment horizontal="center" vertical="center" wrapText="1"/>
    </xf>
    <xf numFmtId="0" fontId="3" fillId="5" borderId="10" xfId="0" applyFont="1" applyFill="1" applyBorder="1" applyAlignment="1" applyProtection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2" fillId="0" borderId="5" xfId="0" applyFont="1" applyBorder="1" applyAlignment="1" applyProtection="1">
      <alignment horizontal="left" vertical="center" wrapText="1"/>
      <protection locked="0"/>
    </xf>
    <xf numFmtId="0" fontId="0" fillId="0" borderId="5" xfId="0" applyBorder="1" applyAlignment="1" applyProtection="1">
      <alignment horizontal="left" vertical="center" wrapText="1"/>
      <protection locked="0"/>
    </xf>
    <xf numFmtId="0" fontId="0" fillId="0" borderId="16" xfId="0" applyBorder="1" applyAlignment="1" applyProtection="1">
      <alignment horizontal="left" vertical="center" wrapText="1"/>
      <protection locked="0"/>
    </xf>
    <xf numFmtId="165" fontId="1" fillId="0" borderId="5" xfId="0" applyNumberFormat="1" applyFont="1" applyBorder="1" applyAlignment="1" applyProtection="1">
      <alignment horizontal="left" vertical="center" wrapText="1"/>
      <protection locked="0"/>
    </xf>
    <xf numFmtId="165" fontId="0" fillId="0" borderId="5" xfId="0" applyNumberFormat="1" applyBorder="1" applyAlignment="1" applyProtection="1">
      <alignment horizontal="left" vertical="center" wrapText="1"/>
      <protection locked="0"/>
    </xf>
    <xf numFmtId="165" fontId="0" fillId="0" borderId="16" xfId="0" applyNumberFormat="1" applyBorder="1" applyAlignment="1" applyProtection="1">
      <alignment horizontal="left" vertical="center" wrapText="1"/>
      <protection locked="0"/>
    </xf>
    <xf numFmtId="0" fontId="2" fillId="0" borderId="0" xfId="0" applyFont="1" applyBorder="1" applyAlignment="1" applyProtection="1">
      <alignment horizontal="left" vertical="center" wrapText="1"/>
      <protection locked="0"/>
    </xf>
    <xf numFmtId="0" fontId="0" fillId="0" borderId="0" xfId="0" applyBorder="1" applyAlignment="1" applyProtection="1">
      <alignment horizontal="left" vertical="center" wrapText="1"/>
      <protection locked="0"/>
    </xf>
    <xf numFmtId="0" fontId="0" fillId="0" borderId="17" xfId="0" applyBorder="1" applyAlignment="1" applyProtection="1">
      <alignment horizontal="left" vertical="center" wrapText="1"/>
      <protection locked="0"/>
    </xf>
    <xf numFmtId="0" fontId="1" fillId="0" borderId="0" xfId="0" applyFont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horizontal="left" vertical="center" wrapText="1"/>
      <protection locked="0"/>
    </xf>
    <xf numFmtId="0" fontId="0" fillId="0" borderId="6" xfId="0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left" vertical="center" wrapText="1"/>
      <protection locked="0"/>
    </xf>
    <xf numFmtId="0" fontId="0" fillId="0" borderId="6" xfId="0" applyBorder="1" applyAlignment="1" applyProtection="1">
      <alignment horizontal="left" vertical="center" wrapText="1"/>
    </xf>
    <xf numFmtId="0" fontId="0" fillId="0" borderId="23" xfId="0" applyBorder="1" applyAlignment="1" applyProtection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 applyAlignment="1" applyProtection="1">
      <alignment horizontal="left" vertical="center" wrapText="1"/>
    </xf>
    <xf numFmtId="0" fontId="0" fillId="0" borderId="17" xfId="0" applyBorder="1" applyAlignment="1" applyProtection="1">
      <alignment horizontal="left" vertical="center" wrapText="1"/>
    </xf>
    <xf numFmtId="0" fontId="8" fillId="4" borderId="9" xfId="0" applyFont="1" applyFill="1" applyBorder="1" applyAlignment="1" applyProtection="1">
      <alignment horizontal="center" vertical="center" wrapText="1"/>
    </xf>
    <xf numFmtId="0" fontId="8" fillId="4" borderId="14" xfId="0" applyFont="1" applyFill="1" applyBorder="1" applyAlignment="1" applyProtection="1">
      <alignment horizontal="center" vertical="center" wrapText="1"/>
    </xf>
    <xf numFmtId="0" fontId="8" fillId="4" borderId="10" xfId="0" applyFont="1" applyFill="1" applyBorder="1" applyAlignment="1" applyProtection="1">
      <alignment horizontal="center" vertical="center" wrapText="1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4" fillId="0" borderId="14" xfId="0" applyFont="1" applyBorder="1" applyAlignment="1" applyProtection="1">
      <alignment horizontal="center" vertical="center" wrapText="1"/>
      <protection locked="0"/>
    </xf>
    <xf numFmtId="0" fontId="4" fillId="0" borderId="10" xfId="0" applyFont="1" applyBorder="1" applyAlignment="1" applyProtection="1">
      <alignment horizontal="center" vertical="center" wrapText="1"/>
      <protection locked="0"/>
    </xf>
    <xf numFmtId="0" fontId="2" fillId="2" borderId="15" xfId="0" applyFont="1" applyFill="1" applyBorder="1" applyAlignment="1" applyProtection="1">
      <alignment horizontal="left" vertical="top" wrapText="1"/>
      <protection locked="0"/>
    </xf>
    <xf numFmtId="0" fontId="2" fillId="2" borderId="7" xfId="0" applyFont="1" applyFill="1" applyBorder="1" applyAlignment="1" applyProtection="1">
      <alignment horizontal="left" vertical="top" wrapText="1"/>
      <protection locked="0"/>
    </xf>
    <xf numFmtId="0" fontId="0" fillId="2" borderId="7" xfId="0" applyFill="1" applyBorder="1" applyAlignment="1" applyProtection="1">
      <alignment horizontal="left" vertical="top" wrapText="1"/>
      <protection locked="0"/>
    </xf>
    <xf numFmtId="0" fontId="0" fillId="2" borderId="20" xfId="0" applyFill="1" applyBorder="1" applyAlignment="1" applyProtection="1">
      <alignment horizontal="left" vertical="top" wrapText="1"/>
      <protection locked="0"/>
    </xf>
    <xf numFmtId="0" fontId="0" fillId="2" borderId="18" xfId="0" applyFill="1" applyBorder="1" applyAlignment="1" applyProtection="1">
      <alignment horizontal="left" vertical="top" wrapText="1"/>
      <protection locked="0"/>
    </xf>
    <xf numFmtId="0" fontId="0" fillId="2" borderId="0" xfId="0" applyFill="1" applyBorder="1" applyAlignment="1" applyProtection="1">
      <alignment horizontal="left" vertical="top" wrapText="1"/>
      <protection locked="0"/>
    </xf>
    <xf numFmtId="0" fontId="0" fillId="2" borderId="19" xfId="0" applyFill="1" applyBorder="1" applyAlignment="1" applyProtection="1">
      <alignment horizontal="left" vertical="top" wrapText="1"/>
      <protection locked="0"/>
    </xf>
    <xf numFmtId="0" fontId="0" fillId="2" borderId="21" xfId="0" applyFill="1" applyBorder="1" applyAlignment="1" applyProtection="1">
      <alignment horizontal="left" vertical="top" wrapText="1"/>
      <protection locked="0"/>
    </xf>
    <xf numFmtId="0" fontId="0" fillId="2" borderId="8" xfId="0" applyFill="1" applyBorder="1" applyAlignment="1" applyProtection="1">
      <alignment horizontal="left" vertical="top" wrapText="1"/>
      <protection locked="0"/>
    </xf>
    <xf numFmtId="0" fontId="0" fillId="2" borderId="22" xfId="0" applyFill="1" applyBorder="1" applyAlignment="1" applyProtection="1">
      <alignment horizontal="left" vertical="top" wrapText="1"/>
      <protection locked="0"/>
    </xf>
    <xf numFmtId="0" fontId="3" fillId="5" borderId="9" xfId="0" applyFont="1" applyFill="1" applyBorder="1" applyAlignment="1" applyProtection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3" fillId="6" borderId="15" xfId="0" applyFont="1" applyFill="1" applyBorder="1" applyAlignment="1" applyProtection="1">
      <alignment horizontal="left" vertical="top" wrapText="1"/>
      <protection locked="0"/>
    </xf>
    <xf numFmtId="0" fontId="3" fillId="6" borderId="7" xfId="0" applyFont="1" applyFill="1" applyBorder="1" applyAlignment="1" applyProtection="1">
      <alignment horizontal="left" vertical="top" wrapText="1"/>
      <protection locked="0"/>
    </xf>
    <xf numFmtId="0" fontId="3" fillId="6" borderId="20" xfId="0" applyFont="1" applyFill="1" applyBorder="1" applyAlignment="1" applyProtection="1">
      <alignment horizontal="left" vertical="top" wrapText="1"/>
      <protection locked="0"/>
    </xf>
    <xf numFmtId="0" fontId="3" fillId="6" borderId="18" xfId="0" applyFont="1" applyFill="1" applyBorder="1" applyAlignment="1" applyProtection="1">
      <alignment horizontal="left" vertical="top" wrapText="1"/>
      <protection locked="0"/>
    </xf>
    <xf numFmtId="0" fontId="3" fillId="6" borderId="0" xfId="0" applyFont="1" applyFill="1" applyBorder="1" applyAlignment="1" applyProtection="1">
      <alignment horizontal="left" vertical="top" wrapText="1"/>
      <protection locked="0"/>
    </xf>
    <xf numFmtId="0" fontId="3" fillId="6" borderId="19" xfId="0" applyFont="1" applyFill="1" applyBorder="1" applyAlignment="1" applyProtection="1">
      <alignment horizontal="left" vertical="top" wrapText="1"/>
      <protection locked="0"/>
    </xf>
    <xf numFmtId="0" fontId="3" fillId="6" borderId="21" xfId="0" applyFont="1" applyFill="1" applyBorder="1" applyAlignment="1" applyProtection="1">
      <alignment horizontal="left" vertical="top" wrapText="1"/>
      <protection locked="0"/>
    </xf>
    <xf numFmtId="0" fontId="3" fillId="6" borderId="8" xfId="0" applyFont="1" applyFill="1" applyBorder="1" applyAlignment="1" applyProtection="1">
      <alignment horizontal="left" vertical="top" wrapText="1"/>
      <protection locked="0"/>
    </xf>
    <xf numFmtId="0" fontId="3" fillId="6" borderId="22" xfId="0" applyFont="1" applyFill="1" applyBorder="1" applyAlignment="1" applyProtection="1">
      <alignment horizontal="left" vertical="top" wrapText="1"/>
      <protection locked="0"/>
    </xf>
    <xf numFmtId="0" fontId="1" fillId="2" borderId="15" xfId="0" applyFont="1" applyFill="1" applyBorder="1" applyAlignment="1" applyProtection="1">
      <alignment horizontal="left" vertical="top" wrapText="1"/>
      <protection locked="0"/>
    </xf>
    <xf numFmtId="0" fontId="1" fillId="2" borderId="7" xfId="0" applyFont="1" applyFill="1" applyBorder="1" applyAlignment="1" applyProtection="1">
      <alignment horizontal="left" vertical="top" wrapText="1"/>
      <protection locked="0"/>
    </xf>
    <xf numFmtId="0" fontId="10" fillId="0" borderId="0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11" fillId="0" borderId="2" xfId="0" applyFont="1" applyBorder="1" applyAlignment="1" applyProtection="1">
      <alignment horizontal="left" vertical="center"/>
    </xf>
    <xf numFmtId="0" fontId="11" fillId="0" borderId="3" xfId="0" applyFont="1" applyBorder="1" applyAlignment="1" applyProtection="1">
      <alignment horizontal="left" vertical="center"/>
    </xf>
    <xf numFmtId="0" fontId="3" fillId="0" borderId="8" xfId="0" applyFont="1" applyBorder="1" applyAlignment="1" applyProtection="1">
      <alignment horizontal="left" vertical="center" wrapText="1"/>
    </xf>
    <xf numFmtId="0" fontId="5" fillId="0" borderId="0" xfId="0" applyFont="1" applyBorder="1" applyAlignment="1">
      <alignment horizontal="left" vertical="center"/>
    </xf>
  </cellXfs>
  <cellStyles count="3">
    <cellStyle name="Euro" xfId="1"/>
    <cellStyle name="Обычный" xfId="0" builtinId="0"/>
    <cellStyle name="Процентный" xfId="2" builtinId="5"/>
  </cellStyles>
  <dxfs count="8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24938</xdr:colOff>
      <xdr:row>0</xdr:row>
      <xdr:rowOff>58189</xdr:rowOff>
    </xdr:from>
    <xdr:to>
      <xdr:col>0</xdr:col>
      <xdr:colOff>1886989</xdr:colOff>
      <xdr:row>2</xdr:row>
      <xdr:rowOff>83127</xdr:rowOff>
    </xdr:to>
    <xdr:pic>
      <xdr:nvPicPr>
        <xdr:cNvPr id="205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938" y="58189"/>
          <a:ext cx="1795549" cy="7315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41564</xdr:colOff>
      <xdr:row>39</xdr:row>
      <xdr:rowOff>66502</xdr:rowOff>
    </xdr:from>
    <xdr:to>
      <xdr:col>0</xdr:col>
      <xdr:colOff>1895302</xdr:colOff>
      <xdr:row>40</xdr:row>
      <xdr:rowOff>515388</xdr:rowOff>
    </xdr:to>
    <xdr:pic>
      <xdr:nvPicPr>
        <xdr:cNvPr id="2051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1564" y="14630400"/>
          <a:ext cx="1778923" cy="7315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91"/>
  <sheetViews>
    <sheetView showGridLines="0" tabSelected="1" view="pageLayout" topLeftCell="A79" zoomScale="115" zoomScaleNormal="85" zoomScalePageLayoutView="115" workbookViewId="0">
      <selection activeCell="A46" sqref="A46:M52"/>
    </sheetView>
  </sheetViews>
  <sheetFormatPr defaultColWidth="9.140625" defaultRowHeight="12.75" outlineLevelCol="1" x14ac:dyDescent="0.2"/>
  <cols>
    <col min="1" max="1" width="27.42578125" style="5" customWidth="1"/>
    <col min="2" max="2" width="5.140625" style="5" customWidth="1"/>
    <col min="3" max="5" width="3.28515625" style="2" bestFit="1" customWidth="1"/>
    <col min="6" max="6" width="3.28515625" style="2" customWidth="1"/>
    <col min="7" max="7" width="3.28515625" style="1" bestFit="1" customWidth="1"/>
    <col min="8" max="8" width="9.140625" style="2" customWidth="1"/>
    <col min="9" max="9" width="6.28515625" style="2" bestFit="1" customWidth="1"/>
    <col min="10" max="10" width="21.28515625" style="2" customWidth="1"/>
    <col min="11" max="11" width="8.28515625" style="2" customWidth="1"/>
    <col min="12" max="12" width="8.140625" style="2" customWidth="1"/>
    <col min="13" max="13" width="6.85546875" style="2" customWidth="1"/>
    <col min="14" max="16" width="3.28515625" style="2" hidden="1" customWidth="1" outlineLevel="1"/>
    <col min="17" max="17" width="4.42578125" style="2" hidden="1" customWidth="1" outlineLevel="1"/>
    <col min="18" max="18" width="4.140625" style="2" hidden="1" customWidth="1" outlineLevel="1"/>
    <col min="19" max="19" width="11.28515625" style="2" hidden="1" customWidth="1" outlineLevel="1"/>
    <col min="20" max="22" width="9.140625" style="2" hidden="1" customWidth="1" outlineLevel="1"/>
    <col min="23" max="23" width="11.28515625" style="2" hidden="1" customWidth="1" outlineLevel="1"/>
    <col min="24" max="24" width="7.28515625" style="2" bestFit="1" customWidth="1" collapsed="1"/>
    <col min="25" max="25" width="9.140625" style="2"/>
    <col min="26" max="26" width="12.7109375" style="2" bestFit="1" customWidth="1"/>
    <col min="27" max="16384" width="9.140625" style="2"/>
  </cols>
  <sheetData>
    <row r="1" spans="1:23" s="7" customFormat="1" ht="22.7" customHeight="1" x14ac:dyDescent="0.2">
      <c r="A1" s="56"/>
      <c r="B1" s="46"/>
      <c r="C1" s="46"/>
      <c r="D1" s="46"/>
      <c r="E1" s="46"/>
      <c r="F1" s="46"/>
      <c r="G1" s="46"/>
      <c r="H1" s="46"/>
      <c r="I1" s="46"/>
      <c r="J1" s="46"/>
      <c r="K1" s="69" t="s">
        <v>48</v>
      </c>
      <c r="L1" s="70"/>
      <c r="M1" s="71"/>
    </row>
    <row r="2" spans="1:23" s="7" customFormat="1" ht="33.4" customHeight="1" x14ac:dyDescent="0.2">
      <c r="A2" s="57"/>
      <c r="B2" s="66" t="s">
        <v>46</v>
      </c>
      <c r="C2" s="67"/>
      <c r="D2" s="67"/>
      <c r="E2" s="67"/>
      <c r="F2" s="67"/>
      <c r="G2" s="67"/>
      <c r="H2" s="67"/>
      <c r="I2" s="67"/>
      <c r="J2" s="68"/>
      <c r="K2" s="72" t="s">
        <v>67</v>
      </c>
      <c r="L2" s="73"/>
      <c r="M2" s="74"/>
    </row>
    <row r="3" spans="1:23" s="7" customFormat="1" ht="29.45" customHeight="1" x14ac:dyDescent="0.2">
      <c r="A3" s="58"/>
      <c r="B3" s="48"/>
      <c r="C3" s="47"/>
      <c r="D3" s="47"/>
      <c r="E3" s="47"/>
      <c r="F3" s="47"/>
      <c r="G3" s="47"/>
      <c r="H3" s="47"/>
      <c r="I3" s="47"/>
      <c r="J3" s="47"/>
      <c r="K3" s="75" t="s">
        <v>45</v>
      </c>
      <c r="L3" s="76"/>
      <c r="M3" s="77"/>
      <c r="R3" s="15"/>
      <c r="S3" s="15"/>
    </row>
    <row r="4" spans="1:23" s="6" customFormat="1" ht="25.5" customHeight="1" thickBot="1" x14ac:dyDescent="0.25">
      <c r="A4" s="8"/>
      <c r="B4" s="8"/>
      <c r="G4" s="9"/>
    </row>
    <row r="5" spans="1:23" s="13" customFormat="1" ht="26.25" customHeight="1" x14ac:dyDescent="0.2">
      <c r="A5" s="21" t="s">
        <v>47</v>
      </c>
      <c r="B5" s="49"/>
      <c r="C5" s="78"/>
      <c r="D5" s="79"/>
      <c r="E5" s="79"/>
      <c r="F5" s="79"/>
      <c r="G5" s="79"/>
      <c r="H5" s="80"/>
      <c r="I5" s="24" t="s">
        <v>15</v>
      </c>
      <c r="J5" s="25"/>
      <c r="K5" s="81"/>
      <c r="L5" s="82"/>
      <c r="M5" s="83"/>
    </row>
    <row r="6" spans="1:23" s="13" customFormat="1" ht="26.25" customHeight="1" x14ac:dyDescent="0.2">
      <c r="A6" s="22" t="s">
        <v>9</v>
      </c>
      <c r="B6" s="50"/>
      <c r="C6" s="84"/>
      <c r="D6" s="85"/>
      <c r="E6" s="85"/>
      <c r="F6" s="85"/>
      <c r="G6" s="85"/>
      <c r="H6" s="86"/>
      <c r="I6" s="26" t="s">
        <v>16</v>
      </c>
      <c r="J6" s="27"/>
      <c r="K6" s="87"/>
      <c r="L6" s="85"/>
      <c r="M6" s="86"/>
    </row>
    <row r="7" spans="1:23" s="13" customFormat="1" ht="26.25" customHeight="1" x14ac:dyDescent="0.2">
      <c r="A7" s="22" t="s">
        <v>10</v>
      </c>
      <c r="B7" s="50"/>
      <c r="C7" s="84"/>
      <c r="D7" s="85"/>
      <c r="E7" s="85"/>
      <c r="F7" s="85"/>
      <c r="G7" s="85"/>
      <c r="H7" s="86"/>
      <c r="I7" s="26"/>
      <c r="J7" s="27"/>
      <c r="K7" s="95"/>
      <c r="L7" s="95"/>
      <c r="M7" s="96"/>
    </row>
    <row r="8" spans="1:23" s="13" customFormat="1" ht="26.25" customHeight="1" thickBot="1" x14ac:dyDescent="0.25">
      <c r="A8" s="23" t="s">
        <v>11</v>
      </c>
      <c r="B8" s="51"/>
      <c r="C8" s="88"/>
      <c r="D8" s="89"/>
      <c r="E8" s="89"/>
      <c r="F8" s="89"/>
      <c r="G8" s="89"/>
      <c r="H8" s="90"/>
      <c r="I8" s="28"/>
      <c r="J8" s="29"/>
      <c r="K8" s="91"/>
      <c r="L8" s="91"/>
      <c r="M8" s="92"/>
    </row>
    <row r="9" spans="1:23" s="13" customFormat="1" ht="26.25" customHeight="1" x14ac:dyDescent="0.2">
      <c r="A9" s="21" t="s">
        <v>13</v>
      </c>
      <c r="B9" s="49"/>
      <c r="C9" s="78"/>
      <c r="D9" s="79"/>
      <c r="E9" s="79"/>
      <c r="F9" s="79"/>
      <c r="G9" s="79"/>
      <c r="H9" s="80"/>
      <c r="I9" s="132" t="s">
        <v>68</v>
      </c>
      <c r="J9" s="25"/>
      <c r="K9" s="78"/>
      <c r="L9" s="79"/>
      <c r="M9" s="80"/>
    </row>
    <row r="10" spans="1:23" s="13" customFormat="1" ht="41.25" customHeight="1" x14ac:dyDescent="0.2">
      <c r="A10" s="22" t="s">
        <v>12</v>
      </c>
      <c r="B10" s="50"/>
      <c r="C10" s="84"/>
      <c r="D10" s="85"/>
      <c r="E10" s="85"/>
      <c r="F10" s="85"/>
      <c r="G10" s="85"/>
      <c r="H10" s="86"/>
      <c r="I10" s="133" t="s">
        <v>69</v>
      </c>
      <c r="J10" s="27"/>
      <c r="K10" s="84"/>
      <c r="L10" s="85"/>
      <c r="M10" s="86"/>
    </row>
    <row r="11" spans="1:23" s="13" customFormat="1" ht="38.65" customHeight="1" x14ac:dyDescent="0.2">
      <c r="A11" s="22" t="s">
        <v>41</v>
      </c>
      <c r="B11" s="50"/>
      <c r="C11" s="84"/>
      <c r="D11" s="85"/>
      <c r="E11" s="85"/>
      <c r="F11" s="85"/>
      <c r="G11" s="85"/>
      <c r="H11" s="86"/>
      <c r="I11" s="30"/>
      <c r="J11" s="27"/>
      <c r="K11" s="95"/>
      <c r="L11" s="95"/>
      <c r="M11" s="96"/>
    </row>
    <row r="12" spans="1:23" s="6" customFormat="1" ht="26.25" customHeight="1" thickBot="1" x14ac:dyDescent="0.25">
      <c r="A12" s="23" t="s">
        <v>14</v>
      </c>
      <c r="B12" s="51"/>
      <c r="C12" s="88"/>
      <c r="D12" s="89"/>
      <c r="E12" s="89"/>
      <c r="F12" s="89"/>
      <c r="G12" s="89"/>
      <c r="H12" s="90"/>
      <c r="I12" s="31"/>
      <c r="J12" s="32"/>
      <c r="K12" s="91"/>
      <c r="L12" s="91"/>
      <c r="M12" s="92"/>
    </row>
    <row r="13" spans="1:23" ht="20.100000000000001" customHeight="1" x14ac:dyDescent="0.2">
      <c r="A13" s="4"/>
      <c r="B13" s="4"/>
      <c r="G13" s="3"/>
    </row>
    <row r="14" spans="1:23" s="3" customFormat="1" ht="155.25" x14ac:dyDescent="0.2">
      <c r="A14" s="59" t="s">
        <v>0</v>
      </c>
      <c r="B14" s="60"/>
      <c r="C14" s="61" t="s">
        <v>42</v>
      </c>
      <c r="D14" s="61" t="s">
        <v>2</v>
      </c>
      <c r="E14" s="62" t="s">
        <v>3</v>
      </c>
      <c r="F14" s="62" t="s">
        <v>4</v>
      </c>
      <c r="G14" s="62" t="s">
        <v>25</v>
      </c>
      <c r="H14" s="97" t="s">
        <v>26</v>
      </c>
      <c r="I14" s="98"/>
      <c r="J14" s="98"/>
      <c r="K14" s="98"/>
      <c r="L14" s="99"/>
      <c r="M14" s="63" t="s">
        <v>70</v>
      </c>
      <c r="N14" s="11" t="s">
        <v>1</v>
      </c>
      <c r="O14" s="11" t="s">
        <v>49</v>
      </c>
      <c r="P14" s="12" t="s">
        <v>50</v>
      </c>
      <c r="Q14" s="12" t="s">
        <v>51</v>
      </c>
      <c r="R14" s="12" t="s">
        <v>52</v>
      </c>
      <c r="S14" s="10" t="s">
        <v>31</v>
      </c>
      <c r="T14" s="16" t="s">
        <v>28</v>
      </c>
      <c r="U14" s="16" t="s">
        <v>32</v>
      </c>
      <c r="V14" s="16" t="s">
        <v>33</v>
      </c>
      <c r="W14" s="16" t="s">
        <v>29</v>
      </c>
    </row>
    <row r="15" spans="1:23" s="3" customFormat="1" ht="33.4" customHeight="1" x14ac:dyDescent="0.2">
      <c r="A15" s="113" t="s">
        <v>8</v>
      </c>
      <c r="B15" s="11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5"/>
    </row>
    <row r="16" spans="1:23" ht="35.25" customHeight="1" x14ac:dyDescent="0.2">
      <c r="A16" s="52" t="s">
        <v>5</v>
      </c>
      <c r="B16" s="54"/>
      <c r="C16" s="14"/>
      <c r="D16" s="20"/>
      <c r="E16" s="20"/>
      <c r="F16" s="20"/>
      <c r="G16" s="14"/>
      <c r="H16" s="100"/>
      <c r="I16" s="101"/>
      <c r="J16" s="101"/>
      <c r="K16" s="101"/>
      <c r="L16" s="102"/>
      <c r="M16" s="33" t="str">
        <f>IF(C16="x",N16,IF(D16="x",O16,IF(E16="x",P16,IF(F16="x",Q16,IF(G16="x",R16,"Fill in     X")))))</f>
        <v>Fill in     X</v>
      </c>
      <c r="N16" s="1">
        <v>0</v>
      </c>
      <c r="O16" s="1">
        <v>40</v>
      </c>
      <c r="P16" s="1">
        <v>60</v>
      </c>
      <c r="Q16" s="1">
        <v>100</v>
      </c>
      <c r="R16" s="1" t="s">
        <v>27</v>
      </c>
      <c r="S16" s="1" t="str">
        <f>M16</f>
        <v>Fill in     X</v>
      </c>
      <c r="T16" s="19">
        <v>0.04</v>
      </c>
      <c r="U16" s="2">
        <f t="shared" ref="U16:U27" si="0">IF(M16="n.a.",0,T16*N16)</f>
        <v>0</v>
      </c>
      <c r="V16" s="2">
        <f t="shared" ref="V16:V27" si="1">IF(M16="n.a.",0,T16*Q16)</f>
        <v>4</v>
      </c>
      <c r="W16" s="2" t="e">
        <f t="shared" ref="W16:W27" si="2">IF(M16="n.a.",0,T16*S16)</f>
        <v>#VALUE!</v>
      </c>
    </row>
    <row r="17" spans="1:23" ht="35.25" customHeight="1" x14ac:dyDescent="0.2">
      <c r="A17" s="52" t="s">
        <v>17</v>
      </c>
      <c r="B17" s="54"/>
      <c r="C17" s="14"/>
      <c r="D17" s="20"/>
      <c r="E17" s="14"/>
      <c r="F17" s="20"/>
      <c r="G17" s="14"/>
      <c r="H17" s="100"/>
      <c r="I17" s="101"/>
      <c r="J17" s="101"/>
      <c r="K17" s="101"/>
      <c r="L17" s="102"/>
      <c r="M17" s="33" t="str">
        <f t="shared" ref="M17:M27" si="3">IF(C17="x",N17,IF(D17="x",O17,IF(E17="x",P17,IF(F17="x",Q17,IF(G17="x",R17,"Fill in     X")))))</f>
        <v>Fill in     X</v>
      </c>
      <c r="N17" s="1">
        <v>0</v>
      </c>
      <c r="O17" s="1">
        <v>40</v>
      </c>
      <c r="P17" s="1">
        <v>60</v>
      </c>
      <c r="Q17" s="1">
        <v>100</v>
      </c>
      <c r="R17" s="1" t="s">
        <v>53</v>
      </c>
      <c r="S17" s="1" t="str">
        <f t="shared" ref="S17:S27" si="4">M17</f>
        <v>Fill in     X</v>
      </c>
      <c r="T17" s="19">
        <v>0.03</v>
      </c>
      <c r="U17" s="2">
        <f t="shared" si="0"/>
        <v>0</v>
      </c>
      <c r="V17" s="2">
        <f t="shared" si="1"/>
        <v>3</v>
      </c>
      <c r="W17" s="2" t="e">
        <f t="shared" si="2"/>
        <v>#VALUE!</v>
      </c>
    </row>
    <row r="18" spans="1:23" ht="35.25" customHeight="1" x14ac:dyDescent="0.2">
      <c r="A18" s="52" t="s">
        <v>6</v>
      </c>
      <c r="B18" s="54"/>
      <c r="C18" s="14"/>
      <c r="D18" s="14"/>
      <c r="E18" s="20"/>
      <c r="F18" s="20"/>
      <c r="G18" s="14"/>
      <c r="H18" s="100"/>
      <c r="I18" s="101"/>
      <c r="J18" s="101"/>
      <c r="K18" s="101"/>
      <c r="L18" s="102"/>
      <c r="M18" s="33" t="str">
        <f t="shared" si="3"/>
        <v>Fill in     X</v>
      </c>
      <c r="N18" s="1">
        <v>0</v>
      </c>
      <c r="O18" s="1">
        <v>40</v>
      </c>
      <c r="P18" s="1">
        <v>60</v>
      </c>
      <c r="Q18" s="1">
        <v>100</v>
      </c>
      <c r="R18" s="1" t="s">
        <v>54</v>
      </c>
      <c r="S18" s="1" t="str">
        <f t="shared" si="4"/>
        <v>Fill in     X</v>
      </c>
      <c r="T18" s="19">
        <v>0.2</v>
      </c>
      <c r="U18" s="2">
        <f t="shared" si="0"/>
        <v>0</v>
      </c>
      <c r="V18" s="2">
        <f t="shared" si="1"/>
        <v>20</v>
      </c>
      <c r="W18" s="2" t="e">
        <f t="shared" si="2"/>
        <v>#VALUE!</v>
      </c>
    </row>
    <row r="19" spans="1:23" ht="35.25" customHeight="1" x14ac:dyDescent="0.2">
      <c r="A19" s="53" t="s">
        <v>43</v>
      </c>
      <c r="B19" s="55"/>
      <c r="C19" s="14"/>
      <c r="D19" s="20"/>
      <c r="E19" s="14"/>
      <c r="F19" s="20"/>
      <c r="G19" s="14"/>
      <c r="H19" s="100"/>
      <c r="I19" s="101"/>
      <c r="J19" s="101"/>
      <c r="K19" s="101"/>
      <c r="L19" s="102"/>
      <c r="M19" s="33" t="str">
        <f t="shared" si="3"/>
        <v>Fill in     X</v>
      </c>
      <c r="N19" s="1">
        <v>0</v>
      </c>
      <c r="O19" s="1">
        <v>40</v>
      </c>
      <c r="P19" s="1">
        <v>60</v>
      </c>
      <c r="Q19" s="1">
        <v>100</v>
      </c>
      <c r="R19" s="1" t="s">
        <v>55</v>
      </c>
      <c r="S19" s="1" t="str">
        <f t="shared" si="4"/>
        <v>Fill in     X</v>
      </c>
      <c r="T19" s="19">
        <v>0.03</v>
      </c>
      <c r="U19" s="2">
        <f t="shared" si="0"/>
        <v>0</v>
      </c>
      <c r="V19" s="2">
        <f t="shared" si="1"/>
        <v>3</v>
      </c>
      <c r="W19" s="2" t="e">
        <f t="shared" si="2"/>
        <v>#VALUE!</v>
      </c>
    </row>
    <row r="20" spans="1:23" ht="35.25" customHeight="1" x14ac:dyDescent="0.2">
      <c r="A20" s="52" t="s">
        <v>18</v>
      </c>
      <c r="B20" s="54"/>
      <c r="C20" s="14"/>
      <c r="D20" s="14"/>
      <c r="E20" s="20"/>
      <c r="F20" s="20"/>
      <c r="G20" s="14"/>
      <c r="H20" s="100"/>
      <c r="I20" s="101"/>
      <c r="J20" s="101"/>
      <c r="K20" s="101"/>
      <c r="L20" s="102"/>
      <c r="M20" s="33" t="str">
        <f t="shared" si="3"/>
        <v>Fill in     X</v>
      </c>
      <c r="N20" s="1">
        <v>0</v>
      </c>
      <c r="O20" s="1">
        <v>40</v>
      </c>
      <c r="P20" s="1">
        <v>60</v>
      </c>
      <c r="Q20" s="1">
        <v>100</v>
      </c>
      <c r="R20" s="1" t="s">
        <v>56</v>
      </c>
      <c r="S20" s="1" t="str">
        <f t="shared" si="4"/>
        <v>Fill in     X</v>
      </c>
      <c r="T20" s="19">
        <v>0.1</v>
      </c>
      <c r="U20" s="2">
        <f t="shared" si="0"/>
        <v>0</v>
      </c>
      <c r="V20" s="2">
        <f t="shared" si="1"/>
        <v>10</v>
      </c>
      <c r="W20" s="2" t="e">
        <f t="shared" si="2"/>
        <v>#VALUE!</v>
      </c>
    </row>
    <row r="21" spans="1:23" ht="35.25" customHeight="1" x14ac:dyDescent="0.2">
      <c r="A21" s="52" t="s">
        <v>19</v>
      </c>
      <c r="B21" s="54"/>
      <c r="C21" s="14"/>
      <c r="D21" s="14"/>
      <c r="E21" s="20"/>
      <c r="F21" s="20"/>
      <c r="G21" s="14"/>
      <c r="H21" s="100"/>
      <c r="I21" s="101"/>
      <c r="J21" s="101"/>
      <c r="K21" s="101"/>
      <c r="L21" s="102"/>
      <c r="M21" s="33" t="str">
        <f t="shared" si="3"/>
        <v>Fill in     X</v>
      </c>
      <c r="N21" s="1">
        <v>0</v>
      </c>
      <c r="O21" s="1">
        <v>40</v>
      </c>
      <c r="P21" s="1">
        <v>60</v>
      </c>
      <c r="Q21" s="1">
        <v>100</v>
      </c>
      <c r="R21" s="1" t="s">
        <v>57</v>
      </c>
      <c r="S21" s="1" t="str">
        <f t="shared" si="4"/>
        <v>Fill in     X</v>
      </c>
      <c r="T21" s="19">
        <v>0.15</v>
      </c>
      <c r="U21" s="2">
        <f t="shared" si="0"/>
        <v>0</v>
      </c>
      <c r="V21" s="2">
        <f t="shared" si="1"/>
        <v>15</v>
      </c>
      <c r="W21" s="2" t="e">
        <f t="shared" si="2"/>
        <v>#VALUE!</v>
      </c>
    </row>
    <row r="22" spans="1:23" ht="35.25" customHeight="1" x14ac:dyDescent="0.2">
      <c r="A22" s="52" t="s">
        <v>20</v>
      </c>
      <c r="B22" s="54"/>
      <c r="C22" s="14"/>
      <c r="D22" s="14"/>
      <c r="E22" s="20"/>
      <c r="F22" s="20"/>
      <c r="G22" s="14"/>
      <c r="H22" s="100"/>
      <c r="I22" s="101"/>
      <c r="J22" s="101"/>
      <c r="K22" s="101"/>
      <c r="L22" s="102"/>
      <c r="M22" s="33" t="str">
        <f t="shared" si="3"/>
        <v>Fill in     X</v>
      </c>
      <c r="N22" s="1">
        <v>0</v>
      </c>
      <c r="O22" s="1">
        <v>40</v>
      </c>
      <c r="P22" s="1">
        <v>60</v>
      </c>
      <c r="Q22" s="1">
        <v>100</v>
      </c>
      <c r="R22" s="1" t="s">
        <v>58</v>
      </c>
      <c r="S22" s="1" t="str">
        <f t="shared" si="4"/>
        <v>Fill in     X</v>
      </c>
      <c r="T22" s="19">
        <v>0.15</v>
      </c>
      <c r="U22" s="2">
        <f t="shared" si="0"/>
        <v>0</v>
      </c>
      <c r="V22" s="2">
        <f t="shared" si="1"/>
        <v>15</v>
      </c>
      <c r="W22" s="2" t="e">
        <f t="shared" si="2"/>
        <v>#VALUE!</v>
      </c>
    </row>
    <row r="23" spans="1:23" ht="44.25" customHeight="1" x14ac:dyDescent="0.2">
      <c r="A23" s="52" t="s">
        <v>21</v>
      </c>
      <c r="B23" s="54"/>
      <c r="C23" s="14"/>
      <c r="D23" s="14"/>
      <c r="E23" s="20"/>
      <c r="F23" s="20"/>
      <c r="G23" s="14"/>
      <c r="H23" s="100"/>
      <c r="I23" s="101"/>
      <c r="J23" s="101"/>
      <c r="K23" s="101"/>
      <c r="L23" s="102"/>
      <c r="M23" s="33" t="str">
        <f t="shared" si="3"/>
        <v>Fill in     X</v>
      </c>
      <c r="N23" s="1">
        <v>0</v>
      </c>
      <c r="O23" s="1">
        <v>40</v>
      </c>
      <c r="P23" s="1">
        <v>60</v>
      </c>
      <c r="Q23" s="1">
        <v>100</v>
      </c>
      <c r="R23" s="1" t="s">
        <v>59</v>
      </c>
      <c r="S23" s="1" t="str">
        <f t="shared" si="4"/>
        <v>Fill in     X</v>
      </c>
      <c r="T23" s="19">
        <v>0.1</v>
      </c>
      <c r="U23" s="2">
        <f t="shared" si="0"/>
        <v>0</v>
      </c>
      <c r="V23" s="2">
        <f t="shared" si="1"/>
        <v>10</v>
      </c>
      <c r="W23" s="2" t="e">
        <f t="shared" si="2"/>
        <v>#VALUE!</v>
      </c>
    </row>
    <row r="24" spans="1:23" ht="35.25" customHeight="1" x14ac:dyDescent="0.2">
      <c r="A24" s="52" t="s">
        <v>22</v>
      </c>
      <c r="B24" s="54"/>
      <c r="C24" s="14"/>
      <c r="D24" s="14"/>
      <c r="E24" s="20"/>
      <c r="F24" s="20"/>
      <c r="G24" s="20"/>
      <c r="H24" s="100"/>
      <c r="I24" s="101"/>
      <c r="J24" s="101"/>
      <c r="K24" s="101"/>
      <c r="L24" s="102"/>
      <c r="M24" s="33" t="str">
        <f t="shared" si="3"/>
        <v>Fill in     X</v>
      </c>
      <c r="N24" s="1">
        <v>0</v>
      </c>
      <c r="O24" s="1">
        <v>40</v>
      </c>
      <c r="P24" s="1">
        <v>60</v>
      </c>
      <c r="Q24" s="1">
        <v>100</v>
      </c>
      <c r="R24" s="1" t="s">
        <v>60</v>
      </c>
      <c r="S24" s="1" t="str">
        <f t="shared" si="4"/>
        <v>Fill in     X</v>
      </c>
      <c r="T24" s="19">
        <v>0.1</v>
      </c>
      <c r="U24" s="2">
        <f t="shared" si="0"/>
        <v>0</v>
      </c>
      <c r="V24" s="2">
        <f t="shared" si="1"/>
        <v>10</v>
      </c>
      <c r="W24" s="2" t="e">
        <f t="shared" si="2"/>
        <v>#VALUE!</v>
      </c>
    </row>
    <row r="25" spans="1:23" ht="53.25" customHeight="1" x14ac:dyDescent="0.2">
      <c r="A25" s="52" t="s">
        <v>7</v>
      </c>
      <c r="B25" s="54"/>
      <c r="C25" s="14"/>
      <c r="D25" s="20"/>
      <c r="E25" s="20"/>
      <c r="F25" s="20"/>
      <c r="G25" s="20"/>
      <c r="H25" s="100"/>
      <c r="I25" s="101"/>
      <c r="J25" s="101"/>
      <c r="K25" s="101"/>
      <c r="L25" s="102"/>
      <c r="M25" s="33" t="str">
        <f t="shared" si="3"/>
        <v>Fill in     X</v>
      </c>
      <c r="N25" s="1">
        <v>0</v>
      </c>
      <c r="O25" s="1">
        <v>40</v>
      </c>
      <c r="P25" s="1">
        <v>60</v>
      </c>
      <c r="Q25" s="1">
        <v>100</v>
      </c>
      <c r="R25" s="1" t="s">
        <v>61</v>
      </c>
      <c r="S25" s="1" t="str">
        <f t="shared" si="4"/>
        <v>Fill in     X</v>
      </c>
      <c r="T25" s="19">
        <v>0.03</v>
      </c>
      <c r="U25" s="2">
        <f t="shared" si="0"/>
        <v>0</v>
      </c>
      <c r="V25" s="2">
        <f t="shared" si="1"/>
        <v>3</v>
      </c>
      <c r="W25" s="2" t="e">
        <f t="shared" si="2"/>
        <v>#VALUE!</v>
      </c>
    </row>
    <row r="26" spans="1:23" ht="39" customHeight="1" x14ac:dyDescent="0.2">
      <c r="A26" s="52" t="s">
        <v>23</v>
      </c>
      <c r="B26" s="54"/>
      <c r="C26" s="14"/>
      <c r="D26" s="20"/>
      <c r="E26" s="14"/>
      <c r="F26" s="20"/>
      <c r="G26" s="20"/>
      <c r="H26" s="100"/>
      <c r="I26" s="101"/>
      <c r="J26" s="101"/>
      <c r="K26" s="101"/>
      <c r="L26" s="102"/>
      <c r="M26" s="33" t="str">
        <f t="shared" si="3"/>
        <v>Fill in     X</v>
      </c>
      <c r="N26" s="1">
        <v>0</v>
      </c>
      <c r="O26" s="1">
        <v>40</v>
      </c>
      <c r="P26" s="1">
        <v>60</v>
      </c>
      <c r="Q26" s="1">
        <v>100</v>
      </c>
      <c r="R26" s="1" t="s">
        <v>62</v>
      </c>
      <c r="S26" s="1" t="str">
        <f t="shared" si="4"/>
        <v>Fill in     X</v>
      </c>
      <c r="T26" s="19">
        <v>0.02</v>
      </c>
      <c r="U26" s="2">
        <f t="shared" si="0"/>
        <v>0</v>
      </c>
      <c r="V26" s="2">
        <f t="shared" si="1"/>
        <v>2</v>
      </c>
      <c r="W26" s="2" t="e">
        <f t="shared" si="2"/>
        <v>#VALUE!</v>
      </c>
    </row>
    <row r="27" spans="1:23" ht="35.25" customHeight="1" x14ac:dyDescent="0.2">
      <c r="A27" s="52" t="s">
        <v>24</v>
      </c>
      <c r="B27" s="54"/>
      <c r="C27" s="14"/>
      <c r="D27" s="14"/>
      <c r="E27" s="20"/>
      <c r="F27" s="20"/>
      <c r="G27" s="20"/>
      <c r="H27" s="100"/>
      <c r="I27" s="101"/>
      <c r="J27" s="101"/>
      <c r="K27" s="101"/>
      <c r="L27" s="102"/>
      <c r="M27" s="33" t="str">
        <f t="shared" si="3"/>
        <v>Fill in     X</v>
      </c>
      <c r="N27" s="1">
        <v>0</v>
      </c>
      <c r="O27" s="1">
        <v>40</v>
      </c>
      <c r="P27" s="1">
        <v>60</v>
      </c>
      <c r="Q27" s="1">
        <v>100</v>
      </c>
      <c r="R27" s="1" t="s">
        <v>63</v>
      </c>
      <c r="S27" s="1" t="str">
        <f t="shared" si="4"/>
        <v>Fill in     X</v>
      </c>
      <c r="T27" s="19">
        <v>0.05</v>
      </c>
      <c r="U27" s="2">
        <f t="shared" si="0"/>
        <v>0</v>
      </c>
      <c r="V27" s="2">
        <f t="shared" si="1"/>
        <v>5</v>
      </c>
      <c r="W27" s="2" t="e">
        <f t="shared" si="2"/>
        <v>#VALUE!</v>
      </c>
    </row>
    <row r="28" spans="1:23" ht="15" customHeight="1" x14ac:dyDescent="0.2">
      <c r="A28" s="34"/>
      <c r="B28" s="34"/>
      <c r="C28" s="35"/>
      <c r="D28" s="35"/>
      <c r="E28" s="35"/>
      <c r="F28" s="35"/>
      <c r="G28" s="35"/>
      <c r="H28" s="36"/>
      <c r="I28" s="36"/>
      <c r="J28" s="36"/>
      <c r="K28" s="36"/>
      <c r="L28" s="36"/>
      <c r="M28" s="37"/>
      <c r="N28" s="1"/>
      <c r="O28" s="1"/>
      <c r="P28" s="1"/>
      <c r="Q28" s="1"/>
      <c r="R28" s="1"/>
      <c r="S28" s="1"/>
    </row>
    <row r="29" spans="1:23" x14ac:dyDescent="0.2">
      <c r="A29" s="34"/>
      <c r="B29" s="34"/>
      <c r="C29" s="35"/>
      <c r="D29" s="35"/>
      <c r="E29" s="35"/>
      <c r="F29" s="35"/>
      <c r="G29" s="35"/>
      <c r="H29" s="36"/>
      <c r="I29" s="36"/>
      <c r="J29" s="36"/>
      <c r="K29" s="36"/>
      <c r="L29" s="38" t="s">
        <v>34</v>
      </c>
      <c r="M29" s="37">
        <f>V29</f>
        <v>100</v>
      </c>
      <c r="N29" s="1"/>
      <c r="O29" s="1"/>
      <c r="P29" s="1"/>
      <c r="Q29" s="1"/>
      <c r="R29" s="1"/>
      <c r="S29" s="1"/>
      <c r="T29" s="17">
        <f>SUM(T16:T27)</f>
        <v>1</v>
      </c>
      <c r="U29" s="2">
        <f>SUM(U16:U27)</f>
        <v>0</v>
      </c>
      <c r="V29" s="2">
        <f>SUM(V16:V27)</f>
        <v>100</v>
      </c>
      <c r="W29" s="2" t="e">
        <f>SUM(W16:W27)</f>
        <v>#VALUE!</v>
      </c>
    </row>
    <row r="30" spans="1:23" ht="15" customHeight="1" x14ac:dyDescent="0.2">
      <c r="A30" s="34"/>
      <c r="B30" s="34"/>
      <c r="C30" s="35"/>
      <c r="D30" s="35"/>
      <c r="E30" s="35"/>
      <c r="F30" s="35"/>
      <c r="G30" s="35"/>
      <c r="H30" s="36"/>
      <c r="I30" s="36"/>
      <c r="J30" s="36"/>
      <c r="K30" s="36"/>
      <c r="L30" s="38" t="s">
        <v>35</v>
      </c>
      <c r="M30" s="37">
        <f>U29</f>
        <v>0</v>
      </c>
      <c r="N30" s="1"/>
      <c r="O30" s="1"/>
      <c r="P30" s="1"/>
      <c r="Q30" s="1"/>
      <c r="R30" s="1"/>
      <c r="S30" s="1"/>
    </row>
    <row r="31" spans="1:23" ht="15" customHeight="1" x14ac:dyDescent="0.2">
      <c r="A31" s="34"/>
      <c r="B31" s="34"/>
      <c r="C31" s="35"/>
      <c r="D31" s="35"/>
      <c r="E31" s="35"/>
      <c r="F31" s="35"/>
      <c r="G31" s="35"/>
      <c r="H31" s="36"/>
      <c r="I31" s="36"/>
      <c r="J31" s="36"/>
      <c r="K31" s="36"/>
      <c r="L31" s="38"/>
      <c r="M31" s="37"/>
      <c r="N31" s="1"/>
      <c r="O31" s="1"/>
      <c r="P31" s="1"/>
      <c r="Q31" s="1"/>
      <c r="R31" s="1"/>
      <c r="S31" s="1"/>
    </row>
    <row r="32" spans="1:23" ht="15" customHeight="1" x14ac:dyDescent="0.2">
      <c r="A32" s="34"/>
      <c r="B32" s="34"/>
      <c r="C32" s="35"/>
      <c r="D32" s="35"/>
      <c r="E32" s="35"/>
      <c r="F32" s="35"/>
      <c r="G32" s="35"/>
      <c r="H32" s="36"/>
      <c r="I32" s="36"/>
      <c r="J32" s="36"/>
      <c r="K32" s="36"/>
      <c r="L32" s="38" t="s">
        <v>36</v>
      </c>
      <c r="M32" s="39" t="e">
        <f>W29</f>
        <v>#VALUE!</v>
      </c>
      <c r="N32" s="1"/>
      <c r="O32" s="1"/>
      <c r="P32" s="1"/>
      <c r="Q32" s="1"/>
      <c r="R32" s="1"/>
      <c r="S32" s="1"/>
      <c r="W32" s="2">
        <f>V29-U29</f>
        <v>100</v>
      </c>
    </row>
    <row r="33" spans="1:24" ht="15" customHeight="1" x14ac:dyDescent="0.2">
      <c r="A33" s="34"/>
      <c r="B33" s="34"/>
      <c r="C33" s="35"/>
      <c r="D33" s="35"/>
      <c r="E33" s="35"/>
      <c r="F33" s="35"/>
      <c r="G33" s="35"/>
      <c r="H33" s="36"/>
      <c r="I33" s="36"/>
      <c r="J33" s="36"/>
      <c r="K33" s="36"/>
      <c r="L33" s="38"/>
      <c r="M33" s="37"/>
      <c r="N33" s="1"/>
      <c r="O33" s="1"/>
      <c r="P33" s="1"/>
      <c r="Q33" s="1"/>
      <c r="R33" s="1"/>
      <c r="S33" s="1"/>
      <c r="W33" s="18" t="e">
        <f>(W29/W32)*100</f>
        <v>#VALUE!</v>
      </c>
      <c r="X33" s="18"/>
    </row>
    <row r="34" spans="1:24" ht="15" customHeight="1" x14ac:dyDescent="0.2">
      <c r="A34" s="34"/>
      <c r="B34" s="34"/>
      <c r="C34" s="35"/>
      <c r="D34" s="35"/>
      <c r="E34" s="35"/>
      <c r="F34" s="35"/>
      <c r="G34" s="35"/>
      <c r="H34" s="36"/>
      <c r="I34" s="36"/>
      <c r="J34" s="36"/>
      <c r="K34" s="36"/>
      <c r="L34" s="38" t="s">
        <v>30</v>
      </c>
      <c r="M34" s="40" t="e">
        <f>IF(AND(W33&gt;=R37,W33&lt;=S37),T37,IF(AND(W33&gt;=R45,W33&lt;=S45),T45,IF(AND(W33&gt;=R46,W33&lt;=S46),T46,IF(AND(W33&gt;=R47,W33&lt;=S47),T47,"Error"))))</f>
        <v>#VALUE!</v>
      </c>
      <c r="N34" s="1"/>
      <c r="O34" s="1"/>
      <c r="P34" s="1"/>
      <c r="Q34" s="1"/>
      <c r="R34" s="1"/>
      <c r="S34" s="1"/>
    </row>
    <row r="35" spans="1:24" x14ac:dyDescent="0.2">
      <c r="A35" s="34"/>
      <c r="B35" s="34"/>
      <c r="C35" s="35"/>
      <c r="D35" s="35"/>
      <c r="E35" s="35"/>
      <c r="F35" s="35"/>
      <c r="G35" s="35"/>
      <c r="H35" s="36"/>
      <c r="I35" s="36"/>
      <c r="J35" s="36"/>
      <c r="K35" s="36"/>
      <c r="L35" s="38"/>
      <c r="M35" s="37"/>
      <c r="N35" s="1"/>
      <c r="O35" s="1"/>
      <c r="P35" s="1"/>
      <c r="Q35" s="1"/>
      <c r="R35" s="1"/>
      <c r="S35" s="1"/>
    </row>
    <row r="36" spans="1:24" x14ac:dyDescent="0.2">
      <c r="A36" s="41"/>
      <c r="B36" s="41"/>
      <c r="C36" s="42"/>
      <c r="D36" s="42"/>
      <c r="E36" s="42"/>
      <c r="F36" s="42"/>
      <c r="G36" s="43"/>
      <c r="H36" s="42"/>
      <c r="I36" s="42"/>
      <c r="J36" s="42"/>
      <c r="K36" s="42"/>
      <c r="L36" s="42"/>
      <c r="M36" s="42"/>
      <c r="S36" s="1"/>
      <c r="T36" s="1"/>
    </row>
    <row r="37" spans="1:24" ht="25.5" x14ac:dyDescent="0.2">
      <c r="A37" s="41"/>
      <c r="B37" s="41"/>
      <c r="C37" s="42"/>
      <c r="D37" s="42"/>
      <c r="E37" s="42"/>
      <c r="F37" s="42"/>
      <c r="G37" s="43"/>
      <c r="H37" s="42"/>
      <c r="I37" s="42"/>
      <c r="J37" s="42"/>
      <c r="K37" s="42"/>
      <c r="L37" s="42"/>
      <c r="M37" s="42"/>
      <c r="R37" s="2">
        <v>0</v>
      </c>
      <c r="S37" s="1">
        <v>39</v>
      </c>
      <c r="T37" s="1" t="s">
        <v>38</v>
      </c>
    </row>
    <row r="38" spans="1:24" x14ac:dyDescent="0.2">
      <c r="A38" s="41"/>
      <c r="B38" s="41"/>
      <c r="C38" s="42"/>
      <c r="D38" s="42"/>
      <c r="E38" s="42"/>
      <c r="F38" s="42"/>
      <c r="G38" s="43"/>
      <c r="H38" s="42"/>
      <c r="I38" s="42"/>
      <c r="J38" s="42"/>
      <c r="K38" s="42"/>
      <c r="L38" s="42"/>
      <c r="M38" s="42"/>
      <c r="S38" s="1"/>
      <c r="T38" s="1"/>
    </row>
    <row r="39" spans="1:24" x14ac:dyDescent="0.2">
      <c r="A39" s="41"/>
      <c r="B39" s="41"/>
      <c r="C39" s="42"/>
      <c r="D39" s="42"/>
      <c r="E39" s="42"/>
      <c r="F39" s="42"/>
      <c r="G39" s="43"/>
      <c r="H39" s="42"/>
      <c r="I39" s="42"/>
      <c r="J39" s="42"/>
      <c r="K39" s="42"/>
      <c r="L39" s="42"/>
      <c r="M39" s="42"/>
      <c r="S39" s="1"/>
      <c r="T39" s="1"/>
    </row>
    <row r="40" spans="1:24" ht="22.7" customHeight="1" x14ac:dyDescent="0.2">
      <c r="A40" s="56"/>
      <c r="B40" s="46"/>
      <c r="C40" s="46"/>
      <c r="D40" s="46"/>
      <c r="E40" s="46"/>
      <c r="F40" s="46"/>
      <c r="G40" s="46"/>
      <c r="H40" s="46"/>
      <c r="I40" s="46"/>
      <c r="J40" s="46"/>
      <c r="K40" s="69" t="s">
        <v>44</v>
      </c>
      <c r="L40" s="93"/>
      <c r="M40" s="94"/>
      <c r="S40" s="1"/>
      <c r="T40" s="1"/>
    </row>
    <row r="41" spans="1:24" ht="42.6" customHeight="1" x14ac:dyDescent="0.2">
      <c r="A41" s="57"/>
      <c r="B41" s="66" t="s">
        <v>66</v>
      </c>
      <c r="C41" s="126"/>
      <c r="D41" s="126"/>
      <c r="E41" s="126"/>
      <c r="F41" s="126"/>
      <c r="G41" s="126"/>
      <c r="H41" s="126"/>
      <c r="I41" s="126"/>
      <c r="J41" s="127"/>
      <c r="K41" s="72" t="s">
        <v>64</v>
      </c>
      <c r="L41" s="128"/>
      <c r="M41" s="129"/>
      <c r="S41" s="1"/>
      <c r="T41" s="1"/>
    </row>
    <row r="42" spans="1:24" ht="23.65" customHeight="1" x14ac:dyDescent="0.2">
      <c r="A42" s="58"/>
      <c r="B42" s="48"/>
      <c r="C42" s="47"/>
      <c r="D42" s="47"/>
      <c r="E42" s="47"/>
      <c r="F42" s="47"/>
      <c r="G42" s="47"/>
      <c r="H42" s="47"/>
      <c r="I42" s="47"/>
      <c r="J42" s="47"/>
      <c r="K42" s="75" t="s">
        <v>65</v>
      </c>
      <c r="L42" s="130"/>
      <c r="M42" s="131"/>
      <c r="S42" s="1"/>
      <c r="T42" s="1"/>
    </row>
    <row r="43" spans="1:24" ht="23.65" customHeight="1" x14ac:dyDescent="0.2">
      <c r="A43" s="135"/>
      <c r="B43" s="135"/>
      <c r="C43" s="15"/>
      <c r="D43" s="15"/>
      <c r="E43" s="15"/>
      <c r="F43" s="15"/>
      <c r="G43" s="15"/>
      <c r="H43" s="15"/>
      <c r="I43" s="15"/>
      <c r="J43" s="15"/>
      <c r="K43" s="9"/>
      <c r="L43" s="6"/>
      <c r="M43" s="6"/>
      <c r="S43" s="1"/>
      <c r="T43" s="1"/>
    </row>
    <row r="44" spans="1:24" x14ac:dyDescent="0.2">
      <c r="A44" s="41"/>
      <c r="B44" s="41"/>
      <c r="C44" s="42"/>
      <c r="D44" s="42"/>
      <c r="E44" s="42"/>
      <c r="F44" s="42"/>
      <c r="G44" s="43"/>
      <c r="H44" s="42"/>
      <c r="I44" s="42"/>
      <c r="J44" s="42"/>
      <c r="K44" s="42"/>
      <c r="L44" s="42"/>
      <c r="M44" s="42"/>
      <c r="S44" s="1"/>
      <c r="T44" s="1"/>
    </row>
    <row r="45" spans="1:24" ht="25.5" x14ac:dyDescent="0.2">
      <c r="A45" s="41" t="s">
        <v>71</v>
      </c>
      <c r="B45" s="41"/>
      <c r="C45" s="42"/>
      <c r="D45" s="42"/>
      <c r="E45" s="42"/>
      <c r="F45" s="42"/>
      <c r="G45" s="43"/>
      <c r="H45" s="42"/>
      <c r="I45" s="42"/>
      <c r="J45" s="42"/>
      <c r="K45" s="42"/>
      <c r="L45" s="42"/>
      <c r="M45" s="42"/>
      <c r="R45" s="1">
        <v>40</v>
      </c>
      <c r="S45" s="1">
        <v>59</v>
      </c>
      <c r="T45" s="1" t="s">
        <v>39</v>
      </c>
    </row>
    <row r="46" spans="1:24" ht="25.5" x14ac:dyDescent="0.2">
      <c r="A46" s="124"/>
      <c r="B46" s="12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6"/>
      <c r="R46" s="1">
        <v>60</v>
      </c>
      <c r="S46" s="1">
        <v>90</v>
      </c>
      <c r="T46" s="1" t="s">
        <v>40</v>
      </c>
    </row>
    <row r="47" spans="1:24" x14ac:dyDescent="0.2">
      <c r="A47" s="107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9"/>
      <c r="R47" s="1">
        <v>90</v>
      </c>
      <c r="S47" s="1">
        <v>100</v>
      </c>
      <c r="T47" s="1" t="s">
        <v>37</v>
      </c>
    </row>
    <row r="48" spans="1:24" x14ac:dyDescent="0.2">
      <c r="A48" s="107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9"/>
    </row>
    <row r="49" spans="1:13" x14ac:dyDescent="0.2">
      <c r="A49" s="107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9"/>
    </row>
    <row r="50" spans="1:13" x14ac:dyDescent="0.2">
      <c r="A50" s="107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9"/>
    </row>
    <row r="51" spans="1:13" x14ac:dyDescent="0.2">
      <c r="A51" s="107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9"/>
    </row>
    <row r="52" spans="1:13" x14ac:dyDescent="0.2">
      <c r="A52" s="110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2"/>
    </row>
    <row r="53" spans="1:13" x14ac:dyDescent="0.2">
      <c r="A53" s="44"/>
      <c r="B53" s="44"/>
      <c r="C53" s="42"/>
      <c r="D53" s="42"/>
      <c r="E53" s="42"/>
      <c r="F53" s="42"/>
      <c r="G53" s="43"/>
      <c r="H53" s="42"/>
      <c r="I53" s="42"/>
      <c r="J53" s="42"/>
      <c r="K53" s="42"/>
      <c r="L53" s="42"/>
      <c r="M53" s="42"/>
    </row>
    <row r="54" spans="1:13" x14ac:dyDescent="0.2">
      <c r="A54" s="44"/>
      <c r="B54" s="44"/>
      <c r="C54" s="42"/>
      <c r="D54" s="42"/>
      <c r="E54" s="42"/>
      <c r="F54" s="42"/>
      <c r="G54" s="43"/>
      <c r="H54" s="42"/>
      <c r="I54" s="42"/>
      <c r="J54" s="42"/>
      <c r="K54" s="42"/>
      <c r="L54" s="42"/>
      <c r="M54" s="42"/>
    </row>
    <row r="55" spans="1:13" ht="33" customHeight="1" x14ac:dyDescent="0.2">
      <c r="A55" s="134" t="s">
        <v>72</v>
      </c>
      <c r="B55" s="134"/>
      <c r="C55" s="134"/>
      <c r="D55" s="134"/>
      <c r="E55" s="134"/>
      <c r="F55" s="134"/>
      <c r="G55" s="134"/>
      <c r="H55" s="42"/>
      <c r="I55" s="42"/>
      <c r="J55" s="42"/>
      <c r="K55" s="42"/>
      <c r="L55" s="42"/>
      <c r="M55" s="42"/>
    </row>
    <row r="56" spans="1:13" x14ac:dyDescent="0.2">
      <c r="A56" s="103"/>
      <c r="B56" s="104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6"/>
    </row>
    <row r="57" spans="1:13" x14ac:dyDescent="0.2">
      <c r="A57" s="107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9"/>
    </row>
    <row r="58" spans="1:13" x14ac:dyDescent="0.2">
      <c r="A58" s="107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9"/>
    </row>
    <row r="59" spans="1:13" x14ac:dyDescent="0.2">
      <c r="A59" s="107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9"/>
    </row>
    <row r="60" spans="1:13" x14ac:dyDescent="0.2">
      <c r="A60" s="107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9"/>
    </row>
    <row r="61" spans="1:13" x14ac:dyDescent="0.2">
      <c r="A61" s="107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9"/>
    </row>
    <row r="62" spans="1:13" x14ac:dyDescent="0.2">
      <c r="A62" s="110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2"/>
    </row>
    <row r="63" spans="1:13" x14ac:dyDescent="0.2">
      <c r="A63" s="44"/>
      <c r="B63" s="44"/>
      <c r="C63" s="42"/>
      <c r="D63" s="42"/>
      <c r="E63" s="42"/>
      <c r="F63" s="42"/>
      <c r="G63" s="43"/>
      <c r="H63" s="42"/>
      <c r="I63" s="42"/>
      <c r="J63" s="42"/>
      <c r="K63" s="42"/>
      <c r="L63" s="42"/>
      <c r="M63" s="42"/>
    </row>
    <row r="64" spans="1:13" x14ac:dyDescent="0.2">
      <c r="A64" s="44"/>
      <c r="B64" s="44"/>
      <c r="C64" s="42"/>
      <c r="D64" s="42"/>
      <c r="E64" s="42"/>
      <c r="F64" s="42"/>
      <c r="G64" s="43"/>
      <c r="H64" s="42"/>
      <c r="I64" s="42"/>
      <c r="J64" s="42"/>
      <c r="K64" s="42"/>
      <c r="L64" s="42"/>
      <c r="M64" s="42"/>
    </row>
    <row r="65" spans="1:13" ht="38.25" x14ac:dyDescent="0.2">
      <c r="A65" s="41" t="s">
        <v>73</v>
      </c>
      <c r="B65" s="45"/>
      <c r="C65" s="42"/>
      <c r="D65" s="42"/>
      <c r="E65" s="42"/>
      <c r="F65" s="42"/>
      <c r="G65" s="43"/>
      <c r="H65" s="42"/>
      <c r="I65" s="42"/>
      <c r="J65" s="42"/>
      <c r="K65" s="42"/>
      <c r="L65" s="42"/>
      <c r="M65" s="42"/>
    </row>
    <row r="66" spans="1:13" x14ac:dyDescent="0.2">
      <c r="A66" s="103"/>
      <c r="B66" s="104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6"/>
    </row>
    <row r="67" spans="1:13" x14ac:dyDescent="0.2">
      <c r="A67" s="107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9"/>
    </row>
    <row r="68" spans="1:13" x14ac:dyDescent="0.2">
      <c r="A68" s="107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9"/>
    </row>
    <row r="69" spans="1:13" x14ac:dyDescent="0.2">
      <c r="A69" s="107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9"/>
    </row>
    <row r="70" spans="1:13" x14ac:dyDescent="0.2">
      <c r="A70" s="107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9"/>
    </row>
    <row r="71" spans="1:13" x14ac:dyDescent="0.2">
      <c r="A71" s="107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9"/>
    </row>
    <row r="72" spans="1:13" x14ac:dyDescent="0.2">
      <c r="A72" s="110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2"/>
    </row>
    <row r="73" spans="1:13" x14ac:dyDescent="0.2">
      <c r="A73" s="44"/>
      <c r="B73" s="44"/>
      <c r="C73" s="42"/>
      <c r="D73" s="42"/>
      <c r="E73" s="42"/>
      <c r="F73" s="42"/>
      <c r="G73" s="43"/>
      <c r="H73" s="42"/>
      <c r="I73" s="42"/>
      <c r="J73" s="42"/>
      <c r="K73" s="42"/>
      <c r="L73" s="42"/>
      <c r="M73" s="42"/>
    </row>
    <row r="74" spans="1:13" x14ac:dyDescent="0.2">
      <c r="A74" s="44"/>
      <c r="B74" s="44"/>
      <c r="C74" s="42"/>
      <c r="D74" s="42"/>
      <c r="E74" s="42"/>
      <c r="F74" s="42"/>
      <c r="G74" s="43"/>
      <c r="H74" s="42"/>
      <c r="I74" s="42"/>
      <c r="J74" s="42"/>
      <c r="K74" s="42"/>
      <c r="L74" s="42"/>
      <c r="M74" s="42"/>
    </row>
    <row r="75" spans="1:13" ht="33.75" customHeight="1" x14ac:dyDescent="0.2">
      <c r="A75" s="134" t="s">
        <v>74</v>
      </c>
      <c r="B75" s="134"/>
      <c r="C75" s="42"/>
      <c r="D75" s="42"/>
      <c r="E75" s="42"/>
      <c r="F75" s="42"/>
      <c r="G75" s="43"/>
      <c r="H75" s="42"/>
      <c r="I75" s="42"/>
      <c r="J75" s="42"/>
      <c r="K75" s="42"/>
      <c r="L75" s="42"/>
      <c r="M75" s="42"/>
    </row>
    <row r="76" spans="1:13" x14ac:dyDescent="0.2">
      <c r="A76" s="103"/>
      <c r="B76" s="104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6"/>
    </row>
    <row r="77" spans="1:13" x14ac:dyDescent="0.2">
      <c r="A77" s="107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9"/>
    </row>
    <row r="78" spans="1:13" x14ac:dyDescent="0.2">
      <c r="A78" s="107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9"/>
    </row>
    <row r="79" spans="1:13" x14ac:dyDescent="0.2">
      <c r="A79" s="107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9"/>
    </row>
    <row r="80" spans="1:13" x14ac:dyDescent="0.2">
      <c r="A80" s="107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9"/>
    </row>
    <row r="81" spans="1:13" x14ac:dyDescent="0.2">
      <c r="A81" s="107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9"/>
    </row>
    <row r="82" spans="1:13" x14ac:dyDescent="0.2">
      <c r="A82" s="110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2"/>
    </row>
    <row r="83" spans="1:13" x14ac:dyDescent="0.2">
      <c r="A83" s="44"/>
      <c r="B83" s="44"/>
      <c r="C83" s="42"/>
      <c r="D83" s="42"/>
      <c r="E83" s="42"/>
      <c r="F83" s="42"/>
      <c r="G83" s="43"/>
      <c r="H83" s="42"/>
      <c r="I83" s="42"/>
      <c r="J83" s="42"/>
      <c r="K83" s="42"/>
      <c r="L83" s="42"/>
      <c r="M83" s="42"/>
    </row>
    <row r="84" spans="1:13" x14ac:dyDescent="0.2">
      <c r="A84" s="44"/>
      <c r="B84" s="44"/>
      <c r="C84" s="42"/>
      <c r="D84" s="42"/>
      <c r="E84" s="42"/>
      <c r="F84" s="42"/>
      <c r="G84" s="43"/>
      <c r="H84" s="42"/>
      <c r="I84" s="42"/>
      <c r="J84" s="42"/>
      <c r="K84" s="42"/>
      <c r="L84" s="42"/>
      <c r="M84" s="42"/>
    </row>
    <row r="85" spans="1:13" ht="25.5" x14ac:dyDescent="0.2">
      <c r="A85" s="41" t="s">
        <v>75</v>
      </c>
      <c r="B85" s="45"/>
      <c r="C85" s="42"/>
      <c r="D85" s="42"/>
      <c r="E85" s="42"/>
      <c r="F85" s="42"/>
      <c r="G85" s="43"/>
      <c r="H85" s="42"/>
      <c r="I85" s="42"/>
      <c r="J85" s="42"/>
      <c r="K85" s="42"/>
      <c r="L85" s="42"/>
      <c r="M85" s="42"/>
    </row>
    <row r="86" spans="1:13" x14ac:dyDescent="0.2">
      <c r="A86" s="115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7"/>
    </row>
    <row r="87" spans="1:13" x14ac:dyDescent="0.2">
      <c r="A87" s="118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20"/>
    </row>
    <row r="88" spans="1:13" x14ac:dyDescent="0.2">
      <c r="A88" s="118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20"/>
    </row>
    <row r="89" spans="1:13" x14ac:dyDescent="0.2">
      <c r="A89" s="118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20"/>
    </row>
    <row r="90" spans="1:13" x14ac:dyDescent="0.2">
      <c r="A90" s="118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20"/>
    </row>
    <row r="91" spans="1:13" x14ac:dyDescent="0.2">
      <c r="A91" s="121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3"/>
    </row>
  </sheetData>
  <mergeCells count="45">
    <mergeCell ref="A55:G55"/>
    <mergeCell ref="A75:B75"/>
    <mergeCell ref="A66:M72"/>
    <mergeCell ref="A76:M82"/>
    <mergeCell ref="A15:B15"/>
    <mergeCell ref="A86:M91"/>
    <mergeCell ref="A46:M52"/>
    <mergeCell ref="B41:J41"/>
    <mergeCell ref="K41:M41"/>
    <mergeCell ref="K42:M42"/>
    <mergeCell ref="H24:L24"/>
    <mergeCell ref="H25:L25"/>
    <mergeCell ref="H22:L22"/>
    <mergeCell ref="H17:L17"/>
    <mergeCell ref="H18:L18"/>
    <mergeCell ref="H16:L16"/>
    <mergeCell ref="A56:M62"/>
    <mergeCell ref="H26:L26"/>
    <mergeCell ref="H27:L27"/>
    <mergeCell ref="H19:L19"/>
    <mergeCell ref="H20:L20"/>
    <mergeCell ref="H21:L21"/>
    <mergeCell ref="H23:L23"/>
    <mergeCell ref="C6:H6"/>
    <mergeCell ref="K6:M6"/>
    <mergeCell ref="C8:H8"/>
    <mergeCell ref="K8:M8"/>
    <mergeCell ref="K40:M40"/>
    <mergeCell ref="C11:H11"/>
    <mergeCell ref="K11:M11"/>
    <mergeCell ref="C12:H12"/>
    <mergeCell ref="K12:M12"/>
    <mergeCell ref="H14:L14"/>
    <mergeCell ref="C9:H9"/>
    <mergeCell ref="K9:M9"/>
    <mergeCell ref="C10:H10"/>
    <mergeCell ref="K10:M10"/>
    <mergeCell ref="C7:H7"/>
    <mergeCell ref="K7:M7"/>
    <mergeCell ref="B2:J2"/>
    <mergeCell ref="K1:M1"/>
    <mergeCell ref="K2:M2"/>
    <mergeCell ref="K3:M3"/>
    <mergeCell ref="C5:H5"/>
    <mergeCell ref="K5:M5"/>
  </mergeCells>
  <phoneticPr fontId="0" type="noConversion"/>
  <conditionalFormatting sqref="M16:M35">
    <cfRule type="cellIs" dxfId="7" priority="8" stopIfTrue="1" operator="equal">
      <formula>"Fill in     X"</formula>
    </cfRule>
  </conditionalFormatting>
  <conditionalFormatting sqref="T29">
    <cfRule type="cellIs" dxfId="6" priority="5" operator="equal">
      <formula>100%</formula>
    </cfRule>
    <cfRule type="cellIs" dxfId="5" priority="6" operator="greaterThan">
      <formula>100%</formula>
    </cfRule>
    <cfRule type="cellIs" dxfId="4" priority="7" operator="lessThan">
      <formula>100%</formula>
    </cfRule>
  </conditionalFormatting>
  <conditionalFormatting sqref="M34">
    <cfRule type="cellIs" dxfId="3" priority="1" operator="equal">
      <formula>"PRF"</formula>
    </cfRule>
    <cfRule type="cellIs" dxfId="2" priority="2" operator="equal">
      <formula>"APR"</formula>
    </cfRule>
    <cfRule type="cellIs" dxfId="1" priority="3" operator="equal">
      <formula>"AUC"</formula>
    </cfRule>
    <cfRule type="cellIs" dxfId="0" priority="4" operator="equal">
      <formula>"REJ"</formula>
    </cfRule>
  </conditionalFormatting>
  <pageMargins left="0.74803149606299213" right="0.74803149606299213" top="0.39370078740157483" bottom="0.35433070866141736" header="0.11811023622047245" footer="0.11811023622047245"/>
  <pageSetup paperSize="9" scale="80" orientation="portrait" horizontalDpi="300" r:id="rId1"/>
  <headerFooter alignWithMargins="0">
    <oddFooter>&amp;L&amp;6Issue date: 01-01-2014 Revision: 01
Document owner: Group Procurement Manager&amp;R&amp;6&amp;P/&amp;N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VER (2)</vt:lpstr>
    </vt:vector>
  </TitlesOfParts>
  <Manager>VKrichun@bollard-marine.group</Manager>
  <Company>ООО "БОЛЛАРД"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Bollard; chris.varkevisser</dc:creator>
  <cp:lastPrinted>2014-02-24T09:06:10Z</cp:lastPrinted>
  <dcterms:created xsi:type="dcterms:W3CDTF">2009-01-08T15:59:11Z</dcterms:created>
  <dcterms:modified xsi:type="dcterms:W3CDTF">2017-08-29T10:24:17Z</dcterms:modified>
  <cp:version>0.1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0x010100ED715BA5FBCF9A45ADD5A7CE801D409A</vt:lpwstr>
  </property>
  <property fmtid="{D5CDD505-2E9C-101B-9397-08002B2CF9AE}" pid="3" name="Order">
    <vt:r8>4100</vt:r8>
  </property>
  <property fmtid="{D5CDD505-2E9C-101B-9397-08002B2CF9AE}" pid="4" name="Procedure">
    <vt:lpwstr>FRM-OFF-04-5000-004</vt:lpwstr>
  </property>
  <property fmtid="{D5CDD505-2E9C-101B-9397-08002B2CF9AE}" pid="5" name="DocumentDepartment">
    <vt:lpwstr>5000 Purchase</vt:lpwstr>
  </property>
  <property fmtid="{D5CDD505-2E9C-101B-9397-08002B2CF9AE}" pid="6" name="ProcedureNumber">
    <vt:lpwstr>FRM-OFF-04-5000-004</vt:lpwstr>
  </property>
  <property fmtid="{D5CDD505-2E9C-101B-9397-08002B2CF9AE}" pid="7" name="Name Procedure">
    <vt:lpwstr>Procurement</vt:lpwstr>
  </property>
  <property fmtid="{D5CDD505-2E9C-101B-9397-08002B2CF9AE}" pid="8" name="DocumentOwner">
    <vt:lpwstr>Group Procurement Manager</vt:lpwstr>
  </property>
  <property fmtid="{D5CDD505-2E9C-101B-9397-08002B2CF9AE}" pid="9" name="IssueDate">
    <vt:lpwstr>2014-01-01T03:00:00Z</vt:lpwstr>
  </property>
  <property fmtid="{D5CDD505-2E9C-101B-9397-08002B2CF9AE}" pid="10" name="DLCPolicyLabelValue">
    <vt:lpwstr>1.0 DOC. UNCONTROLLED WHEN PRINTED</vt:lpwstr>
  </property>
  <property fmtid="{D5CDD505-2E9C-101B-9397-08002B2CF9AE}" pid="11" name="DLCPolicyLabelLock">
    <vt:lpwstr/>
  </property>
  <property fmtid="{D5CDD505-2E9C-101B-9397-08002B2CF9AE}" pid="12" name="DLCPolicyLabelClientValue">
    <vt:lpwstr/>
  </property>
  <property fmtid="{D5CDD505-2E9C-101B-9397-08002B2CF9AE}" pid="13" name="Element0">
    <vt:lpwstr/>
  </property>
</Properties>
</file>