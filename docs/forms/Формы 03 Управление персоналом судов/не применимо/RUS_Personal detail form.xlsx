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DOCUMENTS\LAMNALCO\SLIMS_12-12-2016\SLIMS Rev2 - English\SLIMS - Elements\Digital Forms - Forms 13-02-17\RUS_Forms_3\"/>
    </mc:Choice>
  </mc:AlternateContent>
  <bookViews>
    <workbookView showHorizontalScroll="0" xWindow="0" yWindow="0" windowWidth="16860" windowHeight="7005"/>
  </bookViews>
  <sheets>
    <sheet name="Form" sheetId="1" r:id="rId1"/>
    <sheet name="Sheet2" sheetId="4" state="hidden" r:id="rId2"/>
    <sheet name="New Applicant" sheetId="5" state="hidden" r:id="rId3"/>
    <sheet name="pre join medical questionnaire " sheetId="6" r:id="rId4"/>
    <sheet name="Bank details" sheetId="7" r:id="rId5"/>
    <sheet name="nomination form " sheetId="8" r:id="rId6"/>
  </sheets>
  <externalReferences>
    <externalReference r:id="rId7"/>
  </externalReferences>
  <definedNames>
    <definedName name="Blood_type" localSheetId="4">'[1]pre join medical questionnaire '!#REF!</definedName>
    <definedName name="Blood_type" localSheetId="5">'[1]pre join medical questionnaire '!#REF!</definedName>
    <definedName name="Blood_type">'pre join medical questionnaire '!#REF!</definedName>
    <definedName name="bonus">#REF!</definedName>
    <definedName name="code">#REF!</definedName>
    <definedName name="contracttype">#REF!</definedName>
    <definedName name="department">#REF!</definedName>
    <definedName name="fngLicence">Form!#REF!</definedName>
    <definedName name="gender">#REF!</definedName>
    <definedName name="globalgrade">#REF!</definedName>
    <definedName name="legalentity">#REF!</definedName>
    <definedName name="maritalstatus">#REF!</definedName>
    <definedName name="nationality">#REF!</definedName>
    <definedName name="organizationalentity">#REF!</definedName>
    <definedName name="probation">#REF!</definedName>
    <definedName name="profit">#REF!</definedName>
    <definedName name="rng_Court">Form!$B$177</definedName>
    <definedName name="rng_Currency">Form!$U$156</definedName>
    <definedName name="rng_engmodel">Form!$P$121:$R$141</definedName>
    <definedName name="rng_Future">Form!$B$197</definedName>
    <definedName name="rng_health">Form!$B$172</definedName>
    <definedName name="rng_rejectedVisa">Form!$B$64</definedName>
    <definedName name="rng_Signoff">Form!$B$160</definedName>
    <definedName name="rng_SOffReason">Form!$AH$121:$AK$141</definedName>
    <definedName name="rng_SusLicence">Form!$B$181</definedName>
    <definedName name="rng_WillingPos">Form!$B$17</definedName>
    <definedName name="rng12Months">Form!$B$168</definedName>
    <definedName name="rngAccountNo">Form!#REF!</definedName>
    <definedName name="rngCmbAccident">Form!#REF!</definedName>
    <definedName name="rngCountry">Form!$AB$29,Form!$AB$33,Form!$M$55:$R$59,Form!$AE$84:$AI$95,Form!$AE$100:$AK$116</definedName>
    <definedName name="rngCourse1">Form!$B$100:$K$116</definedName>
    <definedName name="rngEngineType1">Form!$M$121:$O$141</definedName>
    <definedName name="rngFlag1">"#"</definedName>
    <definedName name="rngGrade">Form!#REF!</definedName>
    <definedName name="rngInsertCourses">Form!$B$116:$AK$116</definedName>
    <definedName name="rngInsertLicence">Form!$B$95:$AK$95</definedName>
    <definedName name="rngInsertOtherVisa">Form!#REF!</definedName>
    <definedName name="rngInsertSeaExp">Form!$B$141:$AK$141</definedName>
    <definedName name="rngInsertSeamanBook">Form!$B$59:$AK$59</definedName>
    <definedName name="rngInsertTimeServed">Form!#REF!</definedName>
    <definedName name="rngLanguage1">Form!#REF!</definedName>
    <definedName name="rngLanguage2">Form!#REF!</definedName>
    <definedName name="rngLicence1">Form!$B$84:$H$95</definedName>
    <definedName name="rngMedicalTreat">Form!#REF!</definedName>
    <definedName name="rngNationality2">Form!$AE$26,Form!$M$56</definedName>
    <definedName name="rngNationality4">Form!$AE$84:$AI$95,Form!$AE$100:$AK$116</definedName>
    <definedName name="rngNationality5">Form!$AE$100:$AK$116,Form!$AE$84:$AI$95</definedName>
    <definedName name="rngOperation">Form!$B$164</definedName>
    <definedName name="rngOtherDoc1">Form!$M$57:$R$59</definedName>
    <definedName name="rngOtherDoc2">Form!#REF!</definedName>
    <definedName name="rngRank1">Form!$X$121:$Y$141</definedName>
    <definedName name="rngRank2">Form!$Y$121:$AA$141,Form!#REF!</definedName>
    <definedName name="rngRelation1">Form!$K$72:$L$79</definedName>
    <definedName name="rngSufferAccident">Form!#REF!</definedName>
    <definedName name="rngTotalRows">Form!$DB$1</definedName>
    <definedName name="rngType1">Form!$G$121:$H$141</definedName>
    <definedName name="rngYesNo">Form!$AJ$72:$AK$79,Form!$AJ$84:$AK$95</definedName>
    <definedName name="seq">#REF!</definedName>
    <definedName name="travel">#REF!</definedName>
    <definedName name="typeofstaff">#REF!</definedName>
    <definedName name="yes">#REF!</definedName>
    <definedName name="_xlnm.Print_Area" localSheetId="0">Form!$A$2:$AK$231</definedName>
    <definedName name="_xlnm.Print_Area" localSheetId="3">'pre join medical questionnaire '!$A$8:$C$22</definedName>
    <definedName name="_xlnm.Print_Area" localSheetId="1">Sheet2!$A$1:$AJ$56</definedName>
  </definedNames>
  <calcPr calcId="152511"/>
</workbook>
</file>

<file path=xl/calcChain.xml><?xml version="1.0" encoding="utf-8"?>
<calcChain xmlns="http://schemas.openxmlformats.org/spreadsheetml/2006/main">
  <c r="C13" i="6" l="1"/>
  <c r="C12" i="6"/>
  <c r="C11" i="6"/>
  <c r="C10" i="6"/>
  <c r="AZ1" i="1"/>
  <c r="AL198" i="1"/>
  <c r="AB1" i="1"/>
  <c r="AA1" i="1"/>
  <c r="DB1" i="1"/>
  <c r="BX1" i="1"/>
  <c r="BW1" i="1"/>
  <c r="BV1" i="1"/>
  <c r="V12" i="1"/>
  <c r="FB1" i="1"/>
  <c r="BB1" i="1"/>
  <c r="BA1" i="1"/>
  <c r="EO2" i="1"/>
  <c r="DU328" i="1"/>
  <c r="DS328" i="1" s="1"/>
  <c r="DU309" i="1"/>
  <c r="DS309" i="1" s="1"/>
  <c r="DW309" i="1" s="1"/>
  <c r="DU310" i="1"/>
  <c r="DS310" i="1" s="1"/>
  <c r="DU311" i="1"/>
  <c r="DS311" i="1" s="1"/>
  <c r="DU332" i="1"/>
  <c r="DS332" i="1" s="1"/>
  <c r="DU331" i="1"/>
  <c r="DS331" i="1" s="1"/>
  <c r="DW331" i="1" s="1"/>
  <c r="DU330" i="1"/>
  <c r="DS330" i="1" s="1"/>
  <c r="DU329" i="1"/>
  <c r="DS329" i="1" s="1"/>
  <c r="DU327" i="1"/>
  <c r="DS327" i="1" s="1"/>
  <c r="DU326" i="1"/>
  <c r="DS326" i="1" s="1"/>
  <c r="DU325" i="1"/>
  <c r="DS325" i="1" s="1"/>
  <c r="DU324" i="1"/>
  <c r="DS324" i="1"/>
  <c r="DW324" i="1" s="1"/>
  <c r="DY324" i="1" s="1"/>
  <c r="EA324" i="1" s="1"/>
  <c r="DU323" i="1"/>
  <c r="DS323" i="1" s="1"/>
  <c r="DU322" i="1"/>
  <c r="DS322" i="1"/>
  <c r="DW322" i="1" s="1"/>
  <c r="DY322" i="1" s="1"/>
  <c r="EA322" i="1" s="1"/>
  <c r="DU321" i="1"/>
  <c r="DS321" i="1" s="1"/>
  <c r="DU320" i="1"/>
  <c r="DS320" i="1"/>
  <c r="DW320" i="1" s="1"/>
  <c r="DY320" i="1" s="1"/>
  <c r="EA320" i="1" s="1"/>
  <c r="DU319" i="1"/>
  <c r="DS319" i="1"/>
  <c r="DU318" i="1"/>
  <c r="DS318" i="1"/>
  <c r="DW318" i="1" s="1"/>
  <c r="DY318" i="1" s="1"/>
  <c r="EA318" i="1" s="1"/>
  <c r="DU317" i="1"/>
  <c r="DS317" i="1" s="1"/>
  <c r="DW317" i="1" s="1"/>
  <c r="DU316" i="1"/>
  <c r="DS316" i="1" s="1"/>
  <c r="DU315" i="1"/>
  <c r="DS315" i="1" s="1"/>
  <c r="DU314" i="1"/>
  <c r="DS314" i="1" s="1"/>
  <c r="DU313" i="1"/>
  <c r="DS313" i="1" s="1"/>
  <c r="DU312" i="1"/>
  <c r="DS312" i="1" s="1"/>
  <c r="DU308" i="1"/>
  <c r="DS308" i="1" s="1"/>
  <c r="DY309" i="1"/>
  <c r="EA309" i="1" s="1"/>
  <c r="DW313" i="1"/>
  <c r="DY317" i="1"/>
  <c r="EA317" i="1" s="1"/>
  <c r="DW328" i="1"/>
  <c r="DY331" i="1"/>
  <c r="EA331" i="1" s="1"/>
  <c r="DW332" i="1"/>
  <c r="DW325" i="1" l="1"/>
  <c r="DY325" i="1" s="1"/>
  <c r="EA325" i="1" s="1"/>
  <c r="DW327" i="1"/>
  <c r="DY327" i="1" s="1"/>
  <c r="EA327" i="1" s="1"/>
  <c r="DW330" i="1"/>
  <c r="DY330" i="1" s="1"/>
  <c r="EA330" i="1" s="1"/>
  <c r="DY332" i="1"/>
  <c r="EA332" i="1" s="1"/>
  <c r="DY310" i="1"/>
  <c r="EA310" i="1" s="1"/>
  <c r="DW310" i="1"/>
  <c r="DY328" i="1"/>
  <c r="EA328" i="1" s="1"/>
  <c r="DW312" i="1"/>
  <c r="DY312" i="1"/>
  <c r="EA312" i="1" s="1"/>
  <c r="DW314" i="1"/>
  <c r="DY314" i="1"/>
  <c r="EA314" i="1" s="1"/>
  <c r="DW316" i="1"/>
  <c r="DY316" i="1" s="1"/>
  <c r="EA316" i="1" s="1"/>
  <c r="DY321" i="1"/>
  <c r="EA321" i="1" s="1"/>
  <c r="DW321" i="1"/>
  <c r="DY308" i="1"/>
  <c r="EA308" i="1" s="1"/>
  <c r="DW308" i="1"/>
  <c r="DY313" i="1"/>
  <c r="EA313" i="1" s="1"/>
  <c r="DW315" i="1"/>
  <c r="DY315" i="1" s="1"/>
  <c r="EA315" i="1" s="1"/>
  <c r="DW323" i="1"/>
  <c r="DY323" i="1" s="1"/>
  <c r="EA323" i="1" s="1"/>
  <c r="DW326" i="1"/>
  <c r="DY326" i="1"/>
  <c r="EA326" i="1" s="1"/>
  <c r="DW329" i="1"/>
  <c r="DY329" i="1" s="1"/>
  <c r="EA329" i="1" s="1"/>
  <c r="DW311" i="1"/>
  <c r="DY311" i="1" s="1"/>
  <c r="EA311" i="1" s="1"/>
  <c r="DW319" i="1"/>
  <c r="DY319" i="1" s="1"/>
  <c r="EA319" i="1" s="1"/>
</calcChain>
</file>

<file path=xl/comments1.xml><?xml version="1.0" encoding="utf-8"?>
<comments xmlns="http://schemas.openxmlformats.org/spreadsheetml/2006/main">
  <authors>
    <author>krishnaraj</author>
    <author>saju</author>
  </authors>
  <commentList>
    <comment ref="H25"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H26" authorId="0" shapeId="0">
      <text>
        <r>
          <rPr>
            <b/>
            <sz val="8"/>
            <color indexed="81"/>
            <rFont val="Tahoma"/>
            <family val="2"/>
          </rPr>
          <t xml:space="preserve">
</t>
        </r>
        <r>
          <rPr>
            <b/>
            <sz val="8"/>
            <color indexed="43"/>
            <rFont val="Tahoma"/>
            <family val="2"/>
          </rPr>
          <t xml:space="preserve">This is mandatory field.
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AE26"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K28"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M29"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AB29"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K30" authorId="0" shapeId="0">
      <text>
        <r>
          <rPr>
            <b/>
            <sz val="8"/>
            <color indexed="13"/>
            <rFont val="Tahoma"/>
            <family val="2"/>
          </rPr>
          <t xml:space="preserve">
Residence Phone Number</t>
        </r>
      </text>
    </comment>
    <comment ref="K34" authorId="0" shapeId="0">
      <text>
        <r>
          <rPr>
            <b/>
            <sz val="8"/>
            <color indexed="13"/>
            <rFont val="Tahoma"/>
            <family val="2"/>
          </rPr>
          <t xml:space="preserve">
Residence Phone Number</t>
        </r>
      </text>
    </comment>
    <comment ref="B39"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S39"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V39"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B47"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S47"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V47"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S55"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X55" authorId="0" shapeId="0">
      <text>
        <r>
          <rPr>
            <b/>
            <sz val="8"/>
            <color indexed="81"/>
            <rFont val="Tahoma"/>
            <family val="2"/>
          </rPr>
          <t xml:space="preserve">
</t>
        </r>
        <r>
          <rPr>
            <b/>
            <sz val="8"/>
            <color indexed="43"/>
            <rFont val="Tahoma"/>
            <family val="2"/>
          </rPr>
          <t xml:space="preserve">This is mandatory field.
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AB55"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AH55" authorId="0" shapeId="0">
      <text>
        <r>
          <rPr>
            <b/>
            <sz val="8"/>
            <color indexed="81"/>
            <rFont val="Tahoma"/>
            <family val="2"/>
          </rPr>
          <t xml:space="preserve">
</t>
        </r>
        <r>
          <rPr>
            <b/>
            <sz val="8"/>
            <color indexed="43"/>
            <rFont val="Tahoma"/>
            <family val="2"/>
          </rPr>
          <t xml:space="preserve">This is mandatory field.
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B56" authorId="0" shapeId="0">
      <text>
        <r>
          <rPr>
            <b/>
            <sz val="8"/>
            <color indexed="10"/>
            <rFont val="Tahoma"/>
            <family val="2"/>
          </rPr>
          <t xml:space="preserve">
  </t>
        </r>
        <r>
          <rPr>
            <b/>
            <sz val="8"/>
            <color indexed="13"/>
            <rFont val="Tahoma"/>
            <family val="2"/>
          </rPr>
          <t xml:space="preserve"> National Seaman Book</t>
        </r>
        <r>
          <rPr>
            <sz val="8"/>
            <color indexed="81"/>
            <rFont val="Tahoma"/>
            <family val="2"/>
          </rPr>
          <t xml:space="preserve">
</t>
        </r>
      </text>
    </comment>
    <comment ref="M57"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X57" authorId="0" shapeId="0">
      <text>
        <r>
          <rPr>
            <b/>
            <sz val="8"/>
            <color indexed="81"/>
            <rFont val="Tahoma"/>
            <family val="2"/>
          </rPr>
          <t xml:space="preserve">
</t>
        </r>
        <r>
          <rPr>
            <b/>
            <sz val="8"/>
            <color indexed="43"/>
            <rFont val="Tahoma"/>
            <family val="2"/>
          </rPr>
          <t xml:space="preserve">This is mandatory field.
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AH57" authorId="0" shapeId="0">
      <text>
        <r>
          <rPr>
            <b/>
            <sz val="8"/>
            <color indexed="81"/>
            <rFont val="Tahoma"/>
            <family val="2"/>
          </rPr>
          <t xml:space="preserve">
</t>
        </r>
        <r>
          <rPr>
            <b/>
            <sz val="8"/>
            <color indexed="43"/>
            <rFont val="Tahoma"/>
            <family val="2"/>
          </rPr>
          <t xml:space="preserve">This is mandatory field.
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H60" authorId="0" shapeId="0">
      <text>
        <r>
          <rPr>
            <b/>
            <sz val="9"/>
            <color indexed="10"/>
            <rFont val="Tahoma"/>
            <family val="2"/>
          </rPr>
          <t>VISA TYPE</t>
        </r>
        <r>
          <rPr>
            <b/>
            <sz val="8"/>
            <color indexed="81"/>
            <rFont val="Tahoma"/>
            <family val="2"/>
          </rPr>
          <t xml:space="preserve">
</t>
        </r>
        <r>
          <rPr>
            <b/>
            <sz val="8"/>
            <color indexed="13"/>
            <rFont val="Tahoma"/>
            <family val="2"/>
          </rPr>
          <t>C1/D   or  B1/B2</t>
        </r>
      </text>
    </comment>
    <comment ref="X60"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AG60"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H61" authorId="0" shapeId="0">
      <text>
        <r>
          <rPr>
            <b/>
            <sz val="9"/>
            <color indexed="10"/>
            <rFont val="Tahoma"/>
            <family val="2"/>
          </rPr>
          <t>VISA TYPE</t>
        </r>
        <r>
          <rPr>
            <b/>
            <sz val="8"/>
            <color indexed="81"/>
            <rFont val="Tahoma"/>
            <family val="2"/>
          </rPr>
          <t xml:space="preserve">
</t>
        </r>
        <r>
          <rPr>
            <b/>
            <sz val="8"/>
            <color indexed="13"/>
            <rFont val="Tahoma"/>
            <family val="2"/>
          </rPr>
          <t>C1/D   or  B1/B2</t>
        </r>
      </text>
    </comment>
    <comment ref="X61"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AG61"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B72"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K72"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M72"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Y72"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AB72"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B84"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I84"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S84" authorId="0" shapeId="0">
      <text>
        <r>
          <rPr>
            <b/>
            <sz val="8"/>
            <color indexed="81"/>
            <rFont val="Tahoma"/>
            <family val="2"/>
          </rPr>
          <t xml:space="preserve">
</t>
        </r>
        <r>
          <rPr>
            <b/>
            <sz val="8"/>
            <color indexed="43"/>
            <rFont val="Tahoma"/>
            <family val="2"/>
          </rPr>
          <t>This is mandatory field.</t>
        </r>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AB84" authorId="0" shapeId="0">
      <text>
        <r>
          <rPr>
            <b/>
            <sz val="8"/>
            <color indexed="81"/>
            <rFont val="Tahoma"/>
            <family val="2"/>
          </rPr>
          <t xml:space="preserve">
</t>
        </r>
        <r>
          <rPr>
            <b/>
            <sz val="8"/>
            <color indexed="43"/>
            <rFont val="Tahoma"/>
            <family val="2"/>
          </rPr>
          <t>This is mandatory field.</t>
        </r>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AE84"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B100" authorId="0" shapeId="0">
      <text>
        <r>
          <rPr>
            <b/>
            <sz val="8"/>
            <color indexed="43"/>
            <rFont val="Tahoma"/>
            <family val="2"/>
          </rPr>
          <t xml:space="preserve">
This is mandatory field.
Must be filled</t>
        </r>
        <r>
          <rPr>
            <sz val="8"/>
            <color indexed="81"/>
            <rFont val="Tahoma"/>
            <family val="2"/>
          </rPr>
          <t xml:space="preserve">
</t>
        </r>
      </text>
    </comment>
    <comment ref="R100"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W100" authorId="0" shapeId="0">
      <text>
        <r>
          <rPr>
            <b/>
            <sz val="8"/>
            <color indexed="81"/>
            <rFont val="Tahoma"/>
            <family val="2"/>
          </rPr>
          <t xml:space="preserve">
</t>
        </r>
        <r>
          <rPr>
            <b/>
            <sz val="8"/>
            <color indexed="43"/>
            <rFont val="Tahoma"/>
            <family val="2"/>
          </rPr>
          <t>This is mandatory field.</t>
        </r>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AA100"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AE100"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B121"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S121" authorId="0" shapeId="0">
      <text>
        <r>
          <rPr>
            <b/>
            <sz val="8"/>
            <color indexed="10"/>
            <rFont val="Tahoma"/>
            <family val="2"/>
          </rPr>
          <t xml:space="preserve">
</t>
        </r>
        <r>
          <rPr>
            <b/>
            <sz val="8"/>
            <color indexed="43"/>
            <rFont val="Tahoma"/>
            <family val="2"/>
          </rPr>
          <t>Eng. and Elec. Officers 
to indicate UMS Experience</t>
        </r>
        <r>
          <rPr>
            <sz val="8"/>
            <color indexed="81"/>
            <rFont val="Tahoma"/>
            <family val="2"/>
          </rPr>
          <t xml:space="preserve">
</t>
        </r>
      </text>
    </comment>
    <comment ref="U121" authorId="0" shapeId="0">
      <text>
        <r>
          <rPr>
            <b/>
            <sz val="8"/>
            <color indexed="10"/>
            <rFont val="Tahoma"/>
            <family val="2"/>
          </rPr>
          <t xml:space="preserve">
</t>
        </r>
        <r>
          <rPr>
            <b/>
            <sz val="8"/>
            <color indexed="43"/>
            <rFont val="Tahoma"/>
            <family val="2"/>
          </rPr>
          <t xml:space="preserve">FOR ENTRIES IN THIS COLUMN PLEASE TRY AND USE SHORTFORMS OR THE MAIN NAMES OF COMPANIES.
Ie:- </t>
        </r>
        <r>
          <rPr>
            <b/>
            <sz val="8"/>
            <color indexed="10"/>
            <rFont val="Tahoma"/>
            <family val="2"/>
          </rPr>
          <t>SELANDIA MARINE SERVICES</t>
        </r>
        <r>
          <rPr>
            <b/>
            <sz val="8"/>
            <color indexed="43"/>
            <rFont val="Tahoma"/>
            <family val="2"/>
          </rPr>
          <t xml:space="preserve"> can be stated as </t>
        </r>
        <r>
          <rPr>
            <b/>
            <sz val="8"/>
            <color indexed="10"/>
            <rFont val="Tahoma"/>
            <family val="2"/>
          </rPr>
          <t>SELANDIA</t>
        </r>
        <r>
          <rPr>
            <b/>
            <sz val="8"/>
            <color indexed="43"/>
            <rFont val="Tahoma"/>
            <family val="2"/>
          </rPr>
          <t xml:space="preserve"> or </t>
        </r>
        <r>
          <rPr>
            <b/>
            <sz val="8"/>
            <color indexed="10"/>
            <rFont val="Tahoma"/>
            <family val="2"/>
          </rPr>
          <t>S.M.S.</t>
        </r>
        <r>
          <rPr>
            <sz val="8"/>
            <color indexed="81"/>
            <rFont val="Tahoma"/>
            <family val="2"/>
          </rPr>
          <t xml:space="preserve">
</t>
        </r>
      </text>
    </comment>
    <comment ref="X121"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Z121" authorId="0" shapeId="0">
      <text>
        <r>
          <rPr>
            <b/>
            <sz val="8"/>
            <color indexed="81"/>
            <rFont val="Tahoma"/>
            <family val="2"/>
          </rPr>
          <t xml:space="preserve">
</t>
        </r>
        <r>
          <rPr>
            <b/>
            <sz val="8"/>
            <color indexed="43"/>
            <rFont val="Tahoma"/>
            <family val="2"/>
          </rPr>
          <t>This is mandatory field.</t>
        </r>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AC121" authorId="0" shapeId="0">
      <text>
        <r>
          <rPr>
            <b/>
            <sz val="8"/>
            <color indexed="81"/>
            <rFont val="Tahoma"/>
            <family val="2"/>
          </rPr>
          <t xml:space="preserve">
</t>
        </r>
        <r>
          <rPr>
            <b/>
            <sz val="8"/>
            <color indexed="43"/>
            <rFont val="Tahoma"/>
            <family val="2"/>
          </rPr>
          <t>This is mandatory field.</t>
        </r>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D186" authorId="0" shapeId="0">
      <text>
        <r>
          <rPr>
            <b/>
            <sz val="8"/>
            <color indexed="43"/>
            <rFont val="Tahoma"/>
            <family val="2"/>
          </rPr>
          <t xml:space="preserve">
This is mandatory field.
Must be filled</t>
        </r>
        <r>
          <rPr>
            <sz val="8"/>
            <color indexed="81"/>
            <rFont val="Tahoma"/>
            <family val="2"/>
          </rPr>
          <t xml:space="preserve">
</t>
        </r>
      </text>
    </comment>
    <comment ref="V186"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D188"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V188" authorId="0" shapeId="0">
      <text>
        <r>
          <rPr>
            <b/>
            <sz val="8"/>
            <color indexed="10"/>
            <rFont val="Tahoma"/>
            <family val="2"/>
          </rPr>
          <t xml:space="preserve">
</t>
        </r>
        <r>
          <rPr>
            <b/>
            <sz val="8"/>
            <color indexed="43"/>
            <rFont val="Tahoma"/>
            <family val="2"/>
          </rPr>
          <t>This is mandatory field.
Must be filled</t>
        </r>
        <r>
          <rPr>
            <sz val="8"/>
            <color indexed="81"/>
            <rFont val="Tahoma"/>
            <family val="2"/>
          </rPr>
          <t xml:space="preserve">
</t>
        </r>
      </text>
    </comment>
    <comment ref="D204" authorId="0" shapeId="0">
      <text>
        <r>
          <rPr>
            <b/>
            <sz val="8"/>
            <color indexed="81"/>
            <rFont val="Tahoma"/>
            <family val="2"/>
          </rPr>
          <t xml:space="preserve">
</t>
        </r>
        <r>
          <rPr>
            <b/>
            <sz val="8"/>
            <color indexed="43"/>
            <rFont val="Tahoma"/>
            <family val="2"/>
          </rPr>
          <t xml:space="preserve">FOR ENTRIES IN THIS COLUMN PLEASE USE </t>
        </r>
        <r>
          <rPr>
            <b/>
            <sz val="8"/>
            <color indexed="10"/>
            <rFont val="Tahoma"/>
            <family val="2"/>
          </rPr>
          <t>"DD/MMM/YY"</t>
        </r>
        <r>
          <rPr>
            <b/>
            <sz val="8"/>
            <color indexed="43"/>
            <rFont val="Tahoma"/>
            <family val="2"/>
          </rPr>
          <t xml:space="preserve"> FORMAT</t>
        </r>
        <r>
          <rPr>
            <sz val="8"/>
            <color indexed="81"/>
            <rFont val="Tahoma"/>
            <family val="2"/>
          </rPr>
          <t xml:space="preserve">
</t>
        </r>
      </text>
    </comment>
    <comment ref="D207" authorId="1" shapeId="0">
      <text>
        <r>
          <rPr>
            <b/>
            <sz val="8"/>
            <color indexed="13"/>
            <rFont val="Tahoma"/>
            <family val="2"/>
          </rPr>
          <t xml:space="preserve">
FOR ENTRIES IN THIS COLUMN PLEASE USE </t>
        </r>
        <r>
          <rPr>
            <b/>
            <sz val="8"/>
            <color indexed="10"/>
            <rFont val="Tahoma"/>
            <family val="2"/>
          </rPr>
          <t>"DD/MMM/YY"</t>
        </r>
        <r>
          <rPr>
            <b/>
            <sz val="8"/>
            <color indexed="13"/>
            <rFont val="Tahoma"/>
            <family val="2"/>
          </rPr>
          <t xml:space="preserve"> FORMAT</t>
        </r>
      </text>
    </comment>
    <comment ref="AG225" authorId="0" shapeId="0">
      <text>
        <r>
          <rPr>
            <b/>
            <sz val="8"/>
            <color indexed="43"/>
            <rFont val="Tahoma"/>
            <family val="2"/>
          </rPr>
          <t xml:space="preserve">
FOR ENTRIES IN THIS COLUMN PLEASE USE </t>
        </r>
        <r>
          <rPr>
            <b/>
            <sz val="8"/>
            <color indexed="10"/>
            <rFont val="Tahoma"/>
            <family val="2"/>
          </rPr>
          <t xml:space="preserve">"DD/MMM/YY" </t>
        </r>
        <r>
          <rPr>
            <b/>
            <sz val="8"/>
            <color indexed="43"/>
            <rFont val="Tahoma"/>
            <family val="2"/>
          </rPr>
          <t>FORMAT</t>
        </r>
        <r>
          <rPr>
            <sz val="8"/>
            <color indexed="81"/>
            <rFont val="Tahoma"/>
            <family val="2"/>
          </rPr>
          <t xml:space="preserve">
</t>
        </r>
      </text>
    </comment>
  </commentList>
</comments>
</file>

<file path=xl/comments2.xml><?xml version="1.0" encoding="utf-8"?>
<comments xmlns="http://schemas.openxmlformats.org/spreadsheetml/2006/main">
  <authors>
    <author>Pascal Bounin</author>
  </authors>
  <commentList>
    <comment ref="C20" authorId="0" shapeId="0">
      <text>
        <r>
          <rPr>
            <b/>
            <sz val="9"/>
            <color indexed="81"/>
            <rFont val="Tahoma"/>
            <family val="2"/>
          </rPr>
          <t>Pascal Bounin:</t>
        </r>
        <r>
          <rPr>
            <sz val="9"/>
            <color indexed="81"/>
            <rFont val="Tahoma"/>
            <family val="2"/>
          </rPr>
          <t xml:space="preserve">
Insert the country and the period from - to you visited the country.</t>
        </r>
      </text>
    </comment>
    <comment ref="C26" authorId="0" shapeId="0">
      <text>
        <r>
          <rPr>
            <b/>
            <sz val="9"/>
            <color indexed="81"/>
            <rFont val="Tahoma"/>
            <family val="2"/>
          </rPr>
          <t>Pascal Bounin:</t>
        </r>
        <r>
          <rPr>
            <sz val="9"/>
            <color indexed="81"/>
            <rFont val="Tahoma"/>
            <family val="2"/>
          </rPr>
          <t xml:space="preserve">
Insert your blood type :
A pos. 
A neg.
B pos.
B neg.
Opos.
O neg.
AB pos.
AB neg.
Unknown</t>
        </r>
      </text>
    </comment>
    <comment ref="C29" authorId="0" shapeId="0">
      <text>
        <r>
          <rPr>
            <b/>
            <sz val="9"/>
            <color indexed="81"/>
            <rFont val="Tahoma"/>
            <family val="2"/>
          </rPr>
          <t>Pascal Bounin:</t>
        </r>
        <r>
          <rPr>
            <sz val="9"/>
            <color indexed="81"/>
            <rFont val="Tahoma"/>
            <family val="2"/>
          </rPr>
          <t xml:space="preserve">
Insert here:
year of hospital admittance or illness and also insert the type of illness and or reason for admittance</t>
        </r>
      </text>
    </comment>
    <comment ref="C30" authorId="0" shapeId="0">
      <text>
        <r>
          <rPr>
            <b/>
            <sz val="9"/>
            <color indexed="81"/>
            <rFont val="Tahoma"/>
            <family val="2"/>
          </rPr>
          <t>Pascal Bounin:</t>
        </r>
        <r>
          <rPr>
            <sz val="9"/>
            <color indexed="81"/>
            <rFont val="Tahoma"/>
            <family val="2"/>
          </rPr>
          <t xml:space="preserve">
Describe if any organs has been removed for example Spleen.</t>
        </r>
      </text>
    </comment>
    <comment ref="C32" authorId="0" shapeId="0">
      <text>
        <r>
          <rPr>
            <b/>
            <sz val="9"/>
            <color indexed="81"/>
            <rFont val="Tahoma"/>
            <family val="2"/>
          </rPr>
          <t xml:space="preserve">Pascal Bounin:
</t>
        </r>
        <r>
          <rPr>
            <sz val="9"/>
            <color indexed="81"/>
            <rFont val="Tahoma"/>
            <family val="2"/>
          </rPr>
          <t xml:space="preserve">
Individuals who are immunocompromised are less capable of battling infections because of an immune response that is not properly functioning. Examples of immunocompromised people are those that have HIV or AIDS, are pregnant, or are undergoing chemotherapy or radiation therapy for cancer. Other conditions, such as certain cancers and genetic disorders, can also cause a person to become immunocompromised. Immunocompromised individuals can sometimes be prone to more serious infections and/or complications than healthy people. They are also more prone to getting opportunistic infections, which are infections that do not normally afflict healthy individuals. </t>
        </r>
      </text>
    </comment>
    <comment ref="C40" authorId="0" shapeId="0">
      <text>
        <r>
          <rPr>
            <b/>
            <sz val="9"/>
            <color indexed="81"/>
            <rFont val="Tahoma"/>
            <family val="2"/>
          </rPr>
          <t xml:space="preserve">Pascal Bounin:
</t>
        </r>
        <r>
          <rPr>
            <sz val="9"/>
            <color indexed="81"/>
            <rFont val="Tahoma"/>
            <family val="2"/>
          </rPr>
          <t xml:space="preserve">
Hereditary diseases are disorders or diseases that are inherited genetically. They are also known as genetic disorders or inherited diseases and may be passed on within the family if there is a mutant gene present. </t>
        </r>
      </text>
    </comment>
    <comment ref="C41" authorId="0" shapeId="0">
      <text>
        <r>
          <rPr>
            <b/>
            <sz val="9"/>
            <color indexed="81"/>
            <rFont val="Tahoma"/>
            <family val="2"/>
          </rPr>
          <t xml:space="preserve">Pascal Bounin:
</t>
        </r>
        <r>
          <rPr>
            <sz val="9"/>
            <color indexed="81"/>
            <rFont val="Tahoma"/>
            <family val="2"/>
          </rPr>
          <t xml:space="preserve">
Coagulopathy (also called clotting disorder and bleeding disorder) is a condition in which the blood’s ability to clot (coagulate) is impaired.[1] This condition can cause prolonged or excessive bleeding, which may occur spontaneously or following an injury or medical and dental procedures.</t>
        </r>
      </text>
    </comment>
    <comment ref="C45" authorId="0" shapeId="0">
      <text>
        <r>
          <rPr>
            <b/>
            <sz val="9"/>
            <color indexed="81"/>
            <rFont val="Tahoma"/>
            <family val="2"/>
          </rPr>
          <t>Pascal Bounin:</t>
        </r>
        <r>
          <rPr>
            <sz val="9"/>
            <color indexed="81"/>
            <rFont val="Tahoma"/>
            <family val="2"/>
          </rPr>
          <t xml:space="preserve">
Please specify how often , or when .</t>
        </r>
      </text>
    </comment>
    <comment ref="C46" authorId="0" shapeId="0">
      <text>
        <r>
          <rPr>
            <b/>
            <sz val="9"/>
            <color indexed="81"/>
            <rFont val="Tahoma"/>
            <family val="2"/>
          </rPr>
          <t>Pascal Bounin:</t>
        </r>
        <r>
          <rPr>
            <sz val="9"/>
            <color indexed="81"/>
            <rFont val="Tahoma"/>
            <family val="2"/>
          </rPr>
          <t xml:space="preserve">
Please specify how often , or when .</t>
        </r>
      </text>
    </comment>
    <comment ref="C47" authorId="0" shapeId="0">
      <text>
        <r>
          <rPr>
            <b/>
            <sz val="9"/>
            <color indexed="81"/>
            <rFont val="Tahoma"/>
            <family val="2"/>
          </rPr>
          <t>Pascal Bounin:</t>
        </r>
        <r>
          <rPr>
            <sz val="9"/>
            <color indexed="81"/>
            <rFont val="Tahoma"/>
            <family val="2"/>
          </rPr>
          <t xml:space="preserve">
Please specify how often , or when .</t>
        </r>
      </text>
    </comment>
    <comment ref="C48" authorId="0" shapeId="0">
      <text>
        <r>
          <rPr>
            <b/>
            <sz val="9"/>
            <color indexed="81"/>
            <rFont val="Tahoma"/>
            <family val="2"/>
          </rPr>
          <t>Pascal Bounin:</t>
        </r>
        <r>
          <rPr>
            <sz val="9"/>
            <color indexed="81"/>
            <rFont val="Tahoma"/>
            <family val="2"/>
          </rPr>
          <t xml:space="preserve">
Please specify how often , or when .</t>
        </r>
      </text>
    </comment>
    <comment ref="C49" authorId="0" shapeId="0">
      <text>
        <r>
          <rPr>
            <b/>
            <sz val="9"/>
            <color indexed="81"/>
            <rFont val="Tahoma"/>
            <family val="2"/>
          </rPr>
          <t>Pascal Bounin:</t>
        </r>
        <r>
          <rPr>
            <sz val="9"/>
            <color indexed="81"/>
            <rFont val="Tahoma"/>
            <family val="2"/>
          </rPr>
          <t xml:space="preserve">
Please specify how often , or when .</t>
        </r>
      </text>
    </comment>
    <comment ref="C50" authorId="0" shapeId="0">
      <text>
        <r>
          <rPr>
            <b/>
            <sz val="9"/>
            <color indexed="81"/>
            <rFont val="Tahoma"/>
            <family val="2"/>
          </rPr>
          <t>Pascal Bounin:</t>
        </r>
        <r>
          <rPr>
            <sz val="9"/>
            <color indexed="81"/>
            <rFont val="Tahoma"/>
            <family val="2"/>
          </rPr>
          <t xml:space="preserve">
Please specify how often , or when .</t>
        </r>
      </text>
    </comment>
    <comment ref="C51" authorId="0" shapeId="0">
      <text>
        <r>
          <rPr>
            <b/>
            <sz val="9"/>
            <color indexed="81"/>
            <rFont val="Tahoma"/>
            <family val="2"/>
          </rPr>
          <t>Pascal Bounin:</t>
        </r>
        <r>
          <rPr>
            <sz val="9"/>
            <color indexed="81"/>
            <rFont val="Tahoma"/>
            <family val="2"/>
          </rPr>
          <t xml:space="preserve">
Please specify how often , or when .</t>
        </r>
      </text>
    </comment>
    <comment ref="C52" authorId="0" shapeId="0">
      <text>
        <r>
          <rPr>
            <b/>
            <sz val="9"/>
            <color indexed="81"/>
            <rFont val="Tahoma"/>
            <family val="2"/>
          </rPr>
          <t>Pascal Bounin:</t>
        </r>
        <r>
          <rPr>
            <sz val="9"/>
            <color indexed="81"/>
            <rFont val="Tahoma"/>
            <family val="2"/>
          </rPr>
          <t xml:space="preserve">
Please specify how often , or when .</t>
        </r>
      </text>
    </comment>
    <comment ref="C53" authorId="0" shapeId="0">
      <text>
        <r>
          <rPr>
            <b/>
            <sz val="9"/>
            <color indexed="81"/>
            <rFont val="Tahoma"/>
            <family val="2"/>
          </rPr>
          <t>Pascal Bounin:</t>
        </r>
        <r>
          <rPr>
            <sz val="9"/>
            <color indexed="81"/>
            <rFont val="Tahoma"/>
            <family val="2"/>
          </rPr>
          <t xml:space="preserve">
Please specify how often , or when .</t>
        </r>
      </text>
    </comment>
    <comment ref="C54" authorId="0" shapeId="0">
      <text>
        <r>
          <rPr>
            <b/>
            <sz val="9"/>
            <color indexed="81"/>
            <rFont val="Tahoma"/>
            <family val="2"/>
          </rPr>
          <t>Pascal Bounin:</t>
        </r>
        <r>
          <rPr>
            <sz val="9"/>
            <color indexed="81"/>
            <rFont val="Tahoma"/>
            <family val="2"/>
          </rPr>
          <t xml:space="preserve">
Please specify how often , or when .</t>
        </r>
      </text>
    </comment>
    <comment ref="C55" authorId="0" shapeId="0">
      <text>
        <r>
          <rPr>
            <b/>
            <sz val="9"/>
            <color indexed="81"/>
            <rFont val="Tahoma"/>
            <family val="2"/>
          </rPr>
          <t>Pascal Bounin:</t>
        </r>
        <r>
          <rPr>
            <sz val="9"/>
            <color indexed="81"/>
            <rFont val="Tahoma"/>
            <family val="2"/>
          </rPr>
          <t xml:space="preserve">
Please specify how often , or when .</t>
        </r>
      </text>
    </comment>
    <comment ref="C56" authorId="0" shapeId="0">
      <text>
        <r>
          <rPr>
            <b/>
            <sz val="9"/>
            <color indexed="81"/>
            <rFont val="Tahoma"/>
            <family val="2"/>
          </rPr>
          <t>Pascal Bounin:</t>
        </r>
        <r>
          <rPr>
            <sz val="9"/>
            <color indexed="81"/>
            <rFont val="Tahoma"/>
            <family val="2"/>
          </rPr>
          <t xml:space="preserve">
Please specify how often , or when .</t>
        </r>
      </text>
    </comment>
    <comment ref="C57" authorId="0" shapeId="0">
      <text>
        <r>
          <rPr>
            <b/>
            <sz val="9"/>
            <color indexed="81"/>
            <rFont val="Tahoma"/>
            <family val="2"/>
          </rPr>
          <t>Pascal Bounin:</t>
        </r>
        <r>
          <rPr>
            <sz val="9"/>
            <color indexed="81"/>
            <rFont val="Tahoma"/>
            <family val="2"/>
          </rPr>
          <t xml:space="preserve">
Please specify how often , or when .</t>
        </r>
      </text>
    </comment>
    <comment ref="C58" authorId="0" shapeId="0">
      <text>
        <r>
          <rPr>
            <b/>
            <sz val="9"/>
            <color indexed="81"/>
            <rFont val="Tahoma"/>
            <family val="2"/>
          </rPr>
          <t>Pascal Bounin:</t>
        </r>
        <r>
          <rPr>
            <sz val="9"/>
            <color indexed="81"/>
            <rFont val="Tahoma"/>
            <family val="2"/>
          </rPr>
          <t xml:space="preserve">
Please specify how often , or when .</t>
        </r>
      </text>
    </comment>
    <comment ref="C59" authorId="0" shapeId="0">
      <text>
        <r>
          <rPr>
            <b/>
            <sz val="9"/>
            <color indexed="81"/>
            <rFont val="Tahoma"/>
            <family val="2"/>
          </rPr>
          <t>Pascal Bounin:</t>
        </r>
        <r>
          <rPr>
            <sz val="9"/>
            <color indexed="81"/>
            <rFont val="Tahoma"/>
            <family val="2"/>
          </rPr>
          <t xml:space="preserve">
Please specify how often , or when .</t>
        </r>
      </text>
    </comment>
    <comment ref="C60" authorId="0" shapeId="0">
      <text>
        <r>
          <rPr>
            <b/>
            <sz val="9"/>
            <color indexed="81"/>
            <rFont val="Tahoma"/>
            <family val="2"/>
          </rPr>
          <t>Pascal Bounin:</t>
        </r>
        <r>
          <rPr>
            <sz val="9"/>
            <color indexed="81"/>
            <rFont val="Tahoma"/>
            <family val="2"/>
          </rPr>
          <t xml:space="preserve">
Please specify how often , or when .</t>
        </r>
      </text>
    </comment>
    <comment ref="C61" authorId="0" shapeId="0">
      <text>
        <r>
          <rPr>
            <b/>
            <sz val="9"/>
            <color indexed="81"/>
            <rFont val="Tahoma"/>
            <family val="2"/>
          </rPr>
          <t>Pascal Bounin:</t>
        </r>
        <r>
          <rPr>
            <sz val="9"/>
            <color indexed="81"/>
            <rFont val="Tahoma"/>
            <family val="2"/>
          </rPr>
          <t xml:space="preserve">
Please specify how often , or when .</t>
        </r>
      </text>
    </comment>
    <comment ref="C62" authorId="0" shapeId="0">
      <text>
        <r>
          <rPr>
            <b/>
            <sz val="9"/>
            <color indexed="81"/>
            <rFont val="Tahoma"/>
            <family val="2"/>
          </rPr>
          <t>Pascal Bounin:</t>
        </r>
        <r>
          <rPr>
            <sz val="9"/>
            <color indexed="81"/>
            <rFont val="Tahoma"/>
            <family val="2"/>
          </rPr>
          <t xml:space="preserve">
Please specify how often , or when .</t>
        </r>
      </text>
    </comment>
    <comment ref="C63" authorId="0" shapeId="0">
      <text>
        <r>
          <rPr>
            <b/>
            <sz val="9"/>
            <color indexed="81"/>
            <rFont val="Tahoma"/>
            <family val="2"/>
          </rPr>
          <t>Pascal Bounin:</t>
        </r>
        <r>
          <rPr>
            <sz val="9"/>
            <color indexed="81"/>
            <rFont val="Tahoma"/>
            <family val="2"/>
          </rPr>
          <t xml:space="preserve">
Please specify how often , or when .</t>
        </r>
      </text>
    </comment>
    <comment ref="C64" authorId="0" shapeId="0">
      <text>
        <r>
          <rPr>
            <b/>
            <sz val="9"/>
            <color indexed="81"/>
            <rFont val="Tahoma"/>
            <family val="2"/>
          </rPr>
          <t>Pascal Bounin:</t>
        </r>
        <r>
          <rPr>
            <sz val="9"/>
            <color indexed="81"/>
            <rFont val="Tahoma"/>
            <family val="2"/>
          </rPr>
          <t xml:space="preserve">
Please specify how often , or when .</t>
        </r>
      </text>
    </comment>
    <comment ref="C65" authorId="0" shapeId="0">
      <text>
        <r>
          <rPr>
            <b/>
            <sz val="9"/>
            <color indexed="81"/>
            <rFont val="Tahoma"/>
            <family val="2"/>
          </rPr>
          <t>Pascal Bounin:</t>
        </r>
        <r>
          <rPr>
            <sz val="9"/>
            <color indexed="81"/>
            <rFont val="Tahoma"/>
            <family val="2"/>
          </rPr>
          <t xml:space="preserve">
Please specify how often , or when .</t>
        </r>
      </text>
    </comment>
    <comment ref="C66" authorId="0" shapeId="0">
      <text>
        <r>
          <rPr>
            <b/>
            <sz val="9"/>
            <color indexed="81"/>
            <rFont val="Tahoma"/>
            <family val="2"/>
          </rPr>
          <t>Pascal Bounin:</t>
        </r>
        <r>
          <rPr>
            <sz val="9"/>
            <color indexed="81"/>
            <rFont val="Tahoma"/>
            <family val="2"/>
          </rPr>
          <t xml:space="preserve">
Please specify how often , or when .</t>
        </r>
      </text>
    </comment>
    <comment ref="C70" authorId="0" shapeId="0">
      <text>
        <r>
          <rPr>
            <b/>
            <sz val="9"/>
            <color indexed="81"/>
            <rFont val="Tahoma"/>
            <family val="2"/>
          </rPr>
          <t>Pascal Bounin:</t>
        </r>
        <r>
          <rPr>
            <sz val="9"/>
            <color indexed="81"/>
            <rFont val="Tahoma"/>
            <family val="2"/>
          </rPr>
          <t xml:space="preserve">
Palpitations are an abnormality of heartbeat characterized by simultaneous awareness of one’s pulse and discomfort. They can be accompanied by dizziness or difficulty breathing.
Please specify how often , or when .</t>
        </r>
      </text>
    </comment>
    <comment ref="C71" authorId="0" shapeId="0">
      <text>
        <r>
          <rPr>
            <b/>
            <sz val="9"/>
            <color indexed="81"/>
            <rFont val="Tahoma"/>
            <family val="2"/>
          </rPr>
          <t>Pascal Bounin:</t>
        </r>
        <r>
          <rPr>
            <sz val="9"/>
            <color indexed="81"/>
            <rFont val="Tahoma"/>
            <family val="2"/>
          </rPr>
          <t xml:space="preserve">
Please specify how often , or when .</t>
        </r>
      </text>
    </comment>
    <comment ref="C72" authorId="0" shapeId="0">
      <text>
        <r>
          <rPr>
            <b/>
            <sz val="9"/>
            <color indexed="81"/>
            <rFont val="Tahoma"/>
            <family val="2"/>
          </rPr>
          <t>Pascal Bounin:</t>
        </r>
        <r>
          <rPr>
            <sz val="9"/>
            <color indexed="81"/>
            <rFont val="Tahoma"/>
            <family val="2"/>
          </rPr>
          <t xml:space="preserve">
Please specify how often , or when .</t>
        </r>
      </text>
    </comment>
    <comment ref="C73" authorId="0" shapeId="0">
      <text>
        <r>
          <rPr>
            <b/>
            <sz val="9"/>
            <color indexed="81"/>
            <rFont val="Tahoma"/>
            <family val="2"/>
          </rPr>
          <t>Pascal Bounin:</t>
        </r>
        <r>
          <rPr>
            <sz val="9"/>
            <color indexed="81"/>
            <rFont val="Tahoma"/>
            <family val="2"/>
          </rPr>
          <t xml:space="preserve">
Please specify how often , or when .</t>
        </r>
      </text>
    </comment>
    <comment ref="C74" authorId="0" shapeId="0">
      <text>
        <r>
          <rPr>
            <b/>
            <sz val="9"/>
            <color indexed="81"/>
            <rFont val="Tahoma"/>
            <family val="2"/>
          </rPr>
          <t>Pascal Bounin:</t>
        </r>
        <r>
          <rPr>
            <sz val="9"/>
            <color indexed="81"/>
            <rFont val="Tahoma"/>
            <family val="2"/>
          </rPr>
          <t xml:space="preserve">
Please specify how often , or when .</t>
        </r>
      </text>
    </comment>
    <comment ref="C75" authorId="0" shapeId="0">
      <text>
        <r>
          <rPr>
            <b/>
            <sz val="9"/>
            <color indexed="81"/>
            <rFont val="Tahoma"/>
            <family val="2"/>
          </rPr>
          <t>Pascal Bounin:</t>
        </r>
        <r>
          <rPr>
            <sz val="9"/>
            <color indexed="81"/>
            <rFont val="Tahoma"/>
            <family val="2"/>
          </rPr>
          <t xml:space="preserve">
Nausea is a sensation of unease and discomfort in the upper stomach with an involuntary urge to vomit.
It often, but not always, precedes vomiting. A person can suffer nausea without vomiting. 
Nausea is a non-specific symptom, which means that it has many possible causes. 
Some common causes of nausea are motion sickness, dizziness, migraine, fainting, gastroenteritis (stomach infection) or food poisoning. 
Side effects of many medications including cancer chemotherapy, nauseants or morning sickness in early pregnancy. 
Nausea may also be caused by anxiety, disgust and depression.
</t>
        </r>
      </text>
    </comment>
    <comment ref="C76" authorId="0" shapeId="0">
      <text>
        <r>
          <rPr>
            <b/>
            <sz val="9"/>
            <color indexed="81"/>
            <rFont val="Tahoma"/>
            <family val="2"/>
          </rPr>
          <t>Pascal Bounin:</t>
        </r>
        <r>
          <rPr>
            <sz val="9"/>
            <color indexed="81"/>
            <rFont val="Tahoma"/>
            <family val="2"/>
          </rPr>
          <t xml:space="preserve">
Please specify how often , or when .</t>
        </r>
      </text>
    </comment>
    <comment ref="C77" authorId="0" shapeId="0">
      <text>
        <r>
          <rPr>
            <b/>
            <sz val="9"/>
            <color indexed="81"/>
            <rFont val="Tahoma"/>
            <family val="2"/>
          </rPr>
          <t>Pascal Bounin:</t>
        </r>
        <r>
          <rPr>
            <sz val="9"/>
            <color indexed="81"/>
            <rFont val="Tahoma"/>
            <family val="2"/>
          </rPr>
          <t xml:space="preserve">
Nocturia is defined by the International Continence Society (ICS) as “the complaint that the individual has to wake at night one or more times for voiding.”[1] Its causes are varied and, in many patients, difficult to discern.
In order to diagnose nocturia, the nocturnal urine volume (NUV) of patients must be known. The ICS defines NUV as “the total volume of urine passed between the time the individual goes to bed with the intention of sleeping and the time of waking with the intention of rising.”[this quote needs a citation] Thus, NUV excludes the last void before going to bed, but includes the first morning void if the urge to urinate woke the patient. Although every patient does not need treatment, most people seek treatment for severe nocturia, waking up to void more than 2-3 times per night. The amount of sleep a patient gets, and the amount they intend to get, are also considered in a diagnosis
</t>
        </r>
      </text>
    </comment>
    <comment ref="C78" authorId="0" shapeId="0">
      <text>
        <r>
          <rPr>
            <b/>
            <sz val="9"/>
            <color indexed="81"/>
            <rFont val="Tahoma"/>
            <family val="2"/>
          </rPr>
          <t>Pascal Bounin:</t>
        </r>
        <r>
          <rPr>
            <sz val="9"/>
            <color indexed="81"/>
            <rFont val="Tahoma"/>
            <family val="2"/>
          </rPr>
          <t xml:space="preserve">
Please specify how often , or when .</t>
        </r>
      </text>
    </comment>
    <comment ref="C79" authorId="0" shapeId="0">
      <text>
        <r>
          <rPr>
            <b/>
            <sz val="9"/>
            <color indexed="81"/>
            <rFont val="Tahoma"/>
            <family val="2"/>
          </rPr>
          <t>Pascal Bounin:</t>
        </r>
        <r>
          <rPr>
            <sz val="9"/>
            <color indexed="81"/>
            <rFont val="Tahoma"/>
            <family val="2"/>
          </rPr>
          <t xml:space="preserve">
Please specify how often , or when .</t>
        </r>
      </text>
    </comment>
    <comment ref="C80" authorId="0" shapeId="0">
      <text>
        <r>
          <rPr>
            <b/>
            <sz val="9"/>
            <color indexed="81"/>
            <rFont val="Tahoma"/>
            <family val="2"/>
          </rPr>
          <t>Pascal Bounin:</t>
        </r>
        <r>
          <rPr>
            <sz val="9"/>
            <color indexed="81"/>
            <rFont val="Tahoma"/>
            <family val="2"/>
          </rPr>
          <t xml:space="preserve">
Please specify how often , or when .</t>
        </r>
      </text>
    </comment>
    <comment ref="C81" authorId="0" shapeId="0">
      <text>
        <r>
          <rPr>
            <b/>
            <sz val="9"/>
            <color indexed="81"/>
            <rFont val="Tahoma"/>
            <family val="2"/>
          </rPr>
          <t>Pascal Bounin:</t>
        </r>
        <r>
          <rPr>
            <sz val="9"/>
            <color indexed="81"/>
            <rFont val="Tahoma"/>
            <family val="2"/>
          </rPr>
          <t xml:space="preserve">
Please specify how often , or when .</t>
        </r>
      </text>
    </comment>
    <comment ref="C82" authorId="0" shapeId="0">
      <text>
        <r>
          <rPr>
            <b/>
            <sz val="9"/>
            <color indexed="81"/>
            <rFont val="Tahoma"/>
            <family val="2"/>
          </rPr>
          <t>Pascal Bounin:</t>
        </r>
        <r>
          <rPr>
            <sz val="9"/>
            <color indexed="81"/>
            <rFont val="Tahoma"/>
            <family val="2"/>
          </rPr>
          <t xml:space="preserve">
Please specify how often , or when .</t>
        </r>
      </text>
    </comment>
    <comment ref="C83" authorId="0" shapeId="0">
      <text>
        <r>
          <rPr>
            <b/>
            <sz val="9"/>
            <color indexed="81"/>
            <rFont val="Tahoma"/>
            <family val="2"/>
          </rPr>
          <t>Pascal Bounin:</t>
        </r>
        <r>
          <rPr>
            <sz val="9"/>
            <color indexed="81"/>
            <rFont val="Tahoma"/>
            <family val="2"/>
          </rPr>
          <t xml:space="preserve">
Please specify how often , or when .</t>
        </r>
      </text>
    </comment>
    <comment ref="C84" authorId="0" shapeId="0">
      <text>
        <r>
          <rPr>
            <b/>
            <sz val="9"/>
            <color indexed="81"/>
            <rFont val="Tahoma"/>
            <family val="2"/>
          </rPr>
          <t>Pascal Bounin:</t>
        </r>
        <r>
          <rPr>
            <sz val="9"/>
            <color indexed="81"/>
            <rFont val="Tahoma"/>
            <family val="2"/>
          </rPr>
          <t xml:space="preserve">
Please specify how often , or when .</t>
        </r>
      </text>
    </comment>
    <comment ref="C85" authorId="0" shapeId="0">
      <text>
        <r>
          <rPr>
            <b/>
            <sz val="9"/>
            <color indexed="81"/>
            <rFont val="Tahoma"/>
            <family val="2"/>
          </rPr>
          <t>Pascal Bounin:</t>
        </r>
        <r>
          <rPr>
            <sz val="9"/>
            <color indexed="81"/>
            <rFont val="Tahoma"/>
            <family val="2"/>
          </rPr>
          <t xml:space="preserve">
Please specify how often , or when .</t>
        </r>
      </text>
    </comment>
    <comment ref="C86" authorId="0" shapeId="0">
      <text>
        <r>
          <rPr>
            <b/>
            <sz val="9"/>
            <color indexed="81"/>
            <rFont val="Tahoma"/>
            <family val="2"/>
          </rPr>
          <t>Pascal Bounin:</t>
        </r>
        <r>
          <rPr>
            <sz val="9"/>
            <color indexed="81"/>
            <rFont val="Tahoma"/>
            <family val="2"/>
          </rPr>
          <t xml:space="preserve">
Please specify how often , or when .</t>
        </r>
      </text>
    </comment>
    <comment ref="C87" authorId="0" shapeId="0">
      <text>
        <r>
          <rPr>
            <b/>
            <sz val="9"/>
            <color indexed="81"/>
            <rFont val="Tahoma"/>
            <family val="2"/>
          </rPr>
          <t>Pascal Bounin:</t>
        </r>
        <r>
          <rPr>
            <sz val="9"/>
            <color indexed="81"/>
            <rFont val="Tahoma"/>
            <family val="2"/>
          </rPr>
          <t xml:space="preserve">
Please specify how often , or when .</t>
        </r>
      </text>
    </comment>
    <comment ref="C88" authorId="0" shapeId="0">
      <text>
        <r>
          <rPr>
            <b/>
            <sz val="9"/>
            <color indexed="81"/>
            <rFont val="Tahoma"/>
            <family val="2"/>
          </rPr>
          <t>Pascal Bounin:</t>
        </r>
        <r>
          <rPr>
            <sz val="9"/>
            <color indexed="81"/>
            <rFont val="Tahoma"/>
            <family val="2"/>
          </rPr>
          <t xml:space="preserve">
Please specify how often , or when .</t>
        </r>
      </text>
    </comment>
    <comment ref="C89" authorId="0" shapeId="0">
      <text>
        <r>
          <rPr>
            <b/>
            <sz val="9"/>
            <color indexed="81"/>
            <rFont val="Tahoma"/>
            <family val="2"/>
          </rPr>
          <t>Pascal Bounin:</t>
        </r>
        <r>
          <rPr>
            <sz val="9"/>
            <color indexed="81"/>
            <rFont val="Tahoma"/>
            <family val="2"/>
          </rPr>
          <t xml:space="preserve">
Please specify how often , or when .</t>
        </r>
      </text>
    </comment>
    <comment ref="C90" authorId="0" shapeId="0">
      <text>
        <r>
          <rPr>
            <b/>
            <sz val="9"/>
            <color indexed="81"/>
            <rFont val="Tahoma"/>
            <family val="2"/>
          </rPr>
          <t>Pascal Bounin:</t>
        </r>
        <r>
          <rPr>
            <sz val="9"/>
            <color indexed="81"/>
            <rFont val="Tahoma"/>
            <family val="2"/>
          </rPr>
          <t xml:space="preserve">
Please specify how often , or when .</t>
        </r>
      </text>
    </comment>
    <comment ref="C91" authorId="0" shapeId="0">
      <text>
        <r>
          <rPr>
            <b/>
            <sz val="9"/>
            <color indexed="81"/>
            <rFont val="Tahoma"/>
            <family val="2"/>
          </rPr>
          <t>Pascal Bounin:</t>
        </r>
        <r>
          <rPr>
            <sz val="9"/>
            <color indexed="81"/>
            <rFont val="Tahoma"/>
            <family val="2"/>
          </rPr>
          <t xml:space="preserve">
Please specify how often , or when .</t>
        </r>
      </text>
    </comment>
    <comment ref="C92" authorId="0" shapeId="0">
      <text>
        <r>
          <rPr>
            <b/>
            <sz val="9"/>
            <color indexed="81"/>
            <rFont val="Tahoma"/>
            <family val="2"/>
          </rPr>
          <t>Pascal Bounin:</t>
        </r>
        <r>
          <rPr>
            <sz val="9"/>
            <color indexed="81"/>
            <rFont val="Tahoma"/>
            <family val="2"/>
          </rPr>
          <t xml:space="preserve">
Please specify how often , or when .</t>
        </r>
      </text>
    </comment>
    <comment ref="C93" authorId="0" shapeId="0">
      <text>
        <r>
          <rPr>
            <b/>
            <sz val="9"/>
            <color indexed="81"/>
            <rFont val="Tahoma"/>
            <family val="2"/>
          </rPr>
          <t>Pascal Bounin:</t>
        </r>
        <r>
          <rPr>
            <sz val="9"/>
            <color indexed="81"/>
            <rFont val="Tahoma"/>
            <family val="2"/>
          </rPr>
          <t xml:space="preserve">
Please specify how often , or when .</t>
        </r>
      </text>
    </comment>
    <comment ref="C94" authorId="0" shapeId="0">
      <text>
        <r>
          <rPr>
            <b/>
            <sz val="9"/>
            <color indexed="81"/>
            <rFont val="Tahoma"/>
            <family val="2"/>
          </rPr>
          <t>Pascal Bounin:</t>
        </r>
        <r>
          <rPr>
            <sz val="9"/>
            <color indexed="81"/>
            <rFont val="Tahoma"/>
            <family val="2"/>
          </rPr>
          <t xml:space="preserve">
Please specify how often , or when .</t>
        </r>
      </text>
    </comment>
    <comment ref="C95" authorId="0" shapeId="0">
      <text>
        <r>
          <rPr>
            <b/>
            <sz val="9"/>
            <color indexed="81"/>
            <rFont val="Tahoma"/>
            <family val="2"/>
          </rPr>
          <t>Pascal Bounin:</t>
        </r>
        <r>
          <rPr>
            <sz val="9"/>
            <color indexed="81"/>
            <rFont val="Tahoma"/>
            <family val="2"/>
          </rPr>
          <t xml:space="preserve">
Please specify how often , or when .</t>
        </r>
      </text>
    </comment>
    <comment ref="C96" authorId="0" shapeId="0">
      <text>
        <r>
          <rPr>
            <b/>
            <sz val="9"/>
            <color indexed="81"/>
            <rFont val="Tahoma"/>
            <family val="2"/>
          </rPr>
          <t>Pascal Bounin:</t>
        </r>
        <r>
          <rPr>
            <sz val="9"/>
            <color indexed="81"/>
            <rFont val="Tahoma"/>
            <family val="2"/>
          </rPr>
          <t xml:space="preserve">
Please specify how often , or when .</t>
        </r>
      </text>
    </comment>
    <comment ref="C97" authorId="0" shapeId="0">
      <text>
        <r>
          <rPr>
            <b/>
            <sz val="9"/>
            <color indexed="81"/>
            <rFont val="Tahoma"/>
            <family val="2"/>
          </rPr>
          <t>Pascal Bounin:</t>
        </r>
        <r>
          <rPr>
            <sz val="9"/>
            <color indexed="81"/>
            <rFont val="Tahoma"/>
            <family val="2"/>
          </rPr>
          <t xml:space="preserve">
Please specify how often , or when .</t>
        </r>
      </text>
    </comment>
    <comment ref="C98" authorId="0" shapeId="0">
      <text>
        <r>
          <rPr>
            <b/>
            <sz val="9"/>
            <color indexed="81"/>
            <rFont val="Tahoma"/>
            <family val="2"/>
          </rPr>
          <t>Pascal Bounin:</t>
        </r>
        <r>
          <rPr>
            <sz val="9"/>
            <color indexed="81"/>
            <rFont val="Tahoma"/>
            <family val="2"/>
          </rPr>
          <t xml:space="preserve">
Please specify how often , or when .</t>
        </r>
      </text>
    </comment>
    <comment ref="C104" authorId="0" shapeId="0">
      <text>
        <r>
          <rPr>
            <b/>
            <sz val="9"/>
            <color indexed="81"/>
            <rFont val="Tahoma"/>
            <family val="2"/>
          </rPr>
          <t>Pascal Bounin:</t>
        </r>
        <r>
          <rPr>
            <sz val="9"/>
            <color indexed="81"/>
            <rFont val="Tahoma"/>
            <family val="2"/>
          </rPr>
          <t xml:space="preserve">
Insert here yes or No and if needed describe the history.</t>
        </r>
      </text>
    </comment>
    <comment ref="C105" authorId="0" shapeId="0">
      <text>
        <r>
          <rPr>
            <b/>
            <sz val="9"/>
            <color indexed="81"/>
            <rFont val="Tahoma"/>
            <family val="2"/>
          </rPr>
          <t>Pascal Bounin:</t>
        </r>
        <r>
          <rPr>
            <sz val="9"/>
            <color indexed="81"/>
            <rFont val="Tahoma"/>
            <family val="2"/>
          </rPr>
          <t xml:space="preserve">
Insert here yes or No and if needed describe the history.</t>
        </r>
      </text>
    </comment>
    <comment ref="C106" authorId="0" shapeId="0">
      <text>
        <r>
          <rPr>
            <b/>
            <sz val="9"/>
            <color indexed="81"/>
            <rFont val="Tahoma"/>
            <family val="2"/>
          </rPr>
          <t>Pascal Bounin:</t>
        </r>
        <r>
          <rPr>
            <sz val="9"/>
            <color indexed="81"/>
            <rFont val="Tahoma"/>
            <family val="2"/>
          </rPr>
          <t xml:space="preserve">
Insert here yes or No and if needed describe the history.</t>
        </r>
      </text>
    </comment>
    <comment ref="C107" authorId="0" shapeId="0">
      <text>
        <r>
          <rPr>
            <b/>
            <sz val="9"/>
            <color indexed="81"/>
            <rFont val="Tahoma"/>
            <family val="2"/>
          </rPr>
          <t>Pascal Bounin:</t>
        </r>
        <r>
          <rPr>
            <sz val="9"/>
            <color indexed="81"/>
            <rFont val="Tahoma"/>
            <family val="2"/>
          </rPr>
          <t xml:space="preserve">
Insert here yes or No and if needed describe the history.</t>
        </r>
      </text>
    </comment>
    <comment ref="C108" authorId="0" shapeId="0">
      <text>
        <r>
          <rPr>
            <b/>
            <sz val="9"/>
            <color indexed="81"/>
            <rFont val="Tahoma"/>
            <family val="2"/>
          </rPr>
          <t>Pascal Bounin:</t>
        </r>
        <r>
          <rPr>
            <sz val="9"/>
            <color indexed="81"/>
            <rFont val="Tahoma"/>
            <family val="2"/>
          </rPr>
          <t xml:space="preserve">
Insert here:
Good
Average
poor</t>
        </r>
      </text>
    </comment>
    <comment ref="C109" authorId="0" shapeId="0">
      <text>
        <r>
          <rPr>
            <b/>
            <sz val="9"/>
            <color indexed="81"/>
            <rFont val="Tahoma"/>
            <family val="2"/>
          </rPr>
          <t>Pascal Bounin:</t>
        </r>
        <r>
          <rPr>
            <sz val="9"/>
            <color indexed="81"/>
            <rFont val="Tahoma"/>
            <family val="2"/>
          </rPr>
          <t xml:space="preserve">
Insert here yes or No and if needed describe the history.</t>
        </r>
      </text>
    </comment>
    <comment ref="C110" authorId="0" shapeId="0">
      <text>
        <r>
          <rPr>
            <b/>
            <sz val="9"/>
            <color indexed="81"/>
            <rFont val="Tahoma"/>
            <family val="2"/>
          </rPr>
          <t>Pascal Bounin:</t>
        </r>
        <r>
          <rPr>
            <sz val="9"/>
            <color indexed="81"/>
            <rFont val="Tahoma"/>
            <family val="2"/>
          </rPr>
          <t xml:space="preserve">
Insert here yes or No and if needed describe the history.</t>
        </r>
      </text>
    </comment>
    <comment ref="C111" authorId="0" shapeId="0">
      <text>
        <r>
          <rPr>
            <b/>
            <sz val="9"/>
            <color indexed="81"/>
            <rFont val="Tahoma"/>
            <family val="2"/>
          </rPr>
          <t>Pascal Bounin:</t>
        </r>
        <r>
          <rPr>
            <sz val="9"/>
            <color indexed="81"/>
            <rFont val="Tahoma"/>
            <family val="2"/>
          </rPr>
          <t xml:space="preserve">
Insert here yes or No and if needed describe the history.</t>
        </r>
      </text>
    </comment>
    <comment ref="C112" authorId="0" shapeId="0">
      <text>
        <r>
          <rPr>
            <b/>
            <sz val="9"/>
            <color indexed="81"/>
            <rFont val="Tahoma"/>
            <family val="2"/>
          </rPr>
          <t>Pascal Bounin:</t>
        </r>
        <r>
          <rPr>
            <sz val="9"/>
            <color indexed="81"/>
            <rFont val="Tahoma"/>
            <family val="2"/>
          </rPr>
          <t xml:space="preserve">
Insert here yes or No and if needed describe the history.</t>
        </r>
      </text>
    </comment>
    <comment ref="C113" authorId="0" shapeId="0">
      <text>
        <r>
          <rPr>
            <b/>
            <sz val="9"/>
            <color indexed="81"/>
            <rFont val="Tahoma"/>
            <family val="2"/>
          </rPr>
          <t>Pascal Bounin:</t>
        </r>
        <r>
          <rPr>
            <sz val="9"/>
            <color indexed="81"/>
            <rFont val="Tahoma"/>
            <family val="2"/>
          </rPr>
          <t xml:space="preserve">
Insert here yes or No and if needed describe the history.</t>
        </r>
      </text>
    </comment>
    <comment ref="C114" authorId="0" shapeId="0">
      <text>
        <r>
          <rPr>
            <b/>
            <sz val="9"/>
            <color indexed="81"/>
            <rFont val="Tahoma"/>
            <family val="2"/>
          </rPr>
          <t>Pascal Bounin:</t>
        </r>
        <r>
          <rPr>
            <sz val="9"/>
            <color indexed="81"/>
            <rFont val="Tahoma"/>
            <family val="2"/>
          </rPr>
          <t xml:space="preserve">
Insert here yes or No and if needed describe the history.</t>
        </r>
      </text>
    </comment>
    <comment ref="C115" authorId="0" shapeId="0">
      <text>
        <r>
          <rPr>
            <b/>
            <sz val="9"/>
            <color indexed="81"/>
            <rFont val="Tahoma"/>
            <family val="2"/>
          </rPr>
          <t>Pascal Bounin:</t>
        </r>
        <r>
          <rPr>
            <sz val="9"/>
            <color indexed="81"/>
            <rFont val="Tahoma"/>
            <family val="2"/>
          </rPr>
          <t xml:space="preserve">
Insert here yes or No and if needed describe the history.</t>
        </r>
      </text>
    </comment>
    <comment ref="C116" authorId="0" shapeId="0">
      <text>
        <r>
          <rPr>
            <b/>
            <sz val="9"/>
            <color indexed="81"/>
            <rFont val="Tahoma"/>
            <family val="2"/>
          </rPr>
          <t>Pascal Bounin:</t>
        </r>
        <r>
          <rPr>
            <sz val="9"/>
            <color indexed="81"/>
            <rFont val="Tahoma"/>
            <family val="2"/>
          </rPr>
          <t xml:space="preserve">
Insert here yes or No and if needed describe the history.</t>
        </r>
      </text>
    </comment>
  </commentList>
</comments>
</file>

<file path=xl/sharedStrings.xml><?xml version="1.0" encoding="utf-8"?>
<sst xmlns="http://schemas.openxmlformats.org/spreadsheetml/2006/main" count="4184" uniqueCount="4184">
  <si>
    <r>
      <rPr>
        <sz val="10"/>
        <rFont val="Arial"/>
      </rPr>
      <t>6 M282</t>
    </r>
  </si>
  <si>
    <r>
      <rPr>
        <sz val="10"/>
        <rFont val="Arial"/>
      </rPr>
      <t>6 M282 AK</t>
    </r>
  </si>
  <si>
    <r>
      <rPr>
        <sz val="10"/>
        <rFont val="Arial"/>
      </rPr>
      <t>6 M32</t>
    </r>
  </si>
  <si>
    <r>
      <rPr>
        <sz val="10"/>
        <rFont val="Arial"/>
      </rPr>
      <t>6 M32C</t>
    </r>
  </si>
  <si>
    <r>
      <rPr>
        <sz val="10"/>
        <rFont val="Arial"/>
      </rPr>
      <t>6 M332</t>
    </r>
  </si>
  <si>
    <r>
      <rPr>
        <sz val="10"/>
        <rFont val="Arial"/>
      </rPr>
      <t>6 M35</t>
    </r>
  </si>
  <si>
    <r>
      <rPr>
        <sz val="10"/>
        <rFont val="Arial"/>
      </rPr>
      <t>6 M351</t>
    </r>
  </si>
  <si>
    <r>
      <rPr>
        <sz val="10"/>
        <rFont val="Arial"/>
      </rPr>
      <t>6 M385 A</t>
    </r>
  </si>
  <si>
    <r>
      <rPr>
        <sz val="10"/>
        <rFont val="Arial"/>
      </rPr>
      <t>6 M385 AK</t>
    </r>
  </si>
  <si>
    <r>
      <rPr>
        <sz val="10"/>
        <rFont val="Arial"/>
      </rPr>
      <t>6 M451</t>
    </r>
  </si>
  <si>
    <r>
      <rPr>
        <sz val="10"/>
        <rFont val="Arial"/>
      </rPr>
      <t>6 M451 AK</t>
    </r>
  </si>
  <si>
    <r>
      <rPr>
        <sz val="10"/>
        <rFont val="Arial"/>
      </rPr>
      <t>6 M452</t>
    </r>
  </si>
  <si>
    <r>
      <rPr>
        <sz val="10"/>
        <rFont val="Arial"/>
      </rPr>
      <t>6 M452 AK</t>
    </r>
  </si>
  <si>
    <r>
      <rPr>
        <sz val="10"/>
        <rFont val="Arial"/>
      </rPr>
      <t>6 M453 AK</t>
    </r>
  </si>
  <si>
    <r>
      <rPr>
        <sz val="10"/>
        <rFont val="Arial"/>
      </rPr>
      <t>6 M453 B/C</t>
    </r>
  </si>
  <si>
    <r>
      <rPr>
        <sz val="10"/>
        <rFont val="Arial"/>
      </rPr>
      <t>6 M453C</t>
    </r>
  </si>
  <si>
    <r>
      <rPr>
        <sz val="10"/>
        <rFont val="Arial"/>
      </rPr>
      <t>6 M551</t>
    </r>
  </si>
  <si>
    <r>
      <rPr>
        <sz val="10"/>
        <rFont val="Arial"/>
      </rPr>
      <t>6 M551 AK</t>
    </r>
  </si>
  <si>
    <r>
      <rPr>
        <sz val="10"/>
        <rFont val="Arial"/>
      </rPr>
      <t>6 M552</t>
    </r>
  </si>
  <si>
    <r>
      <rPr>
        <sz val="10"/>
        <rFont val="Arial"/>
      </rPr>
      <t>6 M601</t>
    </r>
  </si>
  <si>
    <r>
      <rPr>
        <sz val="10"/>
        <rFont val="Arial"/>
      </rPr>
      <t>6 NVD48-2V</t>
    </r>
  </si>
  <si>
    <r>
      <rPr>
        <sz val="10"/>
        <rFont val="Arial"/>
      </rPr>
      <t>6 RD 90</t>
    </r>
  </si>
  <si>
    <r>
      <rPr>
        <sz val="10"/>
        <rFont val="Arial"/>
      </rPr>
      <t>6 RLA 56</t>
    </r>
  </si>
  <si>
    <r>
      <rPr>
        <sz val="10"/>
        <rFont val="Arial"/>
      </rPr>
      <t>6 RLA 66</t>
    </r>
  </si>
  <si>
    <r>
      <rPr>
        <sz val="10"/>
        <rFont val="Arial"/>
      </rPr>
      <t>6 RND 19M</t>
    </r>
  </si>
  <si>
    <r>
      <rPr>
        <sz val="10"/>
        <rFont val="Arial"/>
      </rPr>
      <t>6 RND 68</t>
    </r>
  </si>
  <si>
    <r>
      <rPr>
        <sz val="10"/>
        <rFont val="Arial"/>
      </rPr>
      <t>6 RND 76</t>
    </r>
  </si>
  <si>
    <r>
      <rPr>
        <sz val="10"/>
        <rFont val="Arial"/>
      </rPr>
      <t>6 RND 76M</t>
    </r>
  </si>
  <si>
    <r>
      <rPr>
        <sz val="10"/>
        <rFont val="Arial"/>
      </rPr>
      <t>6 RND 90</t>
    </r>
  </si>
  <si>
    <r>
      <rPr>
        <sz val="10"/>
        <rFont val="Arial"/>
      </rPr>
      <t>6 RTA 48T</t>
    </r>
  </si>
  <si>
    <r>
      <rPr>
        <sz val="10"/>
        <rFont val="Arial"/>
      </rPr>
      <t>6 RTA 58</t>
    </r>
  </si>
  <si>
    <r>
      <rPr>
        <sz val="10"/>
        <rFont val="Arial"/>
      </rPr>
      <t>6 RTA 62U</t>
    </r>
  </si>
  <si>
    <r>
      <rPr>
        <sz val="10"/>
        <rFont val="Arial"/>
      </rPr>
      <t>6 RTA52U</t>
    </r>
  </si>
  <si>
    <r>
      <rPr>
        <sz val="10"/>
        <rFont val="Arial"/>
      </rPr>
      <t>6 UEC 37 LA</t>
    </r>
  </si>
  <si>
    <r>
      <rPr>
        <sz val="10"/>
        <rFont val="Arial"/>
      </rPr>
      <t>6 UEC 45/115H</t>
    </r>
  </si>
  <si>
    <r>
      <rPr>
        <sz val="10"/>
        <rFont val="Arial"/>
      </rPr>
      <t>6 UEC 45/L</t>
    </r>
  </si>
  <si>
    <r>
      <rPr>
        <sz val="10"/>
        <rFont val="Arial"/>
      </rPr>
      <t>6 UEC 52/105C</t>
    </r>
  </si>
  <si>
    <r>
      <rPr>
        <sz val="10"/>
        <rFont val="Arial"/>
      </rPr>
      <t>6 UEC 52/105D</t>
    </r>
  </si>
  <si>
    <r>
      <rPr>
        <sz val="10"/>
        <rFont val="Arial"/>
      </rPr>
      <t>6 UEC 52/105E</t>
    </r>
  </si>
  <si>
    <r>
      <rPr>
        <sz val="10"/>
        <rFont val="Arial"/>
      </rPr>
      <t>6 UEC 52/LS</t>
    </r>
  </si>
  <si>
    <r>
      <rPr>
        <sz val="10"/>
        <rFont val="Arial"/>
      </rPr>
      <t>6 UEC 60/125E</t>
    </r>
  </si>
  <si>
    <r>
      <rPr>
        <sz val="10"/>
        <rFont val="Arial"/>
      </rPr>
      <t>6 UEC 65/135D</t>
    </r>
  </si>
  <si>
    <r>
      <rPr>
        <sz val="10"/>
        <rFont val="Arial"/>
      </rPr>
      <t>6 UEC 65/135E</t>
    </r>
  </si>
  <si>
    <r>
      <rPr>
        <sz val="10"/>
        <rFont val="Arial"/>
      </rPr>
      <t>6 UEC 85/180D</t>
    </r>
  </si>
  <si>
    <r>
      <rPr>
        <sz val="10"/>
        <rFont val="Arial"/>
      </rPr>
      <t>6 UEC 85/180E</t>
    </r>
  </si>
  <si>
    <r>
      <rPr>
        <sz val="10"/>
        <rFont val="Arial"/>
      </rPr>
      <t>6 UEC 85LSII</t>
    </r>
  </si>
  <si>
    <r>
      <rPr>
        <sz val="10"/>
        <rFont val="Arial"/>
      </rPr>
      <t>6 UET 39/65C</t>
    </r>
  </si>
  <si>
    <r>
      <rPr>
        <sz val="10"/>
        <rFont val="Arial"/>
      </rPr>
      <t>6 UET 45/75C</t>
    </r>
  </si>
  <si>
    <r>
      <rPr>
        <sz val="10"/>
        <rFont val="Arial"/>
      </rPr>
      <t>6 UET 45/80D</t>
    </r>
  </si>
  <si>
    <r>
      <rPr>
        <sz val="10"/>
        <rFont val="Arial"/>
      </rPr>
      <t>6 UET 52/90D</t>
    </r>
  </si>
  <si>
    <r>
      <rPr>
        <sz val="10"/>
        <rFont val="Arial"/>
      </rPr>
      <t>60 EF</t>
    </r>
  </si>
  <si>
    <r>
      <rPr>
        <sz val="10"/>
        <rFont val="Arial"/>
      </rPr>
      <t>64H25/34</t>
    </r>
  </si>
  <si>
    <r>
      <rPr>
        <sz val="10"/>
        <rFont val="Arial"/>
      </rPr>
      <t>650 VT 2BF 110</t>
    </r>
  </si>
  <si>
    <r>
      <rPr>
        <sz val="10"/>
        <rFont val="Arial"/>
      </rPr>
      <t>674 VT 2BF 160</t>
    </r>
  </si>
  <si>
    <r>
      <rPr>
        <sz val="10"/>
        <rFont val="Arial"/>
      </rPr>
      <t>684 VT 2BF 180</t>
    </r>
  </si>
  <si>
    <r>
      <rPr>
        <sz val="10"/>
        <rFont val="Arial"/>
      </rPr>
      <t>6DSM-26</t>
    </r>
  </si>
  <si>
    <r>
      <rPr>
        <sz val="10"/>
        <rFont val="Arial"/>
      </rPr>
      <t>6EL 40</t>
    </r>
  </si>
  <si>
    <r>
      <rPr>
        <sz val="10"/>
        <rFont val="Arial"/>
      </rPr>
      <t>6EL44</t>
    </r>
  </si>
  <si>
    <r>
      <rPr>
        <sz val="10"/>
        <rFont val="Arial"/>
      </rPr>
      <t>6K 62 EF</t>
    </r>
  </si>
  <si>
    <r>
      <rPr>
        <sz val="10"/>
        <rFont val="Arial"/>
      </rPr>
      <t>6K 67 EF</t>
    </r>
  </si>
  <si>
    <r>
      <rPr>
        <sz val="10"/>
        <rFont val="Arial"/>
      </rPr>
      <t>6K 74 EF</t>
    </r>
  </si>
  <si>
    <r>
      <rPr>
        <sz val="10"/>
        <rFont val="Arial"/>
      </rPr>
      <t>6KZ 70/120AE</t>
    </r>
  </si>
  <si>
    <r>
      <rPr>
        <sz val="10"/>
        <rFont val="Arial"/>
      </rPr>
      <t>6L 35MC</t>
    </r>
  </si>
  <si>
    <r>
      <rPr>
        <sz val="10"/>
        <rFont val="Arial"/>
      </rPr>
      <t>6L 36MC</t>
    </r>
  </si>
  <si>
    <r>
      <rPr>
        <sz val="10"/>
        <rFont val="Arial"/>
      </rPr>
      <t>6L 50MCE</t>
    </r>
  </si>
  <si>
    <r>
      <rPr>
        <sz val="10"/>
        <rFont val="Arial"/>
      </rPr>
      <t>6L 52/55B</t>
    </r>
  </si>
  <si>
    <r>
      <rPr>
        <sz val="10"/>
        <rFont val="Arial"/>
      </rPr>
      <t>6L 55GFC</t>
    </r>
  </si>
  <si>
    <r>
      <rPr>
        <sz val="10"/>
        <rFont val="Arial"/>
      </rPr>
      <t>6L 60MC</t>
    </r>
  </si>
  <si>
    <r>
      <rPr>
        <sz val="10"/>
        <rFont val="Arial"/>
      </rPr>
      <t>6L 67 GB</t>
    </r>
  </si>
  <si>
    <r>
      <rPr>
        <sz val="10"/>
        <rFont val="Arial"/>
      </rPr>
      <t>6L 67 GB (MI)</t>
    </r>
  </si>
  <si>
    <r>
      <rPr>
        <sz val="10"/>
        <rFont val="Arial"/>
      </rPr>
      <t>6L 80 EF</t>
    </r>
  </si>
  <si>
    <r>
      <rPr>
        <sz val="10"/>
        <rFont val="Arial"/>
      </rPr>
      <t>6L 80MCE</t>
    </r>
  </si>
  <si>
    <r>
      <rPr>
        <sz val="10"/>
        <rFont val="Arial"/>
      </rPr>
      <t>6L35MC</t>
    </r>
  </si>
  <si>
    <r>
      <rPr>
        <sz val="10"/>
        <rFont val="Arial"/>
      </rPr>
      <t>6L45 GFCA</t>
    </r>
  </si>
  <si>
    <r>
      <rPr>
        <sz val="10"/>
        <rFont val="Arial"/>
      </rPr>
      <t>6L46A</t>
    </r>
  </si>
  <si>
    <r>
      <rPr>
        <sz val="10"/>
        <rFont val="Arial"/>
      </rPr>
      <t>6L50MC</t>
    </r>
  </si>
  <si>
    <r>
      <rPr>
        <sz val="10"/>
        <rFont val="Arial"/>
      </rPr>
      <t>6L60MCE</t>
    </r>
  </si>
  <si>
    <r>
      <rPr>
        <sz val="10"/>
        <rFont val="Arial"/>
      </rPr>
      <t>6L67GFCA</t>
    </r>
  </si>
  <si>
    <r>
      <rPr>
        <sz val="10"/>
        <rFont val="Arial"/>
      </rPr>
      <t>6L70MC</t>
    </r>
  </si>
  <si>
    <r>
      <rPr>
        <sz val="10"/>
        <rFont val="Arial"/>
      </rPr>
      <t>6L80GF</t>
    </r>
  </si>
  <si>
    <r>
      <rPr>
        <sz val="10"/>
        <rFont val="Arial"/>
      </rPr>
      <t>6L90GB</t>
    </r>
  </si>
  <si>
    <r>
      <rPr>
        <sz val="10"/>
        <rFont val="Arial"/>
      </rPr>
      <t>6LU 50A</t>
    </r>
  </si>
  <si>
    <r>
      <rPr>
        <sz val="10"/>
        <rFont val="Arial"/>
      </rPr>
      <t>6LU 54</t>
    </r>
  </si>
  <si>
    <r>
      <rPr>
        <sz val="10"/>
        <rFont val="Arial"/>
      </rPr>
      <t>6M32</t>
    </r>
  </si>
  <si>
    <r>
      <rPr>
        <sz val="10"/>
        <rFont val="Arial"/>
      </rPr>
      <t>6M331AK</t>
    </r>
  </si>
  <si>
    <r>
      <rPr>
        <sz val="10"/>
        <rFont val="Arial"/>
      </rPr>
      <t>6M453C</t>
    </r>
  </si>
  <si>
    <r>
      <rPr>
        <sz val="10"/>
        <rFont val="Arial"/>
      </rPr>
      <t>6M552AK</t>
    </r>
  </si>
  <si>
    <r>
      <rPr>
        <sz val="10"/>
        <rFont val="Arial"/>
      </rPr>
      <t>6PT CM 30</t>
    </r>
  </si>
  <si>
    <r>
      <rPr>
        <sz val="10"/>
        <rFont val="Arial"/>
      </rPr>
      <t>6R 32</t>
    </r>
  </si>
  <si>
    <r>
      <rPr>
        <sz val="10"/>
        <rFont val="Arial"/>
      </rPr>
      <t>6R 32D</t>
    </r>
  </si>
  <si>
    <r>
      <rPr>
        <sz val="10"/>
        <rFont val="Arial"/>
      </rPr>
      <t>6R 32E</t>
    </r>
  </si>
  <si>
    <r>
      <rPr>
        <sz val="10"/>
        <rFont val="Arial"/>
      </rPr>
      <t>6R46</t>
    </r>
  </si>
  <si>
    <r>
      <rPr>
        <sz val="10"/>
        <rFont val="Arial"/>
      </rPr>
      <t>6RD 56</t>
    </r>
  </si>
  <si>
    <r>
      <rPr>
        <sz val="10"/>
        <rFont val="Arial"/>
      </rPr>
      <t>6RLA90</t>
    </r>
  </si>
  <si>
    <r>
      <rPr>
        <sz val="10"/>
        <rFont val="Arial"/>
      </rPr>
      <t>6RLB66</t>
    </r>
  </si>
  <si>
    <r>
      <rPr>
        <sz val="10"/>
        <rFont val="Arial"/>
      </rPr>
      <t>6RND 68M</t>
    </r>
  </si>
  <si>
    <r>
      <rPr>
        <sz val="10"/>
        <rFont val="Arial"/>
      </rPr>
      <t>6RND 90M</t>
    </r>
  </si>
  <si>
    <r>
      <rPr>
        <sz val="10"/>
        <rFont val="Arial"/>
      </rPr>
      <t>6RTA 52</t>
    </r>
  </si>
  <si>
    <r>
      <rPr>
        <sz val="10"/>
        <rFont val="Arial"/>
      </rPr>
      <t>6RTA52</t>
    </r>
  </si>
  <si>
    <r>
      <rPr>
        <sz val="10"/>
        <rFont val="Arial"/>
      </rPr>
      <t>6RTA62</t>
    </r>
  </si>
  <si>
    <r>
      <rPr>
        <sz val="10"/>
        <rFont val="Arial"/>
      </rPr>
      <t>6RTA62U</t>
    </r>
  </si>
  <si>
    <r>
      <rPr>
        <sz val="10"/>
        <rFont val="Arial"/>
      </rPr>
      <t>6S 26MC</t>
    </r>
  </si>
  <si>
    <r>
      <rPr>
        <sz val="10"/>
        <rFont val="Arial"/>
      </rPr>
      <t>6S 42 MC</t>
    </r>
  </si>
  <si>
    <r>
      <rPr>
        <sz val="10"/>
        <rFont val="Arial"/>
      </rPr>
      <t>6S 70MC</t>
    </r>
  </si>
  <si>
    <r>
      <rPr>
        <sz val="10"/>
        <rFont val="Arial"/>
      </rPr>
      <t>6S35MC</t>
    </r>
  </si>
  <si>
    <r>
      <rPr>
        <sz val="10"/>
        <rFont val="Arial"/>
      </rPr>
      <t>6S50MC</t>
    </r>
  </si>
  <si>
    <r>
      <rPr>
        <sz val="10"/>
        <rFont val="Arial"/>
      </rPr>
      <t>6S50MC-C</t>
    </r>
  </si>
  <si>
    <r>
      <rPr>
        <sz val="10"/>
        <rFont val="Arial"/>
      </rPr>
      <t>6S70MC-C</t>
    </r>
  </si>
  <si>
    <r>
      <rPr>
        <sz val="10"/>
        <rFont val="Arial"/>
      </rPr>
      <t>6S80MC</t>
    </r>
  </si>
  <si>
    <r>
      <rPr>
        <sz val="10"/>
        <rFont val="Arial"/>
      </rPr>
      <t>6TM 410 LL</t>
    </r>
  </si>
  <si>
    <r>
      <rPr>
        <sz val="10"/>
        <rFont val="Arial"/>
      </rPr>
      <t>6UEC37/LA</t>
    </r>
  </si>
  <si>
    <r>
      <rPr>
        <sz val="10"/>
        <rFont val="Arial"/>
      </rPr>
      <t>6UEC37LA</t>
    </r>
  </si>
  <si>
    <r>
      <rPr>
        <sz val="10"/>
        <rFont val="Arial"/>
      </rPr>
      <t>6UEC45LA</t>
    </r>
  </si>
  <si>
    <r>
      <rPr>
        <sz val="10"/>
        <rFont val="Arial"/>
      </rPr>
      <t>6ZA40S</t>
    </r>
  </si>
  <si>
    <r>
      <rPr>
        <sz val="10"/>
        <rFont val="Arial"/>
      </rPr>
      <t>7 RND 68</t>
    </r>
  </si>
  <si>
    <r>
      <rPr>
        <sz val="10"/>
        <rFont val="Arial"/>
      </rPr>
      <t>7 RND 90</t>
    </r>
  </si>
  <si>
    <r>
      <rPr>
        <sz val="10"/>
        <rFont val="Arial"/>
      </rPr>
      <t>7 RTA 62</t>
    </r>
  </si>
  <si>
    <r>
      <rPr>
        <sz val="10"/>
        <rFont val="Arial"/>
      </rPr>
      <t>7 UEC 52/105D</t>
    </r>
  </si>
  <si>
    <r>
      <rPr>
        <sz val="10"/>
        <rFont val="Arial"/>
      </rPr>
      <t>7 UEC 52/105E</t>
    </r>
  </si>
  <si>
    <r>
      <rPr>
        <sz val="10"/>
        <rFont val="Arial"/>
      </rPr>
      <t>7 UEC 60 LS</t>
    </r>
  </si>
  <si>
    <r>
      <rPr>
        <sz val="10"/>
        <rFont val="Arial"/>
      </rPr>
      <t>7 UEC 60/125E</t>
    </r>
  </si>
  <si>
    <r>
      <rPr>
        <sz val="10"/>
        <rFont val="Arial"/>
      </rPr>
      <t>7 UEC 65/135D</t>
    </r>
  </si>
  <si>
    <r>
      <rPr>
        <sz val="10"/>
        <rFont val="Arial"/>
      </rPr>
      <t>7 UEC 65/135E</t>
    </r>
  </si>
  <si>
    <r>
      <rPr>
        <sz val="10"/>
        <rFont val="Arial"/>
      </rPr>
      <t>7 UEC 85/180D</t>
    </r>
  </si>
  <si>
    <r>
      <rPr>
        <sz val="10"/>
        <rFont val="Arial"/>
      </rPr>
      <t>7 UEC 85/180E</t>
    </r>
  </si>
  <si>
    <r>
      <rPr>
        <sz val="10"/>
        <rFont val="Arial"/>
      </rPr>
      <t>7 UET 39/65C</t>
    </r>
  </si>
  <si>
    <r>
      <rPr>
        <sz val="10"/>
        <rFont val="Arial"/>
      </rPr>
      <t>7 UET 45/80D</t>
    </r>
  </si>
  <si>
    <r>
      <rPr>
        <sz val="10"/>
        <rFont val="Arial"/>
      </rPr>
      <t>7 UET 52/90D</t>
    </r>
  </si>
  <si>
    <r>
      <rPr>
        <sz val="10"/>
        <rFont val="Arial"/>
      </rPr>
      <t>74 VTBF 140</t>
    </r>
  </si>
  <si>
    <r>
      <rPr>
        <sz val="10"/>
        <rFont val="Arial"/>
      </rPr>
      <t>74 VTBF 160</t>
    </r>
  </si>
  <si>
    <r>
      <rPr>
        <sz val="10"/>
        <rFont val="Arial"/>
      </rPr>
      <t>74 VTF 140</t>
    </r>
  </si>
  <si>
    <r>
      <rPr>
        <sz val="10"/>
        <rFont val="Arial"/>
      </rPr>
      <t>74 VTF 160</t>
    </r>
  </si>
  <si>
    <r>
      <rPr>
        <sz val="10"/>
        <rFont val="Arial"/>
      </rPr>
      <t>774 VT 2BF 160</t>
    </r>
  </si>
  <si>
    <r>
      <rPr>
        <sz val="10"/>
        <rFont val="Arial"/>
      </rPr>
      <t>7K 45 GF</t>
    </r>
  </si>
  <si>
    <r>
      <rPr>
        <sz val="10"/>
        <rFont val="Arial"/>
      </rPr>
      <t>7K 62 EF</t>
    </r>
  </si>
  <si>
    <r>
      <rPr>
        <sz val="10"/>
        <rFont val="Arial"/>
      </rPr>
      <t>7K 67 GF</t>
    </r>
  </si>
  <si>
    <r>
      <rPr>
        <sz val="10"/>
        <rFont val="Arial"/>
      </rPr>
      <t>7K 74 EF</t>
    </r>
  </si>
  <si>
    <r>
      <rPr>
        <sz val="10"/>
        <rFont val="Arial"/>
      </rPr>
      <t>7K 80MC-C</t>
    </r>
  </si>
  <si>
    <r>
      <rPr>
        <sz val="10"/>
        <rFont val="Arial"/>
      </rPr>
      <t>7K 89 MC-C</t>
    </r>
  </si>
  <si>
    <r>
      <rPr>
        <sz val="10"/>
        <rFont val="Arial"/>
      </rPr>
      <t>7K 90 MC-C</t>
    </r>
  </si>
  <si>
    <r>
      <rPr>
        <sz val="10"/>
        <rFont val="Arial"/>
      </rPr>
      <t>7KZ</t>
    </r>
  </si>
  <si>
    <r>
      <rPr>
        <sz val="10"/>
        <rFont val="Arial"/>
      </rPr>
      <t>7L 35MC</t>
    </r>
  </si>
  <si>
    <r>
      <rPr>
        <sz val="10"/>
        <rFont val="Arial"/>
      </rPr>
      <t>7L 45 GFC</t>
    </r>
  </si>
  <si>
    <r>
      <rPr>
        <sz val="10"/>
        <rFont val="Arial"/>
      </rPr>
      <t>7L 52/55A</t>
    </r>
  </si>
  <si>
    <r>
      <rPr>
        <sz val="10"/>
        <rFont val="Arial"/>
      </rPr>
      <t>7L 60 MC</t>
    </r>
  </si>
  <si>
    <r>
      <rPr>
        <sz val="10"/>
        <rFont val="Arial"/>
      </rPr>
      <t>7L 70MC</t>
    </r>
  </si>
  <si>
    <r>
      <rPr>
        <sz val="10"/>
        <rFont val="Arial"/>
      </rPr>
      <t>7L 80GFCA</t>
    </r>
  </si>
  <si>
    <r>
      <rPr>
        <sz val="10"/>
        <rFont val="Arial"/>
      </rPr>
      <t>7L55GFCA</t>
    </r>
  </si>
  <si>
    <r>
      <rPr>
        <sz val="10"/>
        <rFont val="Arial"/>
      </rPr>
      <t>7L67GFCA</t>
    </r>
  </si>
  <si>
    <r>
      <rPr>
        <sz val="10"/>
        <rFont val="Arial"/>
      </rPr>
      <t>7RLB90</t>
    </r>
  </si>
  <si>
    <r>
      <rPr>
        <sz val="10"/>
        <rFont val="Arial"/>
      </rPr>
      <t>7RND 90M</t>
    </r>
  </si>
  <si>
    <r>
      <rPr>
        <sz val="10"/>
        <rFont val="Arial"/>
      </rPr>
      <t>7RND76M</t>
    </r>
  </si>
  <si>
    <r>
      <rPr>
        <sz val="10"/>
        <rFont val="Arial"/>
      </rPr>
      <t>7RTA 62U</t>
    </r>
  </si>
  <si>
    <r>
      <rPr>
        <sz val="10"/>
        <rFont val="Arial"/>
      </rPr>
      <t>7RTA72U-B</t>
    </r>
  </si>
  <si>
    <r>
      <rPr>
        <sz val="10"/>
        <rFont val="Arial"/>
      </rPr>
      <t>7RTA84</t>
    </r>
  </si>
  <si>
    <r>
      <rPr>
        <sz val="10"/>
        <rFont val="Arial"/>
      </rPr>
      <t>7RTA84C(U)</t>
    </r>
  </si>
  <si>
    <r>
      <rPr>
        <sz val="10"/>
        <rFont val="Arial"/>
      </rPr>
      <t>7S 35MC</t>
    </r>
  </si>
  <si>
    <r>
      <rPr>
        <sz val="10"/>
        <rFont val="Arial"/>
      </rPr>
      <t>7S 50 MC</t>
    </r>
  </si>
  <si>
    <r>
      <rPr>
        <sz val="10"/>
        <rFont val="Arial"/>
      </rPr>
      <t>7S35MC/SNO</t>
    </r>
  </si>
  <si>
    <r>
      <rPr>
        <sz val="10"/>
        <rFont val="Arial"/>
      </rPr>
      <t>7S50MC</t>
    </r>
  </si>
  <si>
    <r>
      <rPr>
        <sz val="10"/>
        <rFont val="Arial"/>
      </rPr>
      <t>7S60 MC</t>
    </r>
  </si>
  <si>
    <r>
      <rPr>
        <sz val="10"/>
        <rFont val="Arial"/>
      </rPr>
      <t>7S60MC-C</t>
    </r>
  </si>
  <si>
    <r>
      <rPr>
        <sz val="10"/>
        <rFont val="Arial"/>
      </rPr>
      <t>7S70MC</t>
    </r>
  </si>
  <si>
    <r>
      <rPr>
        <sz val="10"/>
        <rFont val="Arial"/>
      </rPr>
      <t>7S80MC</t>
    </r>
  </si>
  <si>
    <r>
      <rPr>
        <sz val="10"/>
        <rFont val="Arial"/>
      </rPr>
      <t>7UEC60LS M-0</t>
    </r>
  </si>
  <si>
    <r>
      <rPr>
        <sz val="10"/>
        <rFont val="Arial"/>
      </rPr>
      <t>7UEC75LSII</t>
    </r>
  </si>
  <si>
    <r>
      <rPr>
        <sz val="10"/>
        <rFont val="Arial"/>
      </rPr>
      <t>7VT 2BF</t>
    </r>
  </si>
  <si>
    <r>
      <rPr>
        <sz val="10"/>
        <rFont val="Arial"/>
      </rPr>
      <t>8 M281 AK</t>
    </r>
  </si>
  <si>
    <r>
      <rPr>
        <sz val="10"/>
        <rFont val="Arial"/>
      </rPr>
      <t>8 M282 AK</t>
    </r>
  </si>
  <si>
    <r>
      <rPr>
        <sz val="10"/>
        <rFont val="Arial"/>
      </rPr>
      <t>8 M332</t>
    </r>
  </si>
  <si>
    <r>
      <rPr>
        <sz val="10"/>
        <rFont val="Arial"/>
      </rPr>
      <t>8 M35</t>
    </r>
  </si>
  <si>
    <r>
      <rPr>
        <sz val="10"/>
        <rFont val="Arial"/>
      </rPr>
      <t>8 M451</t>
    </r>
  </si>
  <si>
    <r>
      <rPr>
        <sz val="10"/>
        <rFont val="Arial"/>
      </rPr>
      <t>8 M451 AK</t>
    </r>
  </si>
  <si>
    <r>
      <rPr>
        <sz val="10"/>
        <rFont val="Arial"/>
      </rPr>
      <t>8 M452 AK</t>
    </r>
  </si>
  <si>
    <r>
      <rPr>
        <sz val="10"/>
        <rFont val="Arial"/>
      </rPr>
      <t>8 M453 AK</t>
    </r>
  </si>
  <si>
    <r>
      <rPr>
        <sz val="10"/>
        <rFont val="Arial"/>
      </rPr>
      <t>8 M453 B/C</t>
    </r>
  </si>
  <si>
    <r>
      <rPr>
        <sz val="10"/>
        <rFont val="Arial"/>
      </rPr>
      <t>8 M551</t>
    </r>
  </si>
  <si>
    <r>
      <rPr>
        <sz val="10"/>
        <rFont val="Arial"/>
      </rPr>
      <t>8 M551 AK</t>
    </r>
  </si>
  <si>
    <r>
      <rPr>
        <sz val="10"/>
        <rFont val="Arial"/>
      </rPr>
      <t>8 M552</t>
    </r>
  </si>
  <si>
    <r>
      <rPr>
        <sz val="10"/>
        <rFont val="Arial"/>
      </rPr>
      <t>8 M552 AK</t>
    </r>
  </si>
  <si>
    <r>
      <rPr>
        <sz val="10"/>
        <rFont val="Arial"/>
      </rPr>
      <t>8 M601</t>
    </r>
  </si>
  <si>
    <r>
      <rPr>
        <sz val="10"/>
        <rFont val="Arial"/>
      </rPr>
      <t>8 RND 68</t>
    </r>
  </si>
  <si>
    <r>
      <rPr>
        <sz val="10"/>
        <rFont val="Arial"/>
      </rPr>
      <t>8 RND 90</t>
    </r>
  </si>
  <si>
    <r>
      <rPr>
        <sz val="10"/>
        <rFont val="Arial"/>
      </rPr>
      <t>8 UEC 52/105D</t>
    </r>
  </si>
  <si>
    <r>
      <rPr>
        <sz val="10"/>
        <rFont val="Arial"/>
      </rPr>
      <t>8 UEC 52/105E</t>
    </r>
  </si>
  <si>
    <r>
      <rPr>
        <sz val="10"/>
        <rFont val="Arial"/>
      </rPr>
      <t>8 UEC 60 LS</t>
    </r>
  </si>
  <si>
    <r>
      <rPr>
        <sz val="10"/>
        <rFont val="Arial"/>
      </rPr>
      <t>8 UEC 60/125E</t>
    </r>
  </si>
  <si>
    <r>
      <rPr>
        <sz val="10"/>
        <rFont val="Arial"/>
      </rPr>
      <t>8 UEC 65/135D</t>
    </r>
  </si>
  <si>
    <r>
      <rPr>
        <sz val="10"/>
        <rFont val="Arial"/>
      </rPr>
      <t>8 UEC 65/135E</t>
    </r>
  </si>
  <si>
    <r>
      <rPr>
        <sz val="10"/>
        <rFont val="Arial"/>
      </rPr>
      <t>8 UEC 75 LSII</t>
    </r>
  </si>
  <si>
    <r>
      <rPr>
        <sz val="10"/>
        <rFont val="Arial"/>
      </rPr>
      <t>8 UEC 85/180D</t>
    </r>
  </si>
  <si>
    <r>
      <rPr>
        <sz val="10"/>
        <rFont val="Arial"/>
      </rPr>
      <t>8 UEC 85/180E</t>
    </r>
  </si>
  <si>
    <r>
      <rPr>
        <sz val="10"/>
        <rFont val="Arial"/>
      </rPr>
      <t>8 UET 39/65C</t>
    </r>
  </si>
  <si>
    <r>
      <rPr>
        <sz val="10"/>
        <rFont val="Arial"/>
      </rPr>
      <t>8 UET 45/80D</t>
    </r>
  </si>
  <si>
    <r>
      <rPr>
        <sz val="10"/>
        <rFont val="Arial"/>
      </rPr>
      <t>8 UET 52/90D</t>
    </r>
  </si>
  <si>
    <r>
      <rPr>
        <sz val="10"/>
        <rFont val="Arial"/>
      </rPr>
      <t>84 VT 2BF 180</t>
    </r>
  </si>
  <si>
    <r>
      <rPr>
        <sz val="10"/>
        <rFont val="Arial"/>
      </rPr>
      <t>84 VT 2BF 6</t>
    </r>
  </si>
  <si>
    <r>
      <rPr>
        <sz val="10"/>
        <rFont val="Arial"/>
      </rPr>
      <t>850 VT 2BF</t>
    </r>
  </si>
  <si>
    <r>
      <rPr>
        <sz val="10"/>
        <rFont val="Arial"/>
      </rPr>
      <t>8570 MC</t>
    </r>
  </si>
  <si>
    <r>
      <rPr>
        <sz val="10"/>
        <rFont val="Arial"/>
      </rPr>
      <t>874 VT 2BF</t>
    </r>
  </si>
  <si>
    <r>
      <rPr>
        <sz val="10"/>
        <rFont val="Arial"/>
      </rPr>
      <t>8K 84 EF</t>
    </r>
  </si>
  <si>
    <r>
      <rPr>
        <sz val="10"/>
        <rFont val="Arial"/>
      </rPr>
      <t>8K 90 MC-C</t>
    </r>
  </si>
  <si>
    <r>
      <rPr>
        <sz val="10"/>
        <rFont val="Arial"/>
      </rPr>
      <t>8K80MC-C</t>
    </r>
  </si>
  <si>
    <r>
      <rPr>
        <sz val="10"/>
        <rFont val="Arial"/>
      </rPr>
      <t>8K90MC-C</t>
    </r>
  </si>
  <si>
    <r>
      <rPr>
        <sz val="10"/>
        <rFont val="Arial"/>
      </rPr>
      <t>8L 55 GF</t>
    </r>
  </si>
  <si>
    <r>
      <rPr>
        <sz val="10"/>
        <rFont val="Arial"/>
      </rPr>
      <t>8L 67 GFCA</t>
    </r>
  </si>
  <si>
    <r>
      <rPr>
        <sz val="10"/>
        <rFont val="Arial"/>
      </rPr>
      <t>8L35MC</t>
    </r>
  </si>
  <si>
    <r>
      <rPr>
        <sz val="10"/>
        <rFont val="Arial"/>
      </rPr>
      <t>8L38</t>
    </r>
  </si>
  <si>
    <r>
      <rPr>
        <sz val="10"/>
        <rFont val="Arial"/>
      </rPr>
      <t>8L45 GFCA</t>
    </r>
  </si>
  <si>
    <r>
      <rPr>
        <sz val="10"/>
        <rFont val="Arial"/>
      </rPr>
      <t>8L45GFC</t>
    </r>
  </si>
  <si>
    <r>
      <rPr>
        <sz val="10"/>
        <rFont val="Arial"/>
      </rPr>
      <t>8L50MC</t>
    </r>
  </si>
  <si>
    <r>
      <rPr>
        <sz val="10"/>
        <rFont val="Arial"/>
      </rPr>
      <t>8M 552C</t>
    </r>
  </si>
  <si>
    <r>
      <rPr>
        <sz val="10"/>
        <rFont val="Arial"/>
      </rPr>
      <t>8M25</t>
    </r>
  </si>
  <si>
    <r>
      <rPr>
        <sz val="10"/>
        <rFont val="Arial"/>
      </rPr>
      <t>8M32</t>
    </r>
  </si>
  <si>
    <r>
      <rPr>
        <sz val="10"/>
        <rFont val="Arial"/>
      </rPr>
      <t>8M32C</t>
    </r>
  </si>
  <si>
    <r>
      <rPr>
        <sz val="10"/>
        <rFont val="Arial"/>
      </rPr>
      <t>8MU AK 551</t>
    </r>
  </si>
  <si>
    <r>
      <rPr>
        <sz val="10"/>
        <rFont val="Arial"/>
      </rPr>
      <t>8PC2 2L</t>
    </r>
  </si>
  <si>
    <r>
      <rPr>
        <sz val="10"/>
        <rFont val="Arial"/>
      </rPr>
      <t>8R22</t>
    </r>
  </si>
  <si>
    <r>
      <rPr>
        <sz val="10"/>
        <rFont val="Arial"/>
      </rPr>
      <t>8R32BC</t>
    </r>
  </si>
  <si>
    <r>
      <rPr>
        <sz val="10"/>
        <rFont val="Arial"/>
      </rPr>
      <t>8R32D</t>
    </r>
  </si>
  <si>
    <r>
      <rPr>
        <sz val="10"/>
        <rFont val="Arial"/>
      </rPr>
      <t>8RND90M</t>
    </r>
  </si>
  <si>
    <r>
      <rPr>
        <sz val="10"/>
        <rFont val="Arial"/>
      </rPr>
      <t>8RTA84</t>
    </r>
  </si>
  <si>
    <r>
      <rPr>
        <sz val="10"/>
        <rFont val="Arial"/>
      </rPr>
      <t>8S60 ME-C</t>
    </r>
  </si>
  <si>
    <r>
      <rPr>
        <sz val="10"/>
        <rFont val="Arial"/>
      </rPr>
      <t>8S70MC</t>
    </r>
  </si>
  <si>
    <r>
      <rPr>
        <sz val="10"/>
        <rFont val="Arial"/>
      </rPr>
      <t>8UEC 60 LF</t>
    </r>
  </si>
  <si>
    <r>
      <rPr>
        <sz val="10"/>
        <rFont val="Arial"/>
      </rPr>
      <t>8UEC 60 LSA</t>
    </r>
  </si>
  <si>
    <r>
      <rPr>
        <sz val="10"/>
        <rFont val="Arial"/>
      </rPr>
      <t>8Z-280ET</t>
    </r>
  </si>
  <si>
    <r>
      <rPr>
        <sz val="10"/>
        <rFont val="Arial"/>
      </rPr>
      <t>8ZL 40/48</t>
    </r>
  </si>
  <si>
    <r>
      <rPr>
        <sz val="10"/>
        <rFont val="Arial"/>
      </rPr>
      <t>9 M 32</t>
    </r>
  </si>
  <si>
    <r>
      <rPr>
        <sz val="10"/>
        <rFont val="Arial"/>
      </rPr>
      <t>9 M452 AK</t>
    </r>
  </si>
  <si>
    <r>
      <rPr>
        <sz val="10"/>
        <rFont val="Arial"/>
      </rPr>
      <t>9 M453 AK</t>
    </r>
  </si>
  <si>
    <r>
      <rPr>
        <sz val="10"/>
        <rFont val="Arial"/>
      </rPr>
      <t>9 M453 B/C</t>
    </r>
  </si>
  <si>
    <r>
      <rPr>
        <sz val="10"/>
        <rFont val="Arial"/>
      </rPr>
      <t>9 M453C</t>
    </r>
  </si>
  <si>
    <r>
      <rPr>
        <sz val="10"/>
        <rFont val="Arial"/>
      </rPr>
      <t>9 M551 AK</t>
    </r>
  </si>
  <si>
    <r>
      <rPr>
        <sz val="10"/>
        <rFont val="Arial"/>
      </rPr>
      <t>9 M552</t>
    </r>
  </si>
  <si>
    <r>
      <rPr>
        <sz val="10"/>
        <rFont val="Arial"/>
      </rPr>
      <t>9 M601</t>
    </r>
  </si>
  <si>
    <r>
      <rPr>
        <sz val="10"/>
        <rFont val="Arial"/>
      </rPr>
      <t>9 RND 68</t>
    </r>
  </si>
  <si>
    <r>
      <rPr>
        <sz val="10"/>
        <rFont val="Arial"/>
      </rPr>
      <t>9 RTA 84C</t>
    </r>
  </si>
  <si>
    <r>
      <rPr>
        <sz val="10"/>
        <rFont val="Arial"/>
      </rPr>
      <t>9 UEC 52/105D</t>
    </r>
  </si>
  <si>
    <r>
      <rPr>
        <sz val="10"/>
        <rFont val="Arial"/>
      </rPr>
      <t>9 UEC 52/105E</t>
    </r>
  </si>
  <si>
    <r>
      <rPr>
        <sz val="10"/>
        <rFont val="Arial"/>
      </rPr>
      <t>9 UEC 60/125E</t>
    </r>
  </si>
  <si>
    <r>
      <rPr>
        <sz val="10"/>
        <rFont val="Arial"/>
      </rPr>
      <t>9 UEC 65/135D</t>
    </r>
  </si>
  <si>
    <r>
      <rPr>
        <sz val="10"/>
        <rFont val="Arial"/>
      </rPr>
      <t>9 UEC 65/135E</t>
    </r>
  </si>
  <si>
    <r>
      <rPr>
        <sz val="10"/>
        <rFont val="Arial"/>
      </rPr>
      <t>9 UEC 85/180D</t>
    </r>
  </si>
  <si>
    <r>
      <rPr>
        <sz val="10"/>
        <rFont val="Arial"/>
      </rPr>
      <t>9 UEC 85/180E</t>
    </r>
  </si>
  <si>
    <r>
      <rPr>
        <sz val="10"/>
        <rFont val="Arial"/>
      </rPr>
      <t>9 UET 45/80D</t>
    </r>
  </si>
  <si>
    <r>
      <rPr>
        <sz val="10"/>
        <rFont val="Arial"/>
      </rPr>
      <t>9 UET 52/90D</t>
    </r>
  </si>
  <si>
    <r>
      <rPr>
        <sz val="10"/>
        <rFont val="Arial"/>
      </rPr>
      <t>984 VT2 BF 180</t>
    </r>
  </si>
  <si>
    <r>
      <rPr>
        <sz val="10"/>
        <rFont val="Arial"/>
      </rPr>
      <t>9K 45 GF</t>
    </r>
  </si>
  <si>
    <r>
      <rPr>
        <sz val="10"/>
        <rFont val="Arial"/>
      </rPr>
      <t>9K90 MC-C</t>
    </r>
  </si>
  <si>
    <r>
      <rPr>
        <sz val="10"/>
        <rFont val="Arial"/>
      </rPr>
      <t>9L 46C</t>
    </r>
  </si>
  <si>
    <r>
      <rPr>
        <sz val="10"/>
        <rFont val="Arial"/>
      </rPr>
      <t>9L20/27</t>
    </r>
  </si>
  <si>
    <r>
      <rPr>
        <sz val="10"/>
        <rFont val="Arial"/>
      </rPr>
      <t>9L32/40</t>
    </r>
  </si>
  <si>
    <r>
      <rPr>
        <sz val="10"/>
        <rFont val="Arial"/>
      </rPr>
      <t>9M 453 AK</t>
    </r>
  </si>
  <si>
    <r>
      <rPr>
        <sz val="10"/>
        <rFont val="Arial"/>
      </rPr>
      <t>A20</t>
    </r>
  </si>
  <si>
    <r>
      <rPr>
        <sz val="10"/>
        <rFont val="Arial"/>
      </rPr>
      <t>A900.6L</t>
    </r>
  </si>
  <si>
    <r>
      <rPr>
        <sz val="10"/>
        <rFont val="Arial"/>
      </rPr>
      <t>AKASAKA GENERIC</t>
    </r>
  </si>
  <si>
    <r>
      <rPr>
        <sz val="10"/>
        <rFont val="Arial"/>
      </rPr>
      <t>ALPHA GENERIC</t>
    </r>
  </si>
  <si>
    <r>
      <rPr>
        <sz val="10"/>
        <rFont val="Arial"/>
      </rPr>
      <t>ALSSDM6</t>
    </r>
  </si>
  <si>
    <r>
      <rPr>
        <sz val="10"/>
        <rFont val="Arial"/>
      </rPr>
      <t>AP 32/80</t>
    </r>
  </si>
  <si>
    <r>
      <rPr>
        <sz val="10"/>
        <rFont val="Arial"/>
      </rPr>
      <t>AS 25</t>
    </r>
  </si>
  <si>
    <r>
      <rPr>
        <sz val="10"/>
        <rFont val="Arial"/>
      </rPr>
      <t>AT 25</t>
    </r>
  </si>
  <si>
    <r>
      <rPr>
        <sz val="10"/>
        <rFont val="Arial"/>
      </rPr>
      <t>B &amp; W GENERIC</t>
    </r>
  </si>
  <si>
    <r>
      <rPr>
        <sz val="10"/>
        <rFont val="Arial"/>
      </rPr>
      <t>B52 TS</t>
    </r>
  </si>
  <si>
    <r>
      <rPr>
        <sz val="10"/>
        <rFont val="Arial"/>
      </rPr>
      <t>B686 S</t>
    </r>
  </si>
  <si>
    <r>
      <rPr>
        <sz val="10"/>
        <rFont val="Arial"/>
      </rPr>
      <t>B758 S</t>
    </r>
  </si>
  <si>
    <r>
      <rPr>
        <sz val="10"/>
        <rFont val="Arial"/>
      </rPr>
      <t>BA 8M 528</t>
    </r>
  </si>
  <si>
    <r>
      <rPr>
        <sz val="10"/>
        <rFont val="Arial"/>
      </rPr>
      <t>BERGEN - GENERI</t>
    </r>
  </si>
  <si>
    <r>
      <rPr>
        <sz val="10"/>
        <rFont val="Arial"/>
      </rPr>
      <t>BERGEN GENERIC</t>
    </r>
  </si>
  <si>
    <r>
      <rPr>
        <sz val="10"/>
        <rFont val="Arial"/>
      </rPr>
      <t>BRM-8</t>
    </r>
  </si>
  <si>
    <r>
      <rPr>
        <sz val="10"/>
        <rFont val="Arial"/>
      </rPr>
      <t>BVM 540</t>
    </r>
  </si>
  <si>
    <r>
      <rPr>
        <sz val="10"/>
        <rFont val="Arial"/>
      </rPr>
      <t>CATERPILLAR GEN</t>
    </r>
  </si>
  <si>
    <r>
      <rPr>
        <sz val="10"/>
        <rFont val="Arial"/>
      </rPr>
      <t>CEGIELSKI GENER</t>
    </r>
  </si>
  <si>
    <r>
      <rPr>
        <sz val="10"/>
        <rFont val="Arial"/>
      </rPr>
      <t>COMBINED</t>
    </r>
  </si>
  <si>
    <r>
      <rPr>
        <sz val="10"/>
        <rFont val="Arial"/>
      </rPr>
      <t>CROSSLEY GENERI</t>
    </r>
  </si>
  <si>
    <r>
      <rPr>
        <sz val="10"/>
        <rFont val="Arial"/>
      </rPr>
      <t>D 55</t>
    </r>
  </si>
  <si>
    <r>
      <rPr>
        <sz val="10"/>
        <rFont val="Arial"/>
      </rPr>
      <t>DAIHATSU GENERI</t>
    </r>
  </si>
  <si>
    <r>
      <rPr>
        <sz val="10"/>
        <rFont val="Arial"/>
      </rPr>
      <t>DETROIT GENERIC</t>
    </r>
  </si>
  <si>
    <r>
      <rPr>
        <sz val="10"/>
        <rFont val="Arial"/>
      </rPr>
      <t>DEUTZ GENERIC</t>
    </r>
  </si>
  <si>
    <r>
      <rPr>
        <sz val="10"/>
        <rFont val="Arial"/>
      </rPr>
      <t>DIESEL-ELECTRIC</t>
    </r>
  </si>
  <si>
    <r>
      <rPr>
        <sz val="10"/>
        <rFont val="Arial"/>
      </rPr>
      <t>DKRN</t>
    </r>
  </si>
  <si>
    <r>
      <rPr>
        <sz val="10"/>
        <rFont val="Arial"/>
      </rPr>
      <t>DM 520/900 VGS</t>
    </r>
  </si>
  <si>
    <r>
      <rPr>
        <sz val="10"/>
        <rFont val="Arial"/>
      </rPr>
      <t>DM 630/1300 VGS</t>
    </r>
  </si>
  <si>
    <r>
      <rPr>
        <sz val="10"/>
        <rFont val="Arial"/>
      </rPr>
      <t>DM 630/1400 VGS</t>
    </r>
  </si>
  <si>
    <r>
      <rPr>
        <sz val="10"/>
        <rFont val="Arial"/>
      </rPr>
      <t>DM 680/1500 VGS</t>
    </r>
  </si>
  <si>
    <r>
      <rPr>
        <sz val="10"/>
        <rFont val="Arial"/>
      </rPr>
      <t>DM 750/1600 VGS</t>
    </r>
  </si>
  <si>
    <r>
      <rPr>
        <sz val="10"/>
        <rFont val="Arial"/>
      </rPr>
      <t>DM 760/1500 VG6</t>
    </r>
  </si>
  <si>
    <r>
      <rPr>
        <sz val="10"/>
        <rFont val="Arial"/>
      </rPr>
      <t>DM 760/1500 VGS</t>
    </r>
  </si>
  <si>
    <r>
      <rPr>
        <sz val="10"/>
        <rFont val="Arial"/>
      </rPr>
      <t>DM 850/1700 VGA</t>
    </r>
  </si>
  <si>
    <r>
      <rPr>
        <sz val="10"/>
        <rFont val="Arial"/>
      </rPr>
      <t>DOXFORD GENERIC</t>
    </r>
  </si>
  <si>
    <r>
      <rPr>
        <sz val="10"/>
        <rFont val="Arial"/>
      </rPr>
      <t>DZC/6L</t>
    </r>
  </si>
  <si>
    <r>
      <rPr>
        <sz val="10"/>
        <rFont val="Arial"/>
      </rPr>
      <t>F212V</t>
    </r>
  </si>
  <si>
    <r>
      <rPr>
        <sz val="10"/>
        <rFont val="Arial"/>
      </rPr>
      <t>FIAT BORSIG GEN</t>
    </r>
  </si>
  <si>
    <r>
      <rPr>
        <sz val="10"/>
        <rFont val="Arial"/>
      </rPr>
      <t>FIAT GENERIC</t>
    </r>
  </si>
  <si>
    <r>
      <rPr>
        <sz val="10"/>
        <rFont val="Arial"/>
      </rPr>
      <t>FUJI GENERIC</t>
    </r>
  </si>
  <si>
    <r>
      <rPr>
        <sz val="10"/>
        <rFont val="Arial"/>
      </rPr>
      <t>G6 V40/60</t>
    </r>
  </si>
  <si>
    <r>
      <rPr>
        <sz val="10"/>
        <rFont val="Arial"/>
      </rPr>
      <t>G6 V52/74</t>
    </r>
  </si>
  <si>
    <r>
      <rPr>
        <sz val="10"/>
        <rFont val="Arial"/>
      </rPr>
      <t>G7 V52/74</t>
    </r>
  </si>
  <si>
    <r>
      <rPr>
        <sz val="10"/>
        <rFont val="Arial"/>
      </rPr>
      <t>G8 V40/60</t>
    </r>
  </si>
  <si>
    <r>
      <rPr>
        <sz val="10"/>
        <rFont val="Arial"/>
      </rPr>
      <t>G8 V52/74</t>
    </r>
  </si>
  <si>
    <r>
      <rPr>
        <sz val="10"/>
        <rFont val="Arial"/>
      </rPr>
      <t>G9 V40/60</t>
    </r>
  </si>
  <si>
    <r>
      <rPr>
        <sz val="10"/>
        <rFont val="Arial"/>
      </rPr>
      <t>G9 V52/74</t>
    </r>
  </si>
  <si>
    <r>
      <rPr>
        <sz val="10"/>
        <rFont val="Arial"/>
      </rPr>
      <t>GAS TURBINE GEN</t>
    </r>
  </si>
  <si>
    <r>
      <rPr>
        <sz val="10"/>
        <rFont val="Arial"/>
      </rPr>
      <t>GOTAVERKEN GENE</t>
    </r>
  </si>
  <si>
    <r>
      <rPr>
        <sz val="10"/>
        <rFont val="Arial"/>
      </rPr>
      <t>HANSHIN GENERIC</t>
    </r>
  </si>
  <si>
    <r>
      <rPr>
        <sz val="10"/>
        <rFont val="Arial"/>
      </rPr>
      <t>HITACHI GENERIC</t>
    </r>
  </si>
  <si>
    <r>
      <rPr>
        <sz val="10"/>
        <rFont val="Arial"/>
      </rPr>
      <t>HRNS</t>
    </r>
  </si>
  <si>
    <r>
      <rPr>
        <sz val="10"/>
        <rFont val="Arial"/>
      </rPr>
      <t>HUYNDAI GENERIC</t>
    </r>
  </si>
  <si>
    <r>
      <rPr>
        <sz val="10"/>
        <rFont val="Arial"/>
      </rPr>
      <t>ISUZU GENERIC</t>
    </r>
  </si>
  <si>
    <r>
      <rPr>
        <sz val="10"/>
        <rFont val="Arial"/>
      </rPr>
      <t>ITO DIESEL GENE</t>
    </r>
  </si>
  <si>
    <r>
      <rPr>
        <sz val="10"/>
        <rFont val="Arial"/>
      </rPr>
      <t>K10 SZ 90/160 A</t>
    </r>
  </si>
  <si>
    <r>
      <rPr>
        <sz val="10"/>
        <rFont val="Arial"/>
      </rPr>
      <t>K5SZ70/125B</t>
    </r>
  </si>
  <si>
    <r>
      <rPr>
        <sz val="10"/>
        <rFont val="Arial"/>
      </rPr>
      <t>K6SZ52/90N</t>
    </r>
  </si>
  <si>
    <r>
      <rPr>
        <sz val="10"/>
        <rFont val="Arial"/>
      </rPr>
      <t>K6Z70/120E</t>
    </r>
  </si>
  <si>
    <r>
      <rPr>
        <sz val="10"/>
        <rFont val="Arial"/>
      </rPr>
      <t>K74 EF</t>
    </r>
  </si>
  <si>
    <r>
      <rPr>
        <sz val="10"/>
        <rFont val="Arial"/>
      </rPr>
      <t>K7SZ 70/125 BL</t>
    </r>
  </si>
  <si>
    <r>
      <rPr>
        <sz val="10"/>
        <rFont val="Arial"/>
      </rPr>
      <t>K7SZ90/160</t>
    </r>
  </si>
  <si>
    <r>
      <rPr>
        <sz val="10"/>
        <rFont val="Arial"/>
      </rPr>
      <t>K7Z/56/100A</t>
    </r>
  </si>
  <si>
    <r>
      <rPr>
        <sz val="10"/>
        <rFont val="Arial"/>
      </rPr>
      <t>K84 EF</t>
    </r>
  </si>
  <si>
    <r>
      <rPr>
        <sz val="10"/>
        <rFont val="Arial"/>
      </rPr>
      <t>K8SSZ52/105CL</t>
    </r>
  </si>
  <si>
    <r>
      <rPr>
        <sz val="10"/>
        <rFont val="Arial"/>
      </rPr>
      <t>K8SZ 70/125</t>
    </r>
  </si>
  <si>
    <r>
      <rPr>
        <sz val="10"/>
        <rFont val="Arial"/>
      </rPr>
      <t>K8SZ52/105</t>
    </r>
  </si>
  <si>
    <r>
      <rPr>
        <sz val="10"/>
        <rFont val="Arial"/>
      </rPr>
      <t>K8Z70/120E</t>
    </r>
  </si>
  <si>
    <r>
      <rPr>
        <sz val="10"/>
        <rFont val="Arial"/>
      </rPr>
      <t>K98 FF</t>
    </r>
  </si>
  <si>
    <r>
      <rPr>
        <sz val="10"/>
        <rFont val="Arial"/>
      </rPr>
      <t>K98 GF</t>
    </r>
  </si>
  <si>
    <r>
      <rPr>
        <sz val="10"/>
        <rFont val="Arial"/>
      </rPr>
      <t>K9Z60/105E</t>
    </r>
  </si>
  <si>
    <r>
      <rPr>
        <sz val="10"/>
        <rFont val="Arial"/>
      </rPr>
      <t>KAWASAKI GENERI</t>
    </r>
  </si>
  <si>
    <r>
      <rPr>
        <sz val="10"/>
        <rFont val="Arial"/>
      </rPr>
      <t>KHD</t>
    </r>
  </si>
  <si>
    <r>
      <rPr>
        <sz val="10"/>
        <rFont val="Arial"/>
      </rPr>
      <t>KOBE HATSUDOKI</t>
    </r>
  </si>
  <si>
    <r>
      <rPr>
        <sz val="10"/>
        <rFont val="Arial"/>
      </rPr>
      <t>KRUPP GENERIC</t>
    </r>
  </si>
  <si>
    <r>
      <rPr>
        <sz val="10"/>
        <rFont val="Arial"/>
      </rPr>
      <t>KSZ 105/180</t>
    </r>
  </si>
  <si>
    <r>
      <rPr>
        <sz val="10"/>
        <rFont val="Arial"/>
      </rPr>
      <t>KSZ 52/105C/CL</t>
    </r>
  </si>
  <si>
    <r>
      <rPr>
        <sz val="10"/>
        <rFont val="Arial"/>
      </rPr>
      <t>KSZ 70/125</t>
    </r>
  </si>
  <si>
    <r>
      <rPr>
        <sz val="10"/>
        <rFont val="Arial"/>
      </rPr>
      <t>KSZ 70/125B/BL</t>
    </r>
  </si>
  <si>
    <r>
      <rPr>
        <sz val="10"/>
        <rFont val="Arial"/>
      </rPr>
      <t>KSZ 70/150C/CL</t>
    </r>
  </si>
  <si>
    <r>
      <rPr>
        <sz val="10"/>
        <rFont val="Arial"/>
      </rPr>
      <t>KSZ 78/155</t>
    </r>
  </si>
  <si>
    <r>
      <rPr>
        <sz val="10"/>
        <rFont val="Arial"/>
      </rPr>
      <t>KSZ 90/160</t>
    </r>
  </si>
  <si>
    <r>
      <rPr>
        <sz val="10"/>
        <rFont val="Arial"/>
      </rPr>
      <t>KSZ 90/160B/BL</t>
    </r>
  </si>
  <si>
    <r>
      <rPr>
        <sz val="10"/>
        <rFont val="Arial"/>
      </rPr>
      <t>KSZ 90/190C/CL</t>
    </r>
  </si>
  <si>
    <r>
      <rPr>
        <sz val="10"/>
        <rFont val="Arial"/>
      </rPr>
      <t>KVM - 12</t>
    </r>
  </si>
  <si>
    <r>
      <rPr>
        <sz val="10"/>
        <rFont val="Arial"/>
      </rPr>
      <t>KZ 52/90</t>
    </r>
  </si>
  <si>
    <r>
      <rPr>
        <sz val="10"/>
        <rFont val="Arial"/>
      </rPr>
      <t>KZ 57/80</t>
    </r>
  </si>
  <si>
    <r>
      <rPr>
        <sz val="10"/>
        <rFont val="Arial"/>
      </rPr>
      <t>KZ 60/105</t>
    </r>
  </si>
  <si>
    <r>
      <rPr>
        <sz val="10"/>
        <rFont val="Arial"/>
      </rPr>
      <t>KZ 70/120</t>
    </r>
  </si>
  <si>
    <r>
      <rPr>
        <sz val="10"/>
        <rFont val="Arial"/>
      </rPr>
      <t>KZ 72/155</t>
    </r>
  </si>
  <si>
    <r>
      <rPr>
        <sz val="10"/>
        <rFont val="Arial"/>
      </rPr>
      <t>KZ 78/140</t>
    </r>
  </si>
  <si>
    <r>
      <rPr>
        <sz val="10"/>
        <rFont val="Arial"/>
      </rPr>
      <t>KZ 78/155</t>
    </r>
  </si>
  <si>
    <r>
      <rPr>
        <sz val="10"/>
        <rFont val="Arial"/>
      </rPr>
      <t>KZ 84/160</t>
    </r>
  </si>
  <si>
    <r>
      <rPr>
        <sz val="10"/>
        <rFont val="Arial"/>
      </rPr>
      <t>KZ 86/160</t>
    </r>
  </si>
  <si>
    <r>
      <rPr>
        <sz val="10"/>
        <rFont val="Arial"/>
      </rPr>
      <t>KZ 88/170</t>
    </r>
  </si>
  <si>
    <r>
      <rPr>
        <sz val="10"/>
        <rFont val="Arial"/>
      </rPr>
      <t>L/V20/27</t>
    </r>
  </si>
  <si>
    <r>
      <rPr>
        <sz val="10"/>
        <rFont val="Arial"/>
      </rPr>
      <t>L/V20/27 NG</t>
    </r>
  </si>
  <si>
    <r>
      <rPr>
        <sz val="10"/>
        <rFont val="Arial"/>
      </rPr>
      <t>L/V20/31 NG</t>
    </r>
  </si>
  <si>
    <r>
      <rPr>
        <sz val="10"/>
        <rFont val="Arial"/>
      </rPr>
      <t>L/V23/30</t>
    </r>
  </si>
  <si>
    <r>
      <rPr>
        <sz val="10"/>
        <rFont val="Arial"/>
      </rPr>
      <t>L/V25/30</t>
    </r>
  </si>
  <si>
    <r>
      <rPr>
        <sz val="10"/>
        <rFont val="Arial"/>
      </rPr>
      <t>L/V28/32</t>
    </r>
  </si>
  <si>
    <r>
      <rPr>
        <sz val="10"/>
        <rFont val="Arial"/>
      </rPr>
      <t>L/V32/36</t>
    </r>
  </si>
  <si>
    <r>
      <rPr>
        <sz val="10"/>
        <rFont val="Arial"/>
      </rPr>
      <t>L/V40/45</t>
    </r>
  </si>
  <si>
    <r>
      <rPr>
        <sz val="10"/>
        <rFont val="Arial"/>
      </rPr>
      <t>L/V40/54</t>
    </r>
  </si>
  <si>
    <r>
      <rPr>
        <sz val="10"/>
        <rFont val="Arial"/>
      </rPr>
      <t>L/V52/52</t>
    </r>
  </si>
  <si>
    <r>
      <rPr>
        <sz val="10"/>
        <rFont val="Arial"/>
      </rPr>
      <t>L/V52/55</t>
    </r>
  </si>
  <si>
    <r>
      <rPr>
        <sz val="10"/>
        <rFont val="Arial"/>
      </rPr>
      <t>L52 55B</t>
    </r>
  </si>
  <si>
    <r>
      <rPr>
        <sz val="10"/>
        <rFont val="Arial"/>
      </rPr>
      <t>L58/64</t>
    </r>
  </si>
  <si>
    <r>
      <rPr>
        <sz val="10"/>
        <rFont val="Arial"/>
      </rPr>
      <t>M.A.K. GENERIC</t>
    </r>
  </si>
  <si>
    <r>
      <rPr>
        <sz val="10"/>
        <rFont val="Arial"/>
      </rPr>
      <t>M.A.N. GENERIC</t>
    </r>
  </si>
  <si>
    <r>
      <rPr>
        <sz val="10"/>
        <rFont val="Arial"/>
      </rPr>
      <t>M.T.U. GENERIC</t>
    </r>
  </si>
  <si>
    <r>
      <rPr>
        <sz val="10"/>
        <rFont val="Arial"/>
      </rPr>
      <t>M.W.M. GENERIC</t>
    </r>
  </si>
  <si>
    <r>
      <rPr>
        <sz val="10"/>
        <rFont val="Arial"/>
      </rPr>
      <t>M220 AL-SNX</t>
    </r>
  </si>
  <si>
    <r>
      <rPr>
        <sz val="10"/>
        <rFont val="Arial"/>
      </rPr>
      <t>MAKITA GENERIC</t>
    </r>
  </si>
  <si>
    <r>
      <rPr>
        <sz val="10"/>
        <rFont val="Arial"/>
      </rPr>
      <t>MIRRLEES GENERI</t>
    </r>
  </si>
  <si>
    <r>
      <rPr>
        <sz val="10"/>
        <rFont val="Arial"/>
      </rPr>
      <t>MITSUBISHI GENE</t>
    </r>
  </si>
  <si>
    <r>
      <rPr>
        <sz val="10"/>
        <rFont val="Arial"/>
      </rPr>
      <t>MITSUI GENERIC</t>
    </r>
  </si>
  <si>
    <r>
      <rPr>
        <sz val="10"/>
        <rFont val="Arial"/>
      </rPr>
      <t>MN 165</t>
    </r>
  </si>
  <si>
    <r>
      <rPr>
        <sz val="10"/>
        <rFont val="Arial"/>
      </rPr>
      <t>MOTOR DIESEL</t>
    </r>
  </si>
  <si>
    <r>
      <rPr>
        <sz val="10"/>
        <rFont val="Arial"/>
      </rPr>
      <t>MU 451 AK</t>
    </r>
  </si>
  <si>
    <r>
      <rPr>
        <sz val="10"/>
        <rFont val="Arial"/>
      </rPr>
      <t>MU 453 AK</t>
    </r>
  </si>
  <si>
    <r>
      <rPr>
        <sz val="10"/>
        <rFont val="Arial"/>
      </rPr>
      <t>NIIGATA GENERIC</t>
    </r>
  </si>
  <si>
    <r>
      <rPr>
        <sz val="10"/>
        <rFont val="Arial"/>
      </rPr>
      <t>NOHAP POLAR GEN</t>
    </r>
  </si>
  <si>
    <r>
      <rPr>
        <sz val="10"/>
        <rFont val="Arial"/>
      </rPr>
      <t>NON PROPELLED</t>
    </r>
  </si>
  <si>
    <r>
      <rPr>
        <sz val="10"/>
        <rFont val="Arial"/>
      </rPr>
      <t>NORMO GENERIC</t>
    </r>
  </si>
  <si>
    <r>
      <rPr>
        <sz val="10"/>
        <rFont val="Arial"/>
      </rPr>
      <t>NSD 7RTA 72 U-B</t>
    </r>
  </si>
  <si>
    <r>
      <rPr>
        <sz val="10"/>
        <rFont val="Arial"/>
      </rPr>
      <t>NUCLEAR</t>
    </r>
  </si>
  <si>
    <r>
      <rPr>
        <sz val="10"/>
        <rFont val="Arial"/>
      </rPr>
      <t>NVD</t>
    </r>
  </si>
  <si>
    <r>
      <rPr>
        <sz val="10"/>
        <rFont val="Arial"/>
      </rPr>
      <t>NYDGRIST &amp; HOLM</t>
    </r>
  </si>
  <si>
    <r>
      <rPr>
        <sz val="10"/>
        <rFont val="Arial"/>
      </rPr>
      <t>OI</t>
    </r>
  </si>
  <si>
    <r>
      <rPr>
        <sz val="10"/>
        <rFont val="Arial"/>
      </rPr>
      <t>PC2 V12</t>
    </r>
  </si>
  <si>
    <r>
      <rPr>
        <sz val="10"/>
        <rFont val="Arial"/>
      </rPr>
      <t>PIELSTICK GENER</t>
    </r>
  </si>
  <si>
    <r>
      <rPr>
        <sz val="10"/>
        <rFont val="Arial"/>
      </rPr>
      <t>POLAR GENERIC</t>
    </r>
  </si>
  <si>
    <r>
      <rPr>
        <sz val="10"/>
        <rFont val="Arial"/>
      </rPr>
      <t>R6V52/55</t>
    </r>
  </si>
  <si>
    <r>
      <rPr>
        <sz val="10"/>
        <rFont val="Arial"/>
      </rPr>
      <t>RBV 16M 540</t>
    </r>
  </si>
  <si>
    <r>
      <rPr>
        <sz val="10"/>
        <rFont val="Arial"/>
      </rPr>
      <t>RBV 6M 358</t>
    </r>
  </si>
  <si>
    <r>
      <rPr>
        <sz val="10"/>
        <rFont val="Arial"/>
      </rPr>
      <t>RBV 6M 540</t>
    </r>
  </si>
  <si>
    <r>
      <rPr>
        <sz val="10"/>
        <rFont val="Arial"/>
      </rPr>
      <t>RBV 6M 545</t>
    </r>
  </si>
  <si>
    <r>
      <rPr>
        <sz val="10"/>
        <rFont val="Arial"/>
      </rPr>
      <t>RBV 8M 358</t>
    </r>
  </si>
  <si>
    <r>
      <rPr>
        <sz val="10"/>
        <rFont val="Arial"/>
      </rPr>
      <t>RBV 8M 366</t>
    </r>
  </si>
  <si>
    <r>
      <rPr>
        <sz val="10"/>
        <rFont val="Arial"/>
      </rPr>
      <t>RBV 8M 545</t>
    </r>
  </si>
  <si>
    <r>
      <rPr>
        <sz val="10"/>
        <rFont val="Arial"/>
      </rPr>
      <t>RD 56/100</t>
    </r>
  </si>
  <si>
    <r>
      <rPr>
        <sz val="10"/>
        <rFont val="Arial"/>
      </rPr>
      <t>RD 60</t>
    </r>
  </si>
  <si>
    <r>
      <rPr>
        <sz val="10"/>
        <rFont val="Arial"/>
      </rPr>
      <t>RD 68</t>
    </r>
  </si>
  <si>
    <r>
      <rPr>
        <sz val="10"/>
        <rFont val="Arial"/>
      </rPr>
      <t>RD 76</t>
    </r>
  </si>
  <si>
    <r>
      <rPr>
        <sz val="10"/>
        <rFont val="Arial"/>
      </rPr>
      <t>RND 90</t>
    </r>
  </si>
  <si>
    <r>
      <rPr>
        <sz val="10"/>
        <rFont val="Arial"/>
      </rPr>
      <t>RND 90M</t>
    </r>
  </si>
  <si>
    <r>
      <rPr>
        <sz val="10"/>
        <rFont val="Arial"/>
      </rPr>
      <t>RSBV 12M 540</t>
    </r>
  </si>
  <si>
    <r>
      <rPr>
        <sz val="10"/>
        <rFont val="Arial"/>
      </rPr>
      <t>RTA 38</t>
    </r>
  </si>
  <si>
    <r>
      <rPr>
        <sz val="10"/>
        <rFont val="Arial"/>
      </rPr>
      <t>RTA 48</t>
    </r>
  </si>
  <si>
    <r>
      <rPr>
        <sz val="10"/>
        <rFont val="Arial"/>
      </rPr>
      <t>RTA 52</t>
    </r>
  </si>
  <si>
    <r>
      <rPr>
        <sz val="10"/>
        <rFont val="Arial"/>
      </rPr>
      <t>RTA 58</t>
    </r>
  </si>
  <si>
    <r>
      <rPr>
        <sz val="10"/>
        <rFont val="Arial"/>
      </rPr>
      <t>RTA 62</t>
    </r>
  </si>
  <si>
    <r>
      <rPr>
        <sz val="10"/>
        <rFont val="Arial"/>
      </rPr>
      <t>RTA 68</t>
    </r>
  </si>
  <si>
    <r>
      <rPr>
        <sz val="10"/>
        <rFont val="Arial"/>
      </rPr>
      <t>RTA 72</t>
    </r>
  </si>
  <si>
    <r>
      <rPr>
        <sz val="10"/>
        <rFont val="Arial"/>
      </rPr>
      <t>RTA 76</t>
    </r>
  </si>
  <si>
    <r>
      <rPr>
        <sz val="10"/>
        <rFont val="Arial"/>
      </rPr>
      <t>RTA 84</t>
    </r>
  </si>
  <si>
    <r>
      <rPr>
        <sz val="10"/>
        <rFont val="Arial"/>
      </rPr>
      <t>RTA 84M</t>
    </r>
  </si>
  <si>
    <r>
      <rPr>
        <sz val="10"/>
        <rFont val="Arial"/>
      </rPr>
      <t>RUSTON GENERIC</t>
    </r>
  </si>
  <si>
    <r>
      <rPr>
        <sz val="10"/>
        <rFont val="Arial"/>
      </rPr>
      <t>S/4 5CMC</t>
    </r>
  </si>
  <si>
    <r>
      <rPr>
        <sz val="10"/>
        <rFont val="Arial"/>
      </rPr>
      <t>S/U28</t>
    </r>
  </si>
  <si>
    <r>
      <rPr>
        <sz val="10"/>
        <rFont val="Arial"/>
      </rPr>
      <t>SBA 12M 528</t>
    </r>
  </si>
  <si>
    <r>
      <rPr>
        <sz val="10"/>
        <rFont val="Arial"/>
      </rPr>
      <t>SBA 8M 528</t>
    </r>
  </si>
  <si>
    <r>
      <rPr>
        <sz val="10"/>
        <rFont val="Arial"/>
      </rPr>
      <t>SBV 8M 540</t>
    </r>
  </si>
  <si>
    <r>
      <rPr>
        <sz val="10"/>
        <rFont val="Arial"/>
      </rPr>
      <t>SBV 8M 628</t>
    </r>
  </si>
  <si>
    <r>
      <rPr>
        <sz val="10"/>
        <rFont val="Arial"/>
      </rPr>
      <t>SBV 9M 628</t>
    </r>
  </si>
  <si>
    <r>
      <rPr>
        <sz val="10"/>
        <rFont val="Arial"/>
      </rPr>
      <t>SBV SM 540</t>
    </r>
  </si>
  <si>
    <r>
      <rPr>
        <sz val="10"/>
        <rFont val="Arial"/>
      </rPr>
      <t>SHIKAWAJIMA GEN</t>
    </r>
  </si>
  <si>
    <r>
      <rPr>
        <sz val="10"/>
        <rFont val="Arial"/>
      </rPr>
      <t>SKL</t>
    </r>
  </si>
  <si>
    <r>
      <rPr>
        <sz val="10"/>
        <rFont val="Arial"/>
      </rPr>
      <t>SKODA</t>
    </r>
  </si>
  <si>
    <r>
      <rPr>
        <sz val="10"/>
        <rFont val="Arial"/>
      </rPr>
      <t>SMITT</t>
    </r>
  </si>
  <si>
    <r>
      <rPr>
        <sz val="10"/>
        <rFont val="Arial"/>
      </rPr>
      <t>STAL LAVAL- GEN</t>
    </r>
  </si>
  <si>
    <r>
      <rPr>
        <sz val="10"/>
        <rFont val="Arial"/>
      </rPr>
      <t>STEAM TURBINE G</t>
    </r>
  </si>
  <si>
    <r>
      <rPr>
        <sz val="10"/>
        <rFont val="Arial"/>
      </rPr>
      <t>STORK GENERIC</t>
    </r>
  </si>
  <si>
    <r>
      <rPr>
        <sz val="10"/>
        <rFont val="Arial"/>
      </rPr>
      <t>SULZER GENERIC</t>
    </r>
  </si>
  <si>
    <r>
      <rPr>
        <sz val="10"/>
        <rFont val="Arial"/>
      </rPr>
      <t>T/V23</t>
    </r>
  </si>
  <si>
    <r>
      <rPr>
        <sz val="10"/>
        <rFont val="Arial"/>
      </rPr>
      <t>TBD 345 AU</t>
    </r>
  </si>
  <si>
    <r>
      <rPr>
        <sz val="10"/>
        <rFont val="Arial"/>
      </rPr>
      <t>TBD 441 V12</t>
    </r>
  </si>
  <si>
    <r>
      <rPr>
        <sz val="10"/>
        <rFont val="Arial"/>
      </rPr>
      <t>TBD 511 V12</t>
    </r>
  </si>
  <si>
    <r>
      <rPr>
        <sz val="10"/>
        <rFont val="Arial"/>
      </rPr>
      <t>TBD 518-8</t>
    </r>
  </si>
  <si>
    <r>
      <rPr>
        <sz val="10"/>
        <rFont val="Arial"/>
      </rPr>
      <t>TBDG 500 BV</t>
    </r>
  </si>
  <si>
    <r>
      <rPr>
        <sz val="10"/>
        <rFont val="Arial"/>
      </rPr>
      <t>TBR HS 345</t>
    </r>
  </si>
  <si>
    <r>
      <rPr>
        <sz val="10"/>
        <rFont val="Arial"/>
      </rPr>
      <t>TD 48</t>
    </r>
  </si>
  <si>
    <r>
      <rPr>
        <sz val="10"/>
        <rFont val="Arial"/>
      </rPr>
      <t>TURBINE</t>
    </r>
  </si>
  <si>
    <r>
      <rPr>
        <sz val="10"/>
        <rFont val="Arial"/>
      </rPr>
      <t>UA-400</t>
    </r>
  </si>
  <si>
    <r>
      <rPr>
        <sz val="10"/>
        <rFont val="Arial"/>
      </rPr>
      <t>UET 45/80D</t>
    </r>
  </si>
  <si>
    <r>
      <rPr>
        <sz val="10"/>
        <rFont val="Arial"/>
      </rPr>
      <t>V 16</t>
    </r>
  </si>
  <si>
    <r>
      <rPr>
        <sz val="10"/>
        <rFont val="Arial"/>
      </rPr>
      <t>V52/52</t>
    </r>
  </si>
  <si>
    <r>
      <rPr>
        <sz val="10"/>
        <rFont val="Arial"/>
      </rPr>
      <t>V6 V40/54</t>
    </r>
  </si>
  <si>
    <r>
      <rPr>
        <sz val="10"/>
        <rFont val="Arial"/>
      </rPr>
      <t>V6A 6U</t>
    </r>
  </si>
  <si>
    <r>
      <rPr>
        <sz val="10"/>
        <rFont val="Arial"/>
      </rPr>
      <t>V8 V40/54</t>
    </r>
  </si>
  <si>
    <r>
      <rPr>
        <sz val="10"/>
        <rFont val="Arial"/>
      </rPr>
      <t>VOLVO GENERIC</t>
    </r>
  </si>
  <si>
    <r>
      <rPr>
        <sz val="10"/>
        <rFont val="Arial"/>
      </rPr>
      <t>VOLVO PENTA</t>
    </r>
  </si>
  <si>
    <r>
      <rPr>
        <sz val="10"/>
        <rFont val="Arial"/>
      </rPr>
      <t>VT 2BV</t>
    </r>
  </si>
  <si>
    <r>
      <rPr>
        <sz val="10"/>
        <rFont val="Arial"/>
      </rPr>
      <t>VT BF</t>
    </r>
  </si>
  <si>
    <r>
      <rPr>
        <sz val="10"/>
        <rFont val="Arial"/>
      </rPr>
      <t>WARTSILA GENERI</t>
    </r>
  </si>
  <si>
    <r>
      <rPr>
        <sz val="10"/>
        <rFont val="Arial"/>
      </rPr>
      <t>WICHANN GENERIC</t>
    </r>
  </si>
  <si>
    <r>
      <rPr>
        <sz val="10"/>
        <rFont val="Arial"/>
      </rPr>
      <t>WIND ASSISTED</t>
    </r>
  </si>
  <si>
    <r>
      <rPr>
        <sz val="10"/>
        <rFont val="Arial"/>
      </rPr>
      <t>WIZEMAN GENERIC</t>
    </r>
  </si>
  <si>
    <r>
      <rPr>
        <sz val="10"/>
        <rFont val="Arial"/>
      </rPr>
      <t>WM 240</t>
    </r>
  </si>
  <si>
    <r>
      <rPr>
        <sz val="10"/>
        <rFont val="Arial"/>
      </rPr>
      <t>YANMAR GENERIC</t>
    </r>
  </si>
  <si>
    <r>
      <rPr>
        <sz val="10"/>
        <rFont val="Arial"/>
      </rPr>
      <t>Z40</t>
    </r>
  </si>
  <si>
    <r>
      <rPr>
        <sz val="10"/>
        <rFont val="Arial"/>
      </rPr>
      <t>ZA 40</t>
    </r>
  </si>
  <si>
    <r>
      <rPr>
        <sz val="10"/>
        <rFont val="Arial"/>
      </rPr>
      <t>$AZ$2:$AZ$10</t>
    </r>
  </si>
  <si>
    <r>
      <rPr>
        <sz val="10"/>
        <rFont val="Arial"/>
      </rPr>
      <t>GOOD</t>
    </r>
  </si>
  <si>
    <r>
      <rPr>
        <sz val="10"/>
        <color indexed="8"/>
        <rFont val="Arial"/>
        <family val="2"/>
      </rPr>
      <t>This questionnaire is compulsory for each Smit Lamnalco employees allocated to any asset, the questionnaire must be completed prior mobilization and send to the designated crew coordinator for further process. To be completed digital or in BLOCK letters and Siganture is compulsory by employee. / Данная анкета обязательна для каждого сотрудника Smit Lamnalco, закрепляемого за любым плавсредством; анкета заполняется до мобилизации и отправляется на обработку назначенному координатору по делам экипажа для дальнейшей обработки. Заполнить на компьютере или ПЕЧАТНЫМИ буквами; подпись сотрудника обязательна.</t>
    </r>
  </si>
  <si>
    <r>
      <rPr>
        <b/>
        <sz val="10"/>
        <color indexed="8"/>
        <rFont val="Arial"/>
        <family val="2"/>
      </rPr>
      <t>First Name / Имя:</t>
    </r>
  </si>
  <si>
    <r>
      <rPr>
        <b/>
        <sz val="10"/>
        <color indexed="8"/>
        <rFont val="Arial"/>
        <family val="2"/>
      </rPr>
      <t>Middle Name / Отчество:</t>
    </r>
  </si>
  <si>
    <r>
      <rPr>
        <b/>
        <sz val="10"/>
        <color indexed="8"/>
        <rFont val="Arial"/>
        <family val="2"/>
      </rPr>
      <t>Last Name / Фамилия:</t>
    </r>
  </si>
  <si>
    <r>
      <rPr>
        <b/>
        <sz val="10"/>
        <color indexed="8"/>
        <rFont val="Arial"/>
        <family val="2"/>
      </rPr>
      <t>Date of Birth / Дата рождения:</t>
    </r>
  </si>
  <si>
    <r>
      <rPr>
        <b/>
        <sz val="10"/>
        <color indexed="8"/>
        <rFont val="Arial"/>
        <family val="2"/>
      </rPr>
      <t>Marital status / Семейное положение:</t>
    </r>
  </si>
  <si>
    <r>
      <rPr>
        <b/>
        <sz val="10"/>
        <color indexed="8"/>
        <rFont val="Arial"/>
        <family val="2"/>
      </rPr>
      <t>Number of children / Кол-во детей:</t>
    </r>
  </si>
  <si>
    <r>
      <rPr>
        <b/>
        <sz val="10"/>
        <color indexed="8"/>
        <rFont val="Arial"/>
        <family val="2"/>
      </rPr>
      <t>Gender / Пол:</t>
    </r>
  </si>
  <si>
    <r>
      <rPr>
        <b/>
        <sz val="10"/>
        <color indexed="8"/>
        <rFont val="Arial"/>
        <family val="2"/>
      </rPr>
      <t>Position / Положение:</t>
    </r>
  </si>
  <si>
    <r>
      <rPr>
        <b/>
        <sz val="10"/>
        <color indexed="8"/>
        <rFont val="Arial"/>
        <family val="2"/>
      </rPr>
      <t>Allocated Unit / Закрепленное устройство:</t>
    </r>
  </si>
  <si>
    <r>
      <rPr>
        <b/>
        <sz val="10"/>
        <color indexed="8"/>
        <rFont val="Arial"/>
        <family val="2"/>
      </rPr>
      <t>Location (Departing to) / Местоположение (отбытие в):</t>
    </r>
  </si>
  <si>
    <r>
      <rPr>
        <b/>
        <sz val="10"/>
        <color indexed="8"/>
        <rFont val="Arial"/>
        <family val="2"/>
      </rPr>
      <t>State down the last 5 countries you visited the last 3 years / Укажите последние 5 стран, которые вы посетили за последние 3 года:</t>
    </r>
  </si>
  <si>
    <r>
      <rPr>
        <sz val="10"/>
        <color indexed="12"/>
        <rFont val="Arial"/>
        <family val="2"/>
      </rPr>
      <t>Medical History / Медицинская история:</t>
    </r>
  </si>
  <si>
    <r>
      <rPr>
        <b/>
        <sz val="10"/>
        <color indexed="8"/>
        <rFont val="Arial"/>
        <family val="2"/>
      </rPr>
      <t>Height (cms) / Рост (см):</t>
    </r>
  </si>
  <si>
    <r>
      <rPr>
        <b/>
        <sz val="10"/>
        <color indexed="8"/>
        <rFont val="Arial"/>
        <family val="2"/>
      </rPr>
      <t>Weight (kgs) / Вес (кг):</t>
    </r>
  </si>
  <si>
    <r>
      <rPr>
        <b/>
        <sz val="10"/>
        <color indexed="8"/>
        <rFont val="Arial"/>
        <family val="2"/>
      </rPr>
      <t>Blood Type / Группа крови:</t>
    </r>
  </si>
  <si>
    <r>
      <rPr>
        <b/>
        <sz val="10"/>
        <color indexed="8"/>
        <rFont val="Arial"/>
        <family val="2"/>
      </rPr>
      <t>Identification Mark on Body / Особые приметы на теле:</t>
    </r>
  </si>
  <si>
    <r>
      <rPr>
        <sz val="10"/>
        <color indexed="8"/>
        <rFont val="Arial"/>
        <family val="2"/>
      </rPr>
      <t xml:space="preserve">(If any / если имеются) </t>
    </r>
  </si>
  <si>
    <r>
      <rPr>
        <b/>
        <sz val="10"/>
        <color indexed="8"/>
        <rFont val="Arial"/>
        <family val="2"/>
      </rPr>
      <t>Colour of Eyes / Цвет глаз:</t>
    </r>
  </si>
  <si>
    <r>
      <rPr>
        <b/>
        <sz val="10"/>
        <color indexed="8"/>
        <rFont val="Arial"/>
        <family val="2"/>
      </rPr>
      <t>Medical history / Медицинская история:</t>
    </r>
  </si>
  <si>
    <r>
      <rPr>
        <b/>
        <sz val="10"/>
        <color indexed="8"/>
        <rFont val="Arial"/>
        <family val="2"/>
      </rPr>
      <t>Are there any organs removed? / Удалены ли какие-либо органы?</t>
    </r>
  </si>
  <si>
    <r>
      <rPr>
        <b/>
        <sz val="10"/>
        <color indexed="8"/>
        <rFont val="Arial"/>
        <family val="2"/>
      </rPr>
      <t>Have you suffered from jaundice (hepatitis) ? / Болели ли вы желтухой (гепатитом)?</t>
    </r>
  </si>
  <si>
    <r>
      <rPr>
        <b/>
        <sz val="10"/>
        <color indexed="8"/>
        <rFont val="Arial"/>
        <family val="2"/>
      </rPr>
      <t>Are you an immuno-compromised patient ? / У вас понижен иммунитет?</t>
    </r>
  </si>
  <si>
    <r>
      <rPr>
        <b/>
        <sz val="10"/>
        <color indexed="8"/>
        <rFont val="Arial"/>
        <family val="2"/>
      </rPr>
      <t>Have you had a recent chemotherapy or radiation therapy ? / Проходили ли вы в недавнем прошлом курс химиотерапии или лучевой терапии?</t>
    </r>
  </si>
  <si>
    <r>
      <rPr>
        <b/>
        <sz val="10"/>
        <color indexed="8"/>
        <rFont val="Arial"/>
        <family val="2"/>
      </rPr>
      <t>Are you allergic to certain medication (i.e. antibiotics) ? / Есть ли у вас аллергия на определенные медикаменты (антибиотики)?</t>
    </r>
  </si>
  <si>
    <r>
      <rPr>
        <b/>
        <sz val="10"/>
        <color indexed="8"/>
        <rFont val="Arial"/>
        <family val="2"/>
      </rPr>
      <t>Have you ever experienced problems after vaccination (i.e. fainting) ? / Бывали ли проблемы после вакцинации (обмороки)?</t>
    </r>
  </si>
  <si>
    <r>
      <rPr>
        <b/>
        <sz val="10"/>
        <color indexed="8"/>
        <rFont val="Arial"/>
        <family val="2"/>
      </rPr>
      <t>Have you ever experienced complaints when using malaria tablets ? / Бывали ли у вас жалобы после приема таблеток от малярии?</t>
    </r>
  </si>
  <si>
    <r>
      <rPr>
        <b/>
        <sz val="10"/>
        <color indexed="8"/>
        <rFont val="Arial"/>
        <family val="2"/>
      </rPr>
      <t xml:space="preserve">Do you smoke ? / Вы курите? </t>
    </r>
    <r>
      <rPr>
        <b/>
        <sz val="10"/>
        <color indexed="8"/>
        <rFont val="Arial"/>
        <family val="2"/>
      </rPr>
      <t xml:space="preserve">How much a day ? / Сколько сигарет в день? </t>
    </r>
    <r>
      <rPr>
        <b/>
        <sz val="10"/>
        <color indexed="8"/>
        <rFont val="Arial"/>
        <family val="2"/>
      </rPr>
      <t>When did you stop smoking ? / Когда вы бросили курить?</t>
    </r>
  </si>
  <si>
    <r>
      <rPr>
        <b/>
        <sz val="10"/>
        <color indexed="8"/>
        <rFont val="Arial"/>
        <family val="2"/>
      </rPr>
      <t xml:space="preserve">Do you drink alcohol ? / Вы пьете алкоголь? </t>
    </r>
    <r>
      <rPr>
        <b/>
        <sz val="10"/>
        <color indexed="8"/>
        <rFont val="Arial"/>
        <family val="2"/>
      </rPr>
      <t>How much a day ? / Сколько сигарет в день?</t>
    </r>
  </si>
  <si>
    <r>
      <rPr>
        <b/>
        <sz val="10"/>
        <color indexed="8"/>
        <rFont val="Arial"/>
        <family val="2"/>
      </rPr>
      <t>Do you wear glasses or contact lenses ? / Вы носите очки или контактные линзы?</t>
    </r>
  </si>
  <si>
    <r>
      <rPr>
        <b/>
        <sz val="10"/>
        <color indexed="8"/>
        <rFont val="Arial"/>
        <family val="2"/>
      </rPr>
      <t xml:space="preserve">Are there any hereditary diseases in your family ? / В вашей семье есть наследственные болезни? </t>
    </r>
    <r>
      <rPr>
        <b/>
        <sz val="10"/>
        <color indexed="8"/>
        <rFont val="Arial"/>
        <family val="2"/>
      </rPr>
      <t>Is so specify / Если так, укажите их</t>
    </r>
  </si>
  <si>
    <r>
      <rPr>
        <b/>
        <sz val="10"/>
        <color indexed="8"/>
        <rFont val="Arial"/>
        <family val="2"/>
      </rPr>
      <t>Do you suffer from any blood clotting disorder ? / Вы страдаете каким-либо расстройством свертываемости крови?</t>
    </r>
  </si>
  <si>
    <r>
      <rPr>
        <sz val="10"/>
        <color indexed="12"/>
        <rFont val="Arial"/>
        <family val="2"/>
      </rPr>
      <t>General health &gt;&gt; Have you ever experienced any of the following ailments / condition ? / Общее состояние здоровья &gt;&gt; Бывали у вас какие-либо из указанных ниже заболеваний / состояний?</t>
    </r>
  </si>
  <si>
    <r>
      <rPr>
        <b/>
        <sz val="10"/>
        <color indexed="8"/>
        <rFont val="Arial"/>
        <family val="2"/>
      </rPr>
      <t>Diabetes / Диабет</t>
    </r>
  </si>
  <si>
    <r>
      <rPr>
        <b/>
        <sz val="10"/>
        <color indexed="8"/>
        <rFont val="Arial"/>
        <family val="2"/>
      </rPr>
      <t>Cancer / Рак</t>
    </r>
  </si>
  <si>
    <r>
      <rPr>
        <b/>
        <sz val="10"/>
        <color indexed="8"/>
        <rFont val="Arial"/>
        <family val="2"/>
      </rPr>
      <t>Thyroid disorder / Заболевания щитовидной железы</t>
    </r>
  </si>
  <si>
    <r>
      <rPr>
        <b/>
        <sz val="10"/>
        <color indexed="8"/>
        <rFont val="Arial"/>
        <family val="2"/>
      </rPr>
      <t>Thrombosis or embolism / Тромбоз или эмболия</t>
    </r>
  </si>
  <si>
    <r>
      <rPr>
        <b/>
        <sz val="10"/>
        <color indexed="8"/>
        <rFont val="Arial"/>
        <family val="2"/>
      </rPr>
      <t>Stroke / Инфаркт или инсульт</t>
    </r>
  </si>
  <si>
    <r>
      <rPr>
        <b/>
        <sz val="10"/>
        <color indexed="8"/>
        <rFont val="Arial"/>
        <family val="2"/>
      </rPr>
      <t>(Epileptic) Seizures / (Эпилептические) припадки</t>
    </r>
  </si>
  <si>
    <r>
      <rPr>
        <b/>
        <sz val="10"/>
        <color indexed="8"/>
        <rFont val="Arial"/>
        <family val="2"/>
      </rPr>
      <t>Psychiatric problems (i.e. burn out or depression) / Психиатрические проблемы (т.е. нервное истощение или депрессия)</t>
    </r>
  </si>
  <si>
    <r>
      <rPr>
        <b/>
        <sz val="10"/>
        <color indexed="8"/>
        <rFont val="Arial"/>
        <family val="2"/>
      </rPr>
      <t>Dreams, nightmares / Кошмары</t>
    </r>
  </si>
  <si>
    <r>
      <rPr>
        <b/>
        <sz val="10"/>
        <color indexed="8"/>
        <rFont val="Arial"/>
        <family val="2"/>
      </rPr>
      <t>Headache / Головная боль</t>
    </r>
  </si>
  <si>
    <r>
      <rPr>
        <b/>
        <sz val="10"/>
        <color indexed="8"/>
        <rFont val="Arial"/>
        <family val="2"/>
      </rPr>
      <t>Dizziness / Головокружение</t>
    </r>
  </si>
  <si>
    <r>
      <rPr>
        <b/>
        <sz val="10"/>
        <color indexed="8"/>
        <rFont val="Arial"/>
        <family val="2"/>
      </rPr>
      <t>Reduced or blurry vision / Сниженное или затуманенное зрение</t>
    </r>
  </si>
  <si>
    <r>
      <rPr>
        <b/>
        <sz val="10"/>
        <color indexed="8"/>
        <rFont val="Arial"/>
        <family val="2"/>
      </rPr>
      <t>Hearing impairment / Нарушения слуха</t>
    </r>
  </si>
  <si>
    <r>
      <rPr>
        <b/>
        <sz val="10"/>
        <color indexed="8"/>
        <rFont val="Arial"/>
        <family val="2"/>
      </rPr>
      <t>Coughing / Кашель</t>
    </r>
  </si>
  <si>
    <r>
      <rPr>
        <b/>
        <sz val="10"/>
        <color indexed="8"/>
        <rFont val="Arial"/>
        <family val="2"/>
      </rPr>
      <t>Shortness of breath / Одышка</t>
    </r>
  </si>
  <si>
    <r>
      <rPr>
        <b/>
        <sz val="10"/>
        <color indexed="8"/>
        <rFont val="Arial"/>
        <family val="2"/>
      </rPr>
      <t>Sighing pain / Боль при вздохе</t>
    </r>
  </si>
  <si>
    <r>
      <rPr>
        <b/>
        <sz val="10"/>
        <color indexed="8"/>
        <rFont val="Arial"/>
        <family val="2"/>
      </rPr>
      <t>Flu / Грипп</t>
    </r>
  </si>
  <si>
    <r>
      <rPr>
        <b/>
        <sz val="10"/>
        <color indexed="8"/>
        <rFont val="Arial"/>
        <family val="2"/>
      </rPr>
      <t>Throat ache / Боль в горле</t>
    </r>
  </si>
  <si>
    <r>
      <rPr>
        <b/>
        <sz val="10"/>
        <color indexed="8"/>
        <rFont val="Arial"/>
        <family val="2"/>
      </rPr>
      <t>Ear pain / Боль в ухе</t>
    </r>
  </si>
  <si>
    <r>
      <rPr>
        <b/>
        <sz val="10"/>
        <color indexed="8"/>
        <rFont val="Arial"/>
        <family val="2"/>
      </rPr>
      <t>Bronchitis, asthma / Бронхит, астма</t>
    </r>
  </si>
  <si>
    <r>
      <rPr>
        <b/>
        <sz val="10"/>
        <color indexed="8"/>
        <rFont val="Arial"/>
        <family val="2"/>
      </rPr>
      <t>High blood pressure / Высокое кровяное давление</t>
    </r>
  </si>
  <si>
    <r>
      <rPr>
        <b/>
        <sz val="10"/>
        <color indexed="8"/>
        <rFont val="Arial"/>
        <family val="2"/>
      </rPr>
      <t>Heart disorders / Нарушения сердечного ритма</t>
    </r>
  </si>
  <si>
    <r>
      <rPr>
        <b/>
        <sz val="10"/>
        <color indexed="8"/>
        <rFont val="Arial"/>
        <family val="2"/>
      </rPr>
      <t>Chest pain / Боль в груди</t>
    </r>
  </si>
  <si>
    <r>
      <rPr>
        <sz val="10"/>
        <color indexed="12"/>
        <rFont val="Arial"/>
        <family val="2"/>
      </rPr>
      <t>General health &gt;&gt; Have you ever experienced any of the following complaints ? / Общее состояние здоровья &gt;&gt; Бывали у вас какие-либо из указанных ниже заболеваний / состояний?</t>
    </r>
  </si>
  <si>
    <r>
      <rPr>
        <b/>
        <sz val="10"/>
        <color indexed="8"/>
        <rFont val="Arial"/>
        <family val="2"/>
      </rPr>
      <t>Palpitations / Учащенное сердцебиение</t>
    </r>
  </si>
  <si>
    <r>
      <rPr>
        <b/>
        <sz val="10"/>
        <color indexed="8"/>
        <rFont val="Arial"/>
        <family val="2"/>
      </rPr>
      <t>Vasculair prosthesis, pacemaker / Шунтирование сосудов</t>
    </r>
  </si>
  <si>
    <r>
      <rPr>
        <b/>
        <sz val="10"/>
        <color indexed="8"/>
        <rFont val="Arial"/>
        <family val="2"/>
      </rPr>
      <t>Swollen ankles / Опухшие лодыжки</t>
    </r>
  </si>
  <si>
    <r>
      <rPr>
        <b/>
        <sz val="10"/>
        <color indexed="8"/>
        <rFont val="Arial"/>
        <family val="2"/>
      </rPr>
      <t>Gastric pain / Боль в желудке</t>
    </r>
  </si>
  <si>
    <r>
      <rPr>
        <b/>
        <sz val="10"/>
        <color indexed="8"/>
        <rFont val="Arial"/>
        <family val="2"/>
      </rPr>
      <t>Gastric acid / Изжога</t>
    </r>
  </si>
  <si>
    <r>
      <rPr>
        <b/>
        <sz val="10"/>
        <color indexed="8"/>
        <rFont val="Arial"/>
        <family val="2"/>
      </rPr>
      <t xml:space="preserve">Nausea / Тошнота </t>
    </r>
  </si>
  <si>
    <r>
      <rPr>
        <b/>
        <sz val="10"/>
        <color indexed="8"/>
        <rFont val="Arial"/>
        <family val="2"/>
      </rPr>
      <t>Stomach, cramps / Желудочные колики</t>
    </r>
  </si>
  <si>
    <r>
      <rPr>
        <b/>
        <sz val="10"/>
        <color indexed="8"/>
        <rFont val="Arial"/>
        <family val="2"/>
      </rPr>
      <t>nocturia / Ночная полиурия</t>
    </r>
  </si>
  <si>
    <r>
      <rPr>
        <b/>
        <sz val="10"/>
        <color indexed="8"/>
        <rFont val="Arial"/>
        <family val="2"/>
      </rPr>
      <t>Constipation / Запор</t>
    </r>
  </si>
  <si>
    <r>
      <rPr>
        <b/>
        <sz val="10"/>
        <color indexed="8"/>
        <rFont val="Arial"/>
        <family val="2"/>
      </rPr>
      <t>Diarrhea / Понос</t>
    </r>
  </si>
  <si>
    <r>
      <rPr>
        <b/>
        <sz val="10"/>
        <color indexed="8"/>
        <rFont val="Arial"/>
        <family val="2"/>
      </rPr>
      <t>Bloody stools / Стул с кровью</t>
    </r>
  </si>
  <si>
    <r>
      <rPr>
        <b/>
        <sz val="10"/>
        <color indexed="8"/>
        <rFont val="Arial"/>
        <family val="2"/>
      </rPr>
      <t>Liver problems / Проблемы с печенью</t>
    </r>
  </si>
  <si>
    <r>
      <rPr>
        <b/>
        <sz val="10"/>
        <color indexed="8"/>
        <rFont val="Arial"/>
        <family val="2"/>
      </rPr>
      <t>Kidney problems / Проблемы с почками</t>
    </r>
  </si>
  <si>
    <r>
      <rPr>
        <b/>
        <sz val="10"/>
        <color indexed="8"/>
        <rFont val="Arial"/>
        <family val="2"/>
      </rPr>
      <t>Micturition problems (i.e. weak urine stream, incontinence) / Проблемы с мочеиспусканием (т.е. слабая струя, недержание)</t>
    </r>
  </si>
  <si>
    <r>
      <rPr>
        <b/>
        <sz val="10"/>
        <color indexed="8"/>
        <rFont val="Arial"/>
        <family val="2"/>
      </rPr>
      <t>Sexually Transmitted Disease / Венерические болезни</t>
    </r>
  </si>
  <si>
    <r>
      <rPr>
        <b/>
        <sz val="10"/>
        <color indexed="8"/>
        <rFont val="Arial"/>
        <family val="2"/>
      </rPr>
      <t>Hernia / Грыжа</t>
    </r>
  </si>
  <si>
    <r>
      <rPr>
        <b/>
        <sz val="10"/>
        <color indexed="8"/>
        <rFont val="Arial"/>
        <family val="2"/>
      </rPr>
      <t>Varicose, hemorrhoids / Варикоз, геморрой</t>
    </r>
  </si>
  <si>
    <r>
      <rPr>
        <b/>
        <sz val="10"/>
        <color indexed="8"/>
        <rFont val="Arial"/>
        <family val="2"/>
      </rPr>
      <t>Pain in extremities (arms, legs), joints / Боли в конечностях (руках, ногах), суставах</t>
    </r>
  </si>
  <si>
    <r>
      <rPr>
        <b/>
        <sz val="10"/>
        <color indexed="8"/>
        <rFont val="Arial"/>
        <family val="2"/>
      </rPr>
      <t>Myalgia (muscle ache) / Миалгия (боль в мышцах)</t>
    </r>
  </si>
  <si>
    <r>
      <rPr>
        <b/>
        <sz val="10"/>
        <color indexed="8"/>
        <rFont val="Arial"/>
        <family val="2"/>
      </rPr>
      <t>Back pain / Боль в спине</t>
    </r>
  </si>
  <si>
    <r>
      <rPr>
        <b/>
        <sz val="10"/>
        <color indexed="8"/>
        <rFont val="Arial"/>
        <family val="2"/>
      </rPr>
      <t>Sore feet / Усталость в ногах</t>
    </r>
  </si>
  <si>
    <r>
      <rPr>
        <b/>
        <sz val="10"/>
        <color indexed="8"/>
        <rFont val="Arial"/>
        <family val="2"/>
      </rPr>
      <t>Skin diseases, eczema, psoriasis / Кожные болезни, экзема, псориаз</t>
    </r>
  </si>
  <si>
    <r>
      <rPr>
        <b/>
        <sz val="10"/>
        <color indexed="8"/>
        <rFont val="Arial"/>
        <family val="2"/>
      </rPr>
      <t>Skin rash / Сыпь</t>
    </r>
  </si>
  <si>
    <r>
      <rPr>
        <b/>
        <sz val="10"/>
        <color indexed="8"/>
        <rFont val="Arial"/>
        <family val="2"/>
      </rPr>
      <t>Itch / Чесотка</t>
    </r>
  </si>
  <si>
    <r>
      <rPr>
        <b/>
        <sz val="10"/>
        <color indexed="8"/>
        <rFont val="Arial"/>
        <family val="2"/>
      </rPr>
      <t>Mouth ulcers / Язвы в ротовой полости</t>
    </r>
  </si>
  <si>
    <r>
      <rPr>
        <b/>
        <sz val="10"/>
        <color indexed="8"/>
        <rFont val="Arial"/>
        <family val="2"/>
      </rPr>
      <t>Wounds, ulcers / Раны. язвы</t>
    </r>
  </si>
  <si>
    <r>
      <rPr>
        <b/>
        <sz val="10"/>
        <color indexed="8"/>
        <rFont val="Arial"/>
        <family val="2"/>
      </rPr>
      <t>Frequent infections / Частые инфекции</t>
    </r>
  </si>
  <si>
    <r>
      <rPr>
        <b/>
        <sz val="10"/>
        <color indexed="8"/>
        <rFont val="Arial"/>
        <family val="2"/>
      </rPr>
      <t>Insect bite, animal bite, sun burns / Укусы насекомыми, животными, солнечные ожоги</t>
    </r>
  </si>
  <si>
    <r>
      <rPr>
        <b/>
        <sz val="10"/>
        <color indexed="8"/>
        <rFont val="Arial"/>
        <family val="2"/>
      </rPr>
      <t>Cold or heat intolerance / Непереносимость холода или жары</t>
    </r>
  </si>
  <si>
    <r>
      <rPr>
        <sz val="10"/>
        <color indexed="12"/>
        <rFont val="Arial"/>
        <family val="2"/>
      </rPr>
      <t>General health &gt;&gt; General (Social) History: / Общее состояние здоровья &gt;&gt; Общая (социальная) история:</t>
    </r>
  </si>
  <si>
    <r>
      <rPr>
        <b/>
        <sz val="10"/>
        <color indexed="8"/>
        <rFont val="Arial"/>
        <family val="2"/>
      </rPr>
      <t>Have you been swimming in any lakes or rivers in the tropics ? / Плавали вы в каких-либо тропических озерах или реках?</t>
    </r>
  </si>
  <si>
    <r>
      <rPr>
        <b/>
        <sz val="10"/>
        <color indexed="8"/>
        <rFont val="Arial"/>
        <family val="2"/>
      </rPr>
      <t>Have you experienced conflicts with your family ? / Бывали у вас конфликты с семьей?</t>
    </r>
  </si>
  <si>
    <r>
      <rPr>
        <b/>
        <sz val="10"/>
        <color indexed="8"/>
        <rFont val="Arial"/>
        <family val="2"/>
      </rPr>
      <t>Have you experienced any conflicts at work ? / Бывали у вас конфликты на работе?</t>
    </r>
  </si>
  <si>
    <r>
      <rPr>
        <b/>
        <sz val="10"/>
        <color indexed="8"/>
        <rFont val="Arial"/>
        <family val="2"/>
      </rPr>
      <t>Are you able to fulfill your duties at work ? / Вы способны выполнять свои обязанности на работе?</t>
    </r>
  </si>
  <si>
    <r>
      <rPr>
        <b/>
        <sz val="10"/>
        <color indexed="8"/>
        <rFont val="Arial"/>
        <family val="2"/>
      </rPr>
      <t>Do you have other complaints concerning your health which you haven't seen in previous questions ? / Есть ли у вас другие жалобы на здоровье, не охваченные вышеперечисленными вопросами?</t>
    </r>
  </si>
  <si>
    <r>
      <rPr>
        <b/>
        <sz val="10"/>
        <color indexed="8"/>
        <rFont val="Arial"/>
        <family val="2"/>
      </rPr>
      <t>How would you consider your health at the moment ? / Как бы вы оценили свое состояние здоровья в данный момент?</t>
    </r>
  </si>
  <si>
    <r>
      <rPr>
        <b/>
        <sz val="10"/>
        <color indexed="8"/>
        <rFont val="Arial"/>
        <family val="2"/>
      </rPr>
      <t>Do you suffer from night blindness ? / Вы страдаете куриной слепотой?</t>
    </r>
  </si>
  <si>
    <r>
      <rPr>
        <b/>
        <sz val="10"/>
        <color indexed="8"/>
        <rFont val="Arial"/>
        <family val="2"/>
      </rPr>
      <t>Are you colorblind? / Вы дальтоник?</t>
    </r>
  </si>
  <si>
    <r>
      <rPr>
        <b/>
        <sz val="10"/>
        <color indexed="8"/>
        <rFont val="Arial"/>
        <family val="2"/>
      </rPr>
      <t>Have you had an eye laser treatment ? / Вы переносили лазерные операции на глазах?</t>
    </r>
  </si>
  <si>
    <r>
      <rPr>
        <b/>
        <sz val="10"/>
        <color indexed="8"/>
        <rFont val="Arial"/>
        <family val="2"/>
      </rPr>
      <t>Have you been using drugs in the last 5 years ? / Вы употребляли наркотики в течение последних пяти лет?</t>
    </r>
  </si>
  <si>
    <r>
      <rPr>
        <b/>
        <sz val="10"/>
        <color indexed="8"/>
        <rFont val="Arial"/>
        <family val="2"/>
      </rPr>
      <t>When was your latest dental visit ? / Когда в последний раз вы были у стоматолога?</t>
    </r>
  </si>
  <si>
    <r>
      <rPr>
        <b/>
        <sz val="10"/>
        <color indexed="8"/>
        <rFont val="Arial"/>
        <family val="2"/>
      </rPr>
      <t>Do you suffer from fear of heights / spaces / claustrophobia? / Вы боитесь высоты / открытого пространства / страдаете клаустрофобией?</t>
    </r>
  </si>
  <si>
    <r>
      <rPr>
        <b/>
        <sz val="10"/>
        <color indexed="8"/>
        <rFont val="Arial"/>
        <family val="2"/>
      </rPr>
      <t>Do you suffer from insomnia, sleep walking, bedwetting ? / Вы страдаете бессонницей, лунатизмом, энурезом?</t>
    </r>
  </si>
  <si>
    <r>
      <rPr>
        <sz val="10"/>
        <color indexed="8"/>
        <rFont val="Arial"/>
        <family val="2"/>
      </rPr>
      <t>Do you suffer from seasickness? / Вы страдаете морской болезнью?</t>
    </r>
  </si>
  <si>
    <r>
      <rPr>
        <i/>
        <sz val="10"/>
        <color indexed="8"/>
        <rFont val="Arial"/>
        <family val="2"/>
      </rPr>
      <t>Date and Place: / Дата и место:</t>
    </r>
  </si>
  <si>
    <r>
      <rPr>
        <b/>
        <sz val="10"/>
        <color indexed="8"/>
        <rFont val="Arial"/>
        <family val="2"/>
      </rPr>
      <t>Beneficiary Name (Full name as it appears on the account) / Банк-получатель (Полное название, как оно указывается на счете):</t>
    </r>
  </si>
  <si>
    <r>
      <rPr>
        <b/>
        <sz val="10"/>
        <color indexed="8"/>
        <rFont val="Arial"/>
        <family val="2"/>
      </rPr>
      <t>Beneficiary Home Address / Адрес банка-получателя:</t>
    </r>
  </si>
  <si>
    <r>
      <rPr>
        <b/>
        <sz val="10"/>
        <color indexed="8"/>
        <rFont val="Arial"/>
        <family val="2"/>
      </rPr>
      <t>Bank Name / Название банка:</t>
    </r>
  </si>
  <si>
    <r>
      <rPr>
        <b/>
        <sz val="10"/>
        <color indexed="8"/>
        <rFont val="Arial"/>
        <family val="2"/>
      </rPr>
      <t>Bank Address / Адрес банка:</t>
    </r>
  </si>
  <si>
    <r>
      <rPr>
        <b/>
        <sz val="10"/>
        <color indexed="8"/>
        <rFont val="Arial"/>
        <family val="2"/>
      </rPr>
      <t>City / State of Bank / Город / Штат банка:</t>
    </r>
  </si>
  <si>
    <r>
      <rPr>
        <b/>
        <sz val="10"/>
        <color indexed="8"/>
        <rFont val="Arial"/>
        <family val="2"/>
      </rPr>
      <t>Account Number / Номер счета:</t>
    </r>
  </si>
  <si>
    <r>
      <rPr>
        <b/>
        <sz val="10"/>
        <color indexed="8"/>
        <rFont val="Arial"/>
        <family val="2"/>
      </rPr>
      <t>Currency of account / Валюта счета:</t>
    </r>
  </si>
  <si>
    <r>
      <rPr>
        <b/>
        <sz val="10"/>
        <color indexed="8"/>
        <rFont val="Arial"/>
        <family val="2"/>
      </rPr>
      <t>IBAN Number / Номер IBAN:</t>
    </r>
  </si>
  <si>
    <r>
      <rPr>
        <b/>
        <sz val="10"/>
        <color indexed="8"/>
        <rFont val="Arial"/>
        <family val="2"/>
      </rPr>
      <t>Swift Code / Код Swift:</t>
    </r>
  </si>
  <si>
    <r>
      <rPr>
        <b/>
        <sz val="12"/>
        <color indexed="12"/>
        <rFont val="Arial"/>
        <family val="2"/>
      </rPr>
      <t>NOMINATION FORM / ФОРМА НАЗНАЧЕНИЯ</t>
    </r>
  </si>
  <si>
    <r>
      <rPr>
        <b/>
        <sz val="10"/>
        <color indexed="9"/>
        <rFont val="Arial"/>
        <family val="2"/>
      </rPr>
      <t>Name and Address / Имя и адрес:</t>
    </r>
  </si>
  <si>
    <r>
      <rPr>
        <b/>
        <sz val="10"/>
        <color indexed="22"/>
        <rFont val="Arial"/>
        <family val="2"/>
      </rPr>
      <t xml:space="preserve">Relationship / Отношения </t>
    </r>
  </si>
  <si>
    <r>
      <rPr>
        <b/>
        <sz val="10"/>
        <color indexed="9"/>
        <rFont val="Arial"/>
        <family val="2"/>
      </rPr>
      <t>Sr. No./Сер. №.</t>
    </r>
  </si>
  <si>
    <r>
      <rPr>
        <b/>
        <sz val="10"/>
        <color indexed="8"/>
        <rFont val="Arial"/>
        <family val="2"/>
      </rPr>
      <t>Full Name / Полное имя:</t>
    </r>
  </si>
  <si>
    <r>
      <rPr>
        <b/>
        <sz val="10"/>
        <color indexed="8"/>
        <rFont val="Arial"/>
        <family val="2"/>
      </rPr>
      <t>Agent used (if any): / Агент (если имеется):</t>
    </r>
  </si>
  <si>
    <r>
      <rPr>
        <sz val="10"/>
        <color indexed="8"/>
        <rFont val="Arial"/>
        <family val="2"/>
      </rPr>
      <t>In the event of any of the aforesaid beneficiaries predeceasing me prior to modification of this form by me, the amount which cannot be disbursed to such deceased person may be divided amongst the remaining beneficiaries in a manner which maintains the same proportion as stipulated above / В случае, если смерть любого из указанных выше получателей наступила раньше моей, и я не успел изменить сведения в данной форме, то сумма, которая не может быть выплачена покойному, может быть поделена между оставшимися получателями с соблюдением указанной здесь доли.</t>
    </r>
  </si>
  <si>
    <t>Male / мужской</t>
  </si>
  <si>
    <t>Female / женский</t>
  </si>
  <si>
    <r>
      <rPr>
        <i/>
        <sz val="10"/>
        <color indexed="8"/>
        <rFont val="Arial"/>
        <family val="2"/>
      </rPr>
      <t>I acknowledge and confirm that I have completed this questionnaire truth full and honestly and agree that any missing or wrong information can lead to termination of my seafarers employment contract. / Я признаю и подтверждаю, что заполнил эту анкету правдиво и честно и согласен с тем, что любая неуказанная или искаженная информация может послужить поводом для расторжения моего договора о найме моряка.</t>
    </r>
    <r>
      <rPr>
        <sz val="10"/>
        <color indexed="8"/>
        <rFont val="Arial"/>
        <family val="2"/>
      </rPr>
      <t xml:space="preserve"> </t>
    </r>
    <r>
      <rPr>
        <i/>
        <sz val="10"/>
        <color indexed="8"/>
        <rFont val="Arial"/>
        <family val="2"/>
      </rPr>
      <t xml:space="preserve">                                                                 </t>
    </r>
    <r>
      <rPr>
        <i/>
        <sz val="10"/>
        <color indexed="8"/>
        <rFont val="Arial"/>
        <family val="2"/>
      </rPr>
      <t>Printed Name and Signature:</t>
    </r>
    <r>
      <rPr>
        <i/>
        <sz val="10"/>
        <rFont val="Arial"/>
      </rPr>
      <t xml:space="preserve"> / Ф.И.О. печатными буквами и подпись</t>
    </r>
  </si>
  <si>
    <r>
      <rPr>
        <sz val="10"/>
        <color indexed="8"/>
        <rFont val="Arial"/>
        <family val="2"/>
      </rPr>
      <t>I hereby nominate the following person(s) to receive all payments in the event of any incident - acccident which has caused my death: / Настоящим я назначаю следующее лицо (лиц) получить все платежи в случае какого-либо происшествия, повлекшего мою смерть:</t>
    </r>
  </si>
  <si>
    <r>
      <rPr>
        <b/>
        <sz val="10"/>
        <color indexed="22"/>
        <rFont val="Arial"/>
        <family val="2"/>
      </rPr>
      <t>Proportion of Benefit (sum is 100%) / Получаемая доля (сумма 100%)</t>
    </r>
  </si>
  <si>
    <r>
      <rPr>
        <sz val="10"/>
        <color indexed="8"/>
        <rFont val="Arial"/>
        <family val="2"/>
      </rPr>
      <t xml:space="preserve">I acknowledge and confirm that I have completed this questionnaire truth full and honestly and agree that any missing or wrong information can lead to termination of my seafarers employment contract. / Я признаю и подтверждаю, что заполнил эту анкету правдиво и честно и согласен с тем, что любая неуказанная или искаженная информация может послужить поводом для расторжения моего договора о найме моряка. </t>
    </r>
    <r>
      <rPr>
        <i/>
        <sz val="10"/>
        <color indexed="8"/>
        <rFont val="Arial"/>
        <family val="2"/>
      </rPr>
      <t xml:space="preserve">                                                                                         </t>
    </r>
    <r>
      <rPr>
        <i/>
        <sz val="10"/>
        <color indexed="8"/>
        <rFont val="Arial"/>
        <family val="2"/>
      </rPr>
      <t>Printed Name and Signature</t>
    </r>
    <r>
      <rPr>
        <i/>
        <sz val="10"/>
        <rFont val="Arial"/>
      </rPr>
      <t xml:space="preserve"> / Ф.И.О. печатными буквами и подпись:</t>
    </r>
  </si>
  <si>
    <r>
      <rPr>
        <b/>
        <sz val="10"/>
        <color indexed="8"/>
        <rFont val="Arial"/>
        <family val="2"/>
      </rPr>
      <t>[select from dropdown menu / выбрать из выпадающего меню ]</t>
    </r>
  </si>
  <si>
    <t>D</t>
  </si>
  <si>
    <t>D</t>
  </si>
  <si>
    <t>D</t>
  </si>
  <si>
    <t>D</t>
  </si>
  <si>
    <t>D</t>
  </si>
  <si>
    <t xml:space="preserve">  </t>
  </si>
  <si>
    <t>D</t>
  </si>
  <si>
    <t/>
  </si>
  <si>
    <t/>
  </si>
  <si>
    <t>D</t>
  </si>
  <si>
    <r>
      <rPr>
        <b/>
        <sz val="8"/>
        <color indexed="8"/>
        <rFont val="Arial"/>
        <family val="2"/>
      </rPr>
      <t>City / Город</t>
    </r>
  </si>
  <si>
    <t/>
  </si>
  <si>
    <r>
      <rPr>
        <b/>
        <sz val="8"/>
        <color indexed="8"/>
        <rFont val="Arial"/>
        <family val="2"/>
      </rPr>
      <t>State / Штат</t>
    </r>
  </si>
  <si>
    <t/>
  </si>
  <si>
    <r>
      <rPr>
        <b/>
        <sz val="8"/>
        <color indexed="8"/>
        <rFont val="Arial"/>
        <family val="2"/>
      </rPr>
      <t>Country / Страна</t>
    </r>
  </si>
  <si>
    <t/>
  </si>
  <si>
    <t>D</t>
  </si>
  <si>
    <r>
      <rPr>
        <b/>
        <sz val="10"/>
        <color indexed="8"/>
        <rFont val="Arial"/>
        <family val="2"/>
      </rPr>
      <t xml:space="preserve">STD Code / Код STD </t>
    </r>
  </si>
  <si>
    <t/>
  </si>
  <si>
    <r>
      <rPr>
        <b/>
        <sz val="10"/>
        <color indexed="8"/>
        <rFont val="Arial"/>
        <family val="2"/>
      </rPr>
      <t xml:space="preserve">Res. / Местожительство </t>
    </r>
  </si>
  <si>
    <t/>
  </si>
  <si>
    <r>
      <rPr>
        <b/>
        <sz val="10"/>
        <color indexed="8"/>
        <rFont val="Arial"/>
        <family val="2"/>
      </rPr>
      <t>Fax / Факс:</t>
    </r>
  </si>
  <si>
    <t/>
  </si>
  <si>
    <r>
      <rPr>
        <b/>
        <sz val="9"/>
        <color indexed="8"/>
        <rFont val="Arial"/>
        <family val="2"/>
      </rPr>
      <t>Mobile / Мобильный:</t>
    </r>
  </si>
  <si>
    <t/>
  </si>
  <si>
    <r>
      <rPr>
        <b/>
        <sz val="9"/>
        <color indexed="8"/>
        <rFont val="Arial"/>
        <family val="2"/>
      </rPr>
      <t>Email / Электронная почта</t>
    </r>
  </si>
  <si>
    <t/>
  </si>
  <si>
    <t>D</t>
  </si>
  <si>
    <t/>
  </si>
  <si>
    <t>D</t>
  </si>
  <si>
    <t/>
  </si>
  <si>
    <t>D</t>
  </si>
  <si>
    <t/>
  </si>
  <si>
    <t>D</t>
  </si>
  <si>
    <t/>
  </si>
  <si>
    <t>D</t>
  </si>
  <si>
    <r>
      <rPr>
        <b/>
        <sz val="10"/>
        <color indexed="8"/>
        <rFont val="Arial"/>
        <family val="2"/>
      </rPr>
      <t>City/Country / Город/Страна</t>
    </r>
  </si>
  <si>
    <r>
      <rPr>
        <b/>
        <sz val="10"/>
        <rFont val="Arial"/>
        <family val="2"/>
      </rPr>
      <t xml:space="preserve">From / С </t>
    </r>
  </si>
  <si>
    <r>
      <rPr>
        <b/>
        <sz val="10"/>
        <rFont val="Arial"/>
        <family val="2"/>
      </rPr>
      <t>To / По</t>
    </r>
  </si>
  <si>
    <r>
      <rPr>
        <b/>
        <sz val="10"/>
        <rFont val="Arial"/>
        <family val="2"/>
      </rPr>
      <t>Percentage / Набранный процент</t>
    </r>
  </si>
  <si>
    <r>
      <rPr>
        <b/>
        <sz val="10"/>
        <rFont val="Arial"/>
        <family val="2"/>
      </rPr>
      <t>Grade / Разряд</t>
    </r>
  </si>
  <si>
    <t/>
  </si>
  <si>
    <r>
      <rPr>
        <b/>
        <sz val="10"/>
        <color indexed="8"/>
        <rFont val="Arial"/>
        <family val="2"/>
      </rPr>
      <t xml:space="preserve"> [date format - dd/mmm/yy / формат даты - дд/ммм/гг ]</t>
    </r>
  </si>
  <si>
    <t>D</t>
  </si>
  <si>
    <t/>
  </si>
  <si>
    <t>D</t>
  </si>
  <si>
    <t/>
  </si>
  <si>
    <t>D</t>
  </si>
  <si>
    <t/>
  </si>
  <si>
    <t>D</t>
  </si>
  <si>
    <r>
      <rPr>
        <b/>
        <sz val="10"/>
        <color indexed="8"/>
        <rFont val="Arial"/>
        <family val="2"/>
      </rPr>
      <t>Country / Страна</t>
    </r>
  </si>
  <si>
    <t>D</t>
  </si>
  <si>
    <t>D</t>
  </si>
  <si>
    <t>D</t>
  </si>
  <si>
    <t>D</t>
  </si>
  <si>
    <t>D</t>
  </si>
  <si>
    <r>
      <rPr>
        <b/>
        <sz val="8"/>
        <color indexed="8"/>
        <rFont val="Arial"/>
        <family val="2"/>
      </rPr>
      <t>Place of Issue / Место выдачи</t>
    </r>
  </si>
  <si>
    <r>
      <rPr>
        <b/>
        <sz val="8"/>
        <color indexed="8"/>
        <rFont val="Arial"/>
        <family val="2"/>
      </rPr>
      <t>Date of Issue / Дата выпуска</t>
    </r>
  </si>
  <si>
    <r>
      <rPr>
        <b/>
        <sz val="8"/>
        <color indexed="8"/>
        <rFont val="Arial"/>
        <family val="2"/>
      </rPr>
      <t>Date of Expiry / Срок действия</t>
    </r>
  </si>
  <si>
    <t>D</t>
  </si>
  <si>
    <r>
      <rPr>
        <b/>
        <sz val="8"/>
        <color indexed="8"/>
        <rFont val="Arial"/>
        <family val="2"/>
      </rPr>
      <t>Place of Issue / Место выдачи</t>
    </r>
  </si>
  <si>
    <r>
      <rPr>
        <b/>
        <sz val="8"/>
        <color indexed="8"/>
        <rFont val="Arial"/>
        <family val="2"/>
      </rPr>
      <t>Date of Issue / Дата выпуска</t>
    </r>
  </si>
  <si>
    <r>
      <rPr>
        <b/>
        <sz val="8"/>
        <color indexed="8"/>
        <rFont val="Arial"/>
        <family val="2"/>
      </rPr>
      <t>Date of Expiry / Срок действия</t>
    </r>
  </si>
  <si>
    <t>D</t>
  </si>
  <si>
    <r>
      <rPr>
        <b/>
        <sz val="10"/>
        <color indexed="8"/>
        <rFont val="Arial"/>
        <family val="2"/>
      </rPr>
      <t>[select from dropdown menu / выбрать из выпадающего меню ]</t>
    </r>
  </si>
  <si>
    <t>D</t>
  </si>
  <si>
    <t>D</t>
  </si>
  <si>
    <t>D</t>
  </si>
  <si>
    <t>D</t>
  </si>
  <si>
    <t>D</t>
  </si>
  <si>
    <r>
      <rPr>
        <b/>
        <sz val="9"/>
        <color indexed="8"/>
        <rFont val="Arial"/>
        <family val="2"/>
      </rPr>
      <t>Date of Issue / Дата выпуска</t>
    </r>
  </si>
  <si>
    <r>
      <rPr>
        <b/>
        <sz val="9"/>
        <color indexed="8"/>
        <rFont val="Arial"/>
        <family val="2"/>
      </rPr>
      <t>Date of Expiry / Срок действия</t>
    </r>
  </si>
  <si>
    <r>
      <rPr>
        <b/>
        <sz val="10"/>
        <color indexed="8"/>
        <rFont val="Arial"/>
        <family val="2"/>
      </rPr>
      <t>Place of Issue / Место выдачи</t>
    </r>
  </si>
  <si>
    <t>D</t>
  </si>
  <si>
    <t>D</t>
  </si>
  <si>
    <t>D</t>
  </si>
  <si>
    <t>D</t>
  </si>
  <si>
    <t>D</t>
  </si>
  <si>
    <t>D</t>
  </si>
  <si>
    <t>D</t>
  </si>
  <si>
    <t>D</t>
  </si>
  <si>
    <r>
      <rPr>
        <b/>
        <sz val="10"/>
        <color indexed="8"/>
        <rFont val="Arial"/>
        <family val="2"/>
      </rPr>
      <t>Number / Номер</t>
    </r>
  </si>
  <si>
    <r>
      <rPr>
        <b/>
        <sz val="10"/>
        <color indexed="8"/>
        <rFont val="Arial"/>
        <family val="2"/>
      </rPr>
      <t>Date of Expiry / Срок действия</t>
    </r>
  </si>
  <si>
    <t>D</t>
  </si>
  <si>
    <t>D</t>
  </si>
  <si>
    <t>D</t>
  </si>
  <si>
    <t>D</t>
  </si>
  <si>
    <t>D</t>
  </si>
  <si>
    <t>D</t>
  </si>
  <si>
    <t>D</t>
  </si>
  <si>
    <t>D</t>
  </si>
  <si>
    <t>D</t>
  </si>
  <si>
    <t>D</t>
  </si>
  <si>
    <t>D</t>
  </si>
  <si>
    <t>D</t>
  </si>
  <si>
    <r>
      <rPr>
        <b/>
        <sz val="10"/>
        <color indexed="8"/>
        <rFont val="Arial"/>
        <family val="2"/>
      </rPr>
      <t>Number / Номер</t>
    </r>
  </si>
  <si>
    <r>
      <rPr>
        <b/>
        <sz val="9"/>
        <color indexed="8"/>
        <rFont val="Arial"/>
        <family val="2"/>
      </rPr>
      <t>Date of Issue / Дата выпуска</t>
    </r>
  </si>
  <si>
    <r>
      <rPr>
        <b/>
        <sz val="9"/>
        <color indexed="8"/>
        <rFont val="Arial"/>
        <family val="2"/>
      </rPr>
      <t>Issuing Country / Страна выдачи</t>
    </r>
  </si>
  <si>
    <r>
      <rPr>
        <b/>
        <sz val="10"/>
        <color indexed="8"/>
        <rFont val="Arial"/>
        <family val="2"/>
      </rPr>
      <t xml:space="preserve"> [date format - dd/mmm/yy / формат даты - дд/ммм/гг ]</t>
    </r>
  </si>
  <si>
    <t>D</t>
  </si>
  <si>
    <t>D</t>
  </si>
  <si>
    <t>D</t>
  </si>
  <si>
    <t>D</t>
  </si>
  <si>
    <t>D</t>
  </si>
  <si>
    <t>D</t>
  </si>
  <si>
    <t>D</t>
  </si>
  <si>
    <t>D</t>
  </si>
  <si>
    <t>D</t>
  </si>
  <si>
    <t>D</t>
  </si>
  <si>
    <t>D</t>
  </si>
  <si>
    <t>D</t>
  </si>
  <si>
    <t>D</t>
  </si>
  <si>
    <t>D</t>
  </si>
  <si>
    <t>D</t>
  </si>
  <si>
    <t>D</t>
  </si>
  <si>
    <t>D</t>
  </si>
  <si>
    <r>
      <rPr>
        <b/>
        <sz val="8"/>
        <rFont val="Arial"/>
        <family val="2"/>
      </rPr>
      <t xml:space="preserve">From / С </t>
    </r>
  </si>
  <si>
    <r>
      <rPr>
        <b/>
        <sz val="8"/>
        <rFont val="Arial"/>
        <family val="2"/>
      </rPr>
      <t>To / По</t>
    </r>
  </si>
  <si>
    <r>
      <rPr>
        <b/>
        <sz val="10"/>
        <color indexed="8"/>
        <rFont val="Arial"/>
        <family val="2"/>
      </rPr>
      <t xml:space="preserve"> [date format - dd/mmm/yy / формат даты - дд/ммм/гг ]</t>
    </r>
  </si>
  <si>
    <t>D</t>
  </si>
  <si>
    <t>D</t>
  </si>
  <si>
    <t>D</t>
  </si>
  <si>
    <t>D</t>
  </si>
  <si>
    <t>D</t>
  </si>
  <si>
    <t>D</t>
  </si>
  <si>
    <t>D</t>
  </si>
  <si>
    <t>D</t>
  </si>
  <si>
    <t>D</t>
  </si>
  <si>
    <t>D</t>
  </si>
  <si>
    <t>D</t>
  </si>
  <si>
    <t>D</t>
  </si>
  <si>
    <t>D</t>
  </si>
  <si>
    <t>D</t>
  </si>
  <si>
    <t>D</t>
  </si>
  <si>
    <t>D</t>
  </si>
  <si>
    <t>D</t>
  </si>
  <si>
    <t>D</t>
  </si>
  <si>
    <t>D</t>
  </si>
  <si>
    <t>D</t>
  </si>
  <si>
    <t>D</t>
  </si>
  <si>
    <t>D</t>
  </si>
  <si>
    <t>D</t>
  </si>
  <si>
    <t>D</t>
  </si>
  <si>
    <t>D</t>
  </si>
  <si>
    <t>D</t>
  </si>
  <si>
    <r>
      <rPr>
        <b/>
        <sz val="10"/>
        <color indexed="8"/>
        <rFont val="Arial"/>
        <family val="2"/>
      </rPr>
      <t>[select from dropdown menu / выбрать из выпадающего меню ]</t>
    </r>
  </si>
  <si>
    <t>D</t>
  </si>
  <si>
    <t>D</t>
  </si>
  <si>
    <t>D</t>
  </si>
  <si>
    <r>
      <rPr>
        <b/>
        <sz val="10"/>
        <color indexed="8"/>
        <rFont val="Arial"/>
        <family val="2"/>
      </rPr>
      <t>[select from dropdown menu / выбрать из выпадающего меню ]</t>
    </r>
  </si>
  <si>
    <t>D</t>
  </si>
  <si>
    <t>D</t>
  </si>
  <si>
    <t>D</t>
  </si>
  <si>
    <r>
      <rPr>
        <b/>
        <sz val="10"/>
        <color indexed="8"/>
        <rFont val="Arial"/>
        <family val="2"/>
      </rPr>
      <t>[select from dropdown menu / выбрать из выпадающего меню ]</t>
    </r>
  </si>
  <si>
    <t>D</t>
  </si>
  <si>
    <t>D</t>
  </si>
  <si>
    <t>D</t>
  </si>
  <si>
    <r>
      <rPr>
        <b/>
        <sz val="10"/>
        <color indexed="8"/>
        <rFont val="Arial"/>
        <family val="2"/>
      </rPr>
      <t>[select from dropdown menu / выбрать из выпадающего меню ]</t>
    </r>
  </si>
  <si>
    <t>D</t>
  </si>
  <si>
    <t>D</t>
  </si>
  <si>
    <t>D</t>
  </si>
  <si>
    <r>
      <rPr>
        <b/>
        <sz val="10"/>
        <color indexed="8"/>
        <rFont val="Arial"/>
        <family val="2"/>
      </rPr>
      <t>[select from dropdown menu / выбрать из выпадающего меню ]</t>
    </r>
  </si>
  <si>
    <t>D</t>
  </si>
  <si>
    <t>D</t>
  </si>
  <si>
    <t>D</t>
  </si>
  <si>
    <r>
      <rPr>
        <b/>
        <sz val="10"/>
        <color indexed="8"/>
        <rFont val="Arial"/>
        <family val="2"/>
      </rPr>
      <t>[select from dropdown menu / выбрать из выпадающего меню ]</t>
    </r>
  </si>
  <si>
    <t>D</t>
  </si>
  <si>
    <t>D</t>
  </si>
  <si>
    <t>D</t>
  </si>
  <si>
    <r>
      <rPr>
        <b/>
        <sz val="10"/>
        <color indexed="8"/>
        <rFont val="Arial"/>
        <family val="2"/>
      </rPr>
      <t>Name / Ф.И.О.</t>
    </r>
  </si>
  <si>
    <r>
      <rPr>
        <b/>
        <sz val="10"/>
        <color indexed="8"/>
        <rFont val="Arial"/>
        <family val="2"/>
      </rPr>
      <t>Company Name / Название компании</t>
    </r>
  </si>
  <si>
    <t>D</t>
  </si>
  <si>
    <t>D</t>
  </si>
  <si>
    <t>D</t>
  </si>
  <si>
    <t>D</t>
  </si>
  <si>
    <r>
      <rPr>
        <sz val="8"/>
        <color indexed="8"/>
        <rFont val="Arial"/>
        <family val="2"/>
      </rPr>
      <t>A</t>
    </r>
  </si>
  <si>
    <t>D</t>
  </si>
  <si>
    <r>
      <rPr>
        <sz val="8"/>
        <color indexed="8"/>
        <rFont val="Arial"/>
        <family val="2"/>
      </rPr>
      <t>B</t>
    </r>
  </si>
  <si>
    <t>D</t>
  </si>
  <si>
    <r>
      <rPr>
        <b/>
        <sz val="10"/>
        <color indexed="8"/>
        <rFont val="Arial"/>
        <family val="2"/>
      </rPr>
      <t>[select from dropdown menu / выбрать из выпадающего меню ]</t>
    </r>
  </si>
  <si>
    <t>D</t>
  </si>
  <si>
    <t>D</t>
  </si>
  <si>
    <t>D</t>
  </si>
  <si>
    <r>
      <rPr>
        <b/>
        <sz val="10"/>
        <color indexed="8"/>
        <rFont val="Arial"/>
        <family val="2"/>
      </rPr>
      <t>Date / Дата:</t>
    </r>
  </si>
  <si>
    <r>
      <rPr>
        <b/>
        <sz val="10"/>
        <color indexed="8"/>
        <rFont val="Arial"/>
        <family val="2"/>
      </rPr>
      <t>SIGNATURE OF APPLICANT / ПОДПИСЬ ЗАЯВИТЕЛЯ</t>
    </r>
  </si>
  <si>
    <r>
      <rPr>
        <sz val="10"/>
        <color indexed="8"/>
        <rFont val="Arial"/>
        <family val="2"/>
      </rPr>
      <t>E-mail: seacareers@eurasiagroup.com</t>
    </r>
  </si>
  <si>
    <r>
      <rPr>
        <b/>
        <sz val="10"/>
        <color indexed="8"/>
        <rFont val="Arial"/>
        <family val="2"/>
      </rPr>
      <t>Date:</t>
    </r>
  </si>
  <si>
    <t>D</t>
  </si>
  <si>
    <t>D</t>
  </si>
  <si>
    <r>
      <rPr>
        <sz val="8"/>
        <color indexed="18"/>
        <rFont val="Arial"/>
        <family val="2"/>
      </rPr>
      <t>Australia</t>
    </r>
  </si>
  <si>
    <t>Yes</t>
  </si>
  <si>
    <r>
      <rPr>
        <sz val="8"/>
        <color indexed="18"/>
        <rFont val="Arial"/>
        <family val="2"/>
      </rPr>
      <t>Hong Kong</t>
    </r>
  </si>
  <si>
    <r>
      <rPr>
        <sz val="8"/>
        <color indexed="18"/>
        <rFont val="Arial"/>
        <family val="2"/>
      </rPr>
      <t>India</t>
    </r>
  </si>
  <si>
    <r>
      <rPr>
        <sz val="8"/>
        <color indexed="18"/>
        <rFont val="Arial"/>
        <family val="2"/>
      </rPr>
      <t>Ireland</t>
    </r>
  </si>
  <si>
    <r>
      <rPr>
        <sz val="8"/>
        <color indexed="18"/>
        <rFont val="Arial"/>
        <family val="2"/>
      </rPr>
      <t>Other</t>
    </r>
  </si>
  <si>
    <r>
      <rPr>
        <sz val="8"/>
        <color indexed="18"/>
        <rFont val="Arial"/>
        <family val="2"/>
      </rPr>
      <t>N.Zealand</t>
    </r>
  </si>
  <si>
    <r>
      <rPr>
        <sz val="8"/>
        <color indexed="18"/>
        <rFont val="Arial"/>
        <family val="2"/>
      </rPr>
      <t>Singapore</t>
    </r>
  </si>
  <si>
    <r>
      <rPr>
        <sz val="8"/>
        <color indexed="18"/>
        <rFont val="Arial"/>
        <family val="2"/>
      </rPr>
      <t>U.K.</t>
    </r>
  </si>
  <si>
    <r>
      <rPr>
        <sz val="8"/>
        <color indexed="18"/>
        <rFont val="Arial"/>
        <family val="2"/>
      </rPr>
      <t>Other</t>
    </r>
  </si>
  <si>
    <r>
      <rPr>
        <sz val="8"/>
        <color indexed="62"/>
        <rFont val="Arial"/>
        <family val="2"/>
      </rPr>
      <t>Delhi</t>
    </r>
  </si>
  <si>
    <r>
      <rPr>
        <sz val="8"/>
        <color indexed="62"/>
        <rFont val="Arial"/>
        <family val="2"/>
      </rPr>
      <t>Town</t>
    </r>
  </si>
  <si>
    <r>
      <rPr>
        <sz val="10"/>
        <rFont val="Arial"/>
      </rPr>
      <t>AGUILLA</t>
    </r>
  </si>
  <si>
    <r>
      <rPr>
        <sz val="10"/>
        <rFont val="Arial"/>
        <family val="2"/>
      </rPr>
      <t>2ND ENGINEER</t>
    </r>
  </si>
  <si>
    <r>
      <rPr>
        <sz val="10"/>
        <rFont val="Arial"/>
      </rPr>
      <t>Yes</t>
    </r>
  </si>
  <si>
    <r>
      <rPr>
        <sz val="10"/>
        <rFont val="Arial"/>
      </rPr>
      <t>ALBANIAN</t>
    </r>
  </si>
  <si>
    <r>
      <rPr>
        <sz val="10"/>
        <rFont val="Arial"/>
        <family val="2"/>
      </rPr>
      <t>2ND OFFICER</t>
    </r>
  </si>
  <si>
    <r>
      <rPr>
        <sz val="10"/>
        <rFont val="Arial"/>
      </rPr>
      <t>No</t>
    </r>
  </si>
  <si>
    <r>
      <rPr>
        <sz val="10"/>
        <rFont val="Arial"/>
      </rPr>
      <t>ALGERIA</t>
    </r>
  </si>
  <si>
    <r>
      <rPr>
        <sz val="10"/>
        <rFont val="Arial"/>
      </rPr>
      <t>ALGERIA</t>
    </r>
  </si>
  <si>
    <r>
      <rPr>
        <sz val="10"/>
        <rFont val="Arial"/>
        <family val="2"/>
      </rPr>
      <t>3RD ENGINEER</t>
    </r>
  </si>
  <si>
    <r>
      <rPr>
        <sz val="10"/>
        <rFont val="Arial"/>
      </rPr>
      <t>AMERICAN SAMOA</t>
    </r>
  </si>
  <si>
    <r>
      <rPr>
        <sz val="10"/>
        <rFont val="Arial"/>
      </rPr>
      <t>ANDORRA</t>
    </r>
  </si>
  <si>
    <r>
      <rPr>
        <sz val="10"/>
        <rFont val="Arial"/>
        <family val="2"/>
      </rPr>
      <t>3RD OFFICER</t>
    </r>
  </si>
  <si>
    <r>
      <rPr>
        <sz val="10"/>
        <rFont val="Arial"/>
      </rPr>
      <t>ANDORRA</t>
    </r>
  </si>
  <si>
    <r>
      <rPr>
        <sz val="10"/>
        <rFont val="Arial"/>
      </rPr>
      <t>COMPANION</t>
    </r>
  </si>
  <si>
    <r>
      <rPr>
        <sz val="10"/>
        <rFont val="Arial"/>
      </rPr>
      <t>ANGOLA</t>
    </r>
  </si>
  <si>
    <r>
      <rPr>
        <sz val="10"/>
        <rFont val="Arial"/>
        <family val="2"/>
      </rPr>
      <t>AB-COOK</t>
    </r>
  </si>
  <si>
    <r>
      <rPr>
        <sz val="10"/>
        <rFont val="Arial"/>
      </rPr>
      <t>ANGOLA</t>
    </r>
  </si>
  <si>
    <r>
      <rPr>
        <sz val="10"/>
        <rFont val="Arial"/>
      </rPr>
      <t>ANTIGUA / BARBUDA</t>
    </r>
  </si>
  <si>
    <r>
      <rPr>
        <sz val="10"/>
        <rFont val="Arial"/>
        <family val="2"/>
      </rPr>
      <t>ASST DIVE SUPERVISOR</t>
    </r>
  </si>
  <si>
    <r>
      <rPr>
        <sz val="10"/>
        <rFont val="Arial"/>
      </rPr>
      <t>ANTIGUA / BARBUDA</t>
    </r>
  </si>
  <si>
    <r>
      <rPr>
        <sz val="10"/>
        <rFont val="Arial"/>
        <family val="2"/>
      </rPr>
      <t>BERTHING MASTER ASSISTANT</t>
    </r>
  </si>
  <si>
    <r>
      <rPr>
        <sz val="10"/>
        <rFont val="Arial"/>
      </rPr>
      <t>BOSUN</t>
    </r>
  </si>
  <si>
    <r>
      <rPr>
        <sz val="10"/>
        <rFont val="Arial"/>
      </rPr>
      <t>ARGENTINIAN</t>
    </r>
  </si>
  <si>
    <r>
      <rPr>
        <sz val="10"/>
        <rFont val="Arial"/>
        <family val="2"/>
      </rPr>
      <t>BOSUN</t>
    </r>
  </si>
  <si>
    <r>
      <rPr>
        <sz val="10"/>
        <rFont val="Arial"/>
      </rPr>
      <t>ARMENIAN</t>
    </r>
  </si>
  <si>
    <r>
      <rPr>
        <sz val="10"/>
        <rFont val="Arial"/>
      </rPr>
      <t>ARUBA</t>
    </r>
  </si>
  <si>
    <r>
      <rPr>
        <sz val="10"/>
        <rFont val="Arial"/>
        <family val="2"/>
      </rPr>
      <t>CHIEF ENGINEER</t>
    </r>
  </si>
  <si>
    <r>
      <rPr>
        <sz val="10"/>
        <rFont val="Arial"/>
      </rPr>
      <t>ARUBA</t>
    </r>
  </si>
  <si>
    <r>
      <rPr>
        <sz val="10"/>
        <rFont val="Arial"/>
        <family val="2"/>
      </rPr>
      <t>CHIEF OFFICER</t>
    </r>
  </si>
  <si>
    <r>
      <rPr>
        <sz val="10"/>
        <rFont val="Arial"/>
      </rPr>
      <t>ASCENSION</t>
    </r>
  </si>
  <si>
    <r>
      <rPr>
        <sz val="10"/>
        <rFont val="Arial"/>
        <family val="2"/>
      </rPr>
      <t>CONTRACT MANAGER</t>
    </r>
  </si>
  <si>
    <r>
      <rPr>
        <sz val="10"/>
        <rFont val="Arial"/>
      </rPr>
      <t>AUSTRALIAN</t>
    </r>
  </si>
  <si>
    <r>
      <rPr>
        <sz val="10"/>
        <rFont val="Arial"/>
      </rPr>
      <t>OTHERS</t>
    </r>
  </si>
  <si>
    <r>
      <rPr>
        <sz val="10"/>
        <rFont val="Arial"/>
        <family val="2"/>
      </rPr>
      <t>COOK</t>
    </r>
  </si>
  <si>
    <r>
      <rPr>
        <sz val="10"/>
        <rFont val="Arial"/>
      </rPr>
      <t>AZERBAIJAN</t>
    </r>
  </si>
  <si>
    <r>
      <rPr>
        <sz val="10"/>
        <rFont val="Arial"/>
        <family val="2"/>
      </rPr>
      <t>DECK CADET</t>
    </r>
  </si>
  <si>
    <r>
      <rPr>
        <sz val="10"/>
        <rFont val="Arial"/>
      </rPr>
      <t>AGUILLA</t>
    </r>
  </si>
  <si>
    <r>
      <rPr>
        <sz val="10"/>
        <rFont val="Arial"/>
      </rPr>
      <t>AZERBAIJAN</t>
    </r>
  </si>
  <si>
    <r>
      <rPr>
        <sz val="10"/>
        <rFont val="Arial"/>
      </rPr>
      <t>AZORES</t>
    </r>
  </si>
  <si>
    <r>
      <rPr>
        <sz val="10"/>
        <rFont val="Arial"/>
        <family val="2"/>
      </rPr>
      <t>DECK TRAINEE</t>
    </r>
  </si>
  <si>
    <r>
      <rPr>
        <sz val="10"/>
        <rFont val="Arial"/>
      </rPr>
      <t>AZORES</t>
    </r>
  </si>
  <si>
    <r>
      <rPr>
        <sz val="10"/>
        <rFont val="Arial"/>
        <family val="2"/>
      </rPr>
      <t>DIVE SUPERVISOR</t>
    </r>
  </si>
  <si>
    <r>
      <rPr>
        <sz val="10"/>
        <rFont val="Arial"/>
      </rPr>
      <t>BAHAMIAN</t>
    </r>
  </si>
  <si>
    <r>
      <rPr>
        <sz val="10"/>
        <rFont val="Arial"/>
      </rPr>
      <t>BAHRAIN</t>
    </r>
  </si>
  <si>
    <r>
      <rPr>
        <sz val="10"/>
        <rFont val="Arial"/>
        <family val="2"/>
      </rPr>
      <t>DIVER</t>
    </r>
  </si>
  <si>
    <r>
      <rPr>
        <sz val="10"/>
        <rFont val="Arial"/>
      </rPr>
      <t>BAHRAIN</t>
    </r>
  </si>
  <si>
    <r>
      <rPr>
        <sz val="10"/>
        <rFont val="Arial"/>
      </rPr>
      <t>BANGLADESH</t>
    </r>
  </si>
  <si>
    <r>
      <rPr>
        <sz val="10"/>
        <rFont val="Arial"/>
        <family val="2"/>
      </rPr>
      <t>DIVER MEDIC</t>
    </r>
  </si>
  <si>
    <r>
      <rPr>
        <sz val="10"/>
        <rFont val="Arial"/>
      </rPr>
      <t>BANGLADESH</t>
    </r>
  </si>
  <si>
    <r>
      <rPr>
        <sz val="10"/>
        <rFont val="Arial"/>
      </rPr>
      <t>BARBADOS</t>
    </r>
  </si>
  <si>
    <r>
      <rPr>
        <sz val="10"/>
        <rFont val="Arial"/>
        <family val="2"/>
      </rPr>
      <t>DPO</t>
    </r>
  </si>
  <si>
    <r>
      <rPr>
        <sz val="10"/>
        <rFont val="Arial"/>
      </rPr>
      <t>BARBADOS</t>
    </r>
  </si>
  <si>
    <r>
      <rPr>
        <sz val="10"/>
        <rFont val="Arial"/>
      </rPr>
      <t>ELECTRICIAN</t>
    </r>
  </si>
  <si>
    <r>
      <rPr>
        <sz val="10"/>
        <rFont val="Arial"/>
      </rPr>
      <t>BELGIAN</t>
    </r>
  </si>
  <si>
    <r>
      <rPr>
        <sz val="10"/>
        <rFont val="Arial"/>
      </rPr>
      <t>BELIZE</t>
    </r>
  </si>
  <si>
    <r>
      <rPr>
        <sz val="10"/>
        <rFont val="Arial"/>
      </rPr>
      <t>ENGINE CADET</t>
    </r>
  </si>
  <si>
    <r>
      <rPr>
        <sz val="10"/>
        <rFont val="Arial"/>
      </rPr>
      <t>FITTER</t>
    </r>
  </si>
  <si>
    <r>
      <rPr>
        <sz val="10"/>
        <rFont val="Arial"/>
      </rPr>
      <t>BELIZE</t>
    </r>
  </si>
  <si>
    <r>
      <rPr>
        <sz val="10"/>
        <rFont val="Arial"/>
      </rPr>
      <t>FITTER</t>
    </r>
  </si>
  <si>
    <r>
      <rPr>
        <sz val="10"/>
        <rFont val="Arial"/>
      </rPr>
      <t>BELORUSSIAN</t>
    </r>
  </si>
  <si>
    <r>
      <rPr>
        <sz val="10"/>
        <rFont val="Arial"/>
      </rPr>
      <t>BENIN</t>
    </r>
  </si>
  <si>
    <r>
      <rPr>
        <sz val="10"/>
        <rFont val="Arial"/>
      </rPr>
      <t>LEAD DIVER</t>
    </r>
  </si>
  <si>
    <r>
      <rPr>
        <sz val="10"/>
        <rFont val="Arial"/>
      </rPr>
      <t>BENIN</t>
    </r>
  </si>
  <si>
    <r>
      <rPr>
        <sz val="10"/>
        <rFont val="Arial"/>
      </rPr>
      <t>LEAD SEAMAN</t>
    </r>
  </si>
  <si>
    <r>
      <rPr>
        <sz val="10"/>
        <rFont val="Arial"/>
      </rPr>
      <t>MASTER</t>
    </r>
  </si>
  <si>
    <r>
      <rPr>
        <sz val="10"/>
        <rFont val="Arial"/>
      </rPr>
      <t>BERMUDIAN</t>
    </r>
  </si>
  <si>
    <r>
      <rPr>
        <sz val="10"/>
        <rFont val="Arial"/>
      </rPr>
      <t>MASTER</t>
    </r>
  </si>
  <si>
    <r>
      <rPr>
        <sz val="10"/>
        <rFont val="Arial"/>
      </rPr>
      <t>BRAZILIAN</t>
    </r>
  </si>
  <si>
    <r>
      <rPr>
        <sz val="10"/>
        <rFont val="Arial"/>
      </rPr>
      <t>BRUNEI</t>
    </r>
  </si>
  <si>
    <r>
      <rPr>
        <sz val="10"/>
        <rFont val="Arial"/>
      </rPr>
      <t>MECHANIC</t>
    </r>
  </si>
  <si>
    <r>
      <rPr>
        <sz val="10"/>
        <rFont val="Arial"/>
      </rPr>
      <t>BRITISH</t>
    </r>
  </si>
  <si>
    <r>
      <rPr>
        <sz val="10"/>
        <rFont val="Arial"/>
      </rPr>
      <t>BULGARIAN</t>
    </r>
  </si>
  <si>
    <r>
      <rPr>
        <sz val="10"/>
        <rFont val="Arial"/>
      </rPr>
      <t>OFFCER OF NAV WATCH</t>
    </r>
  </si>
  <si>
    <r>
      <rPr>
        <sz val="10"/>
        <rFont val="Arial"/>
      </rPr>
      <t>BRUNEI</t>
    </r>
  </si>
  <si>
    <r>
      <rPr>
        <sz val="10"/>
        <rFont val="Arial"/>
      </rPr>
      <t>OFFICER ON WATCH - ENGINE</t>
    </r>
  </si>
  <si>
    <r>
      <rPr>
        <sz val="10"/>
        <rFont val="Arial"/>
      </rPr>
      <t>OILER</t>
    </r>
  </si>
  <si>
    <r>
      <rPr>
        <sz val="10"/>
        <rFont val="Arial"/>
      </rPr>
      <t>BULGARIAN</t>
    </r>
  </si>
  <si>
    <r>
      <rPr>
        <sz val="10"/>
        <rFont val="Arial"/>
      </rPr>
      <t>CAMEROON</t>
    </r>
  </si>
  <si>
    <r>
      <rPr>
        <sz val="10"/>
        <rFont val="Arial"/>
      </rPr>
      <t>OILER</t>
    </r>
  </si>
  <si>
    <r>
      <rPr>
        <sz val="10"/>
        <rFont val="Arial"/>
      </rPr>
      <t>CAMBODIAN</t>
    </r>
  </si>
  <si>
    <r>
      <rPr>
        <sz val="10"/>
        <rFont val="Arial"/>
      </rPr>
      <t>ORDINARY SEAMAN</t>
    </r>
  </si>
  <si>
    <r>
      <rPr>
        <sz val="10"/>
        <rFont val="Arial"/>
      </rPr>
      <t>CAMEROON</t>
    </r>
  </si>
  <si>
    <r>
      <rPr>
        <sz val="10"/>
        <rFont val="Arial"/>
      </rPr>
      <t>PILOT</t>
    </r>
  </si>
  <si>
    <r>
      <rPr>
        <sz val="10"/>
        <rFont val="Arial"/>
      </rPr>
      <t>CANADIAN</t>
    </r>
  </si>
  <si>
    <r>
      <rPr>
        <sz val="10"/>
        <rFont val="Arial"/>
      </rPr>
      <t>RADIO OFFICER</t>
    </r>
  </si>
  <si>
    <r>
      <rPr>
        <sz val="10"/>
        <rFont val="Arial"/>
      </rPr>
      <t>CAYMAN ISLANDS</t>
    </r>
  </si>
  <si>
    <r>
      <rPr>
        <sz val="10"/>
        <rFont val="Arial"/>
      </rPr>
      <t>CAYMAN ISLANDS</t>
    </r>
  </si>
  <si>
    <r>
      <rPr>
        <sz val="10"/>
        <rFont val="Arial"/>
      </rPr>
      <t>SEAMAN</t>
    </r>
  </si>
  <si>
    <r>
      <rPr>
        <sz val="10"/>
        <rFont val="Arial"/>
      </rPr>
      <t>CHILEAN</t>
    </r>
  </si>
  <si>
    <r>
      <rPr>
        <sz val="10"/>
        <rFont val="Arial"/>
      </rPr>
      <t>STEWARD</t>
    </r>
  </si>
  <si>
    <r>
      <rPr>
        <sz val="10"/>
        <rFont val="Arial"/>
      </rPr>
      <t>CHINESE</t>
    </r>
  </si>
  <si>
    <r>
      <rPr>
        <sz val="10"/>
        <rFont val="Arial"/>
      </rPr>
      <t>CHINESE</t>
    </r>
  </si>
  <si>
    <r>
      <rPr>
        <sz val="10"/>
        <rFont val="Arial"/>
      </rPr>
      <t>COLOMBIAN</t>
    </r>
  </si>
  <si>
    <r>
      <rPr>
        <sz val="10"/>
        <rFont val="Arial"/>
      </rPr>
      <t>COMORES</t>
    </r>
  </si>
  <si>
    <r>
      <rPr>
        <sz val="10"/>
        <rFont val="Arial"/>
      </rPr>
      <t>COMORES</t>
    </r>
  </si>
  <si>
    <r>
      <rPr>
        <sz val="10"/>
        <rFont val="Arial"/>
      </rPr>
      <t>WIFE</t>
    </r>
  </si>
  <si>
    <r>
      <rPr>
        <sz val="10"/>
        <rFont val="Arial"/>
      </rPr>
      <t>CONGO</t>
    </r>
  </si>
  <si>
    <r>
      <rPr>
        <sz val="10"/>
        <rFont val="Arial"/>
      </rPr>
      <t>CONGO</t>
    </r>
  </si>
  <si>
    <r>
      <rPr>
        <sz val="10"/>
        <rFont val="Arial"/>
      </rPr>
      <t>COOK ISLANDS</t>
    </r>
  </si>
  <si>
    <r>
      <rPr>
        <sz val="10"/>
        <rFont val="Arial"/>
      </rPr>
      <t>COOK ISLANDS</t>
    </r>
  </si>
  <si>
    <r>
      <rPr>
        <sz val="10"/>
        <rFont val="Arial"/>
      </rPr>
      <t>COSTA RICAN</t>
    </r>
  </si>
  <si>
    <r>
      <rPr>
        <sz val="10"/>
        <rFont val="Arial"/>
      </rPr>
      <t>CROATIAN</t>
    </r>
  </si>
  <si>
    <r>
      <rPr>
        <sz val="10"/>
        <rFont val="Arial"/>
      </rPr>
      <t>CROATIAN</t>
    </r>
  </si>
  <si>
    <r>
      <rPr>
        <sz val="10"/>
        <rFont val="Arial"/>
      </rPr>
      <t>CUBAN</t>
    </r>
  </si>
  <si>
    <r>
      <rPr>
        <sz val="10"/>
        <rFont val="Arial"/>
      </rPr>
      <t>CURACAO</t>
    </r>
  </si>
  <si>
    <r>
      <rPr>
        <sz val="10"/>
        <rFont val="Arial"/>
      </rPr>
      <t>CURACAO</t>
    </r>
  </si>
  <si>
    <r>
      <rPr>
        <sz val="10"/>
        <rFont val="Arial"/>
      </rPr>
      <t>CYPRIOT</t>
    </r>
  </si>
  <si>
    <r>
      <rPr>
        <sz val="10"/>
        <rFont val="Arial"/>
      </rPr>
      <t>CZECH</t>
    </r>
  </si>
  <si>
    <r>
      <rPr>
        <sz val="10"/>
        <rFont val="Arial"/>
      </rPr>
      <t>CZECH</t>
    </r>
  </si>
  <si>
    <r>
      <rPr>
        <sz val="10"/>
        <rFont val="Arial"/>
      </rPr>
      <t>ARUBA</t>
    </r>
  </si>
  <si>
    <r>
      <rPr>
        <sz val="10"/>
        <rFont val="Arial"/>
      </rPr>
      <t>DANISH</t>
    </r>
  </si>
  <si>
    <r>
      <rPr>
        <sz val="10"/>
        <rFont val="Arial"/>
      </rPr>
      <t>DANISH</t>
    </r>
  </si>
  <si>
    <r>
      <rPr>
        <sz val="10"/>
        <rFont val="Arial"/>
      </rPr>
      <t>DJOUBOUTI</t>
    </r>
  </si>
  <si>
    <r>
      <rPr>
        <sz val="10"/>
        <rFont val="Arial"/>
      </rPr>
      <t>DJOUBOUTI</t>
    </r>
  </si>
  <si>
    <r>
      <rPr>
        <sz val="10"/>
        <rFont val="Arial"/>
      </rPr>
      <t>DOMINICA</t>
    </r>
  </si>
  <si>
    <r>
      <rPr>
        <sz val="10"/>
        <rFont val="Arial"/>
      </rPr>
      <t>DOMINICA</t>
    </r>
  </si>
  <si>
    <r>
      <rPr>
        <sz val="10"/>
        <rFont val="Arial"/>
      </rPr>
      <t>OTHER</t>
    </r>
  </si>
  <si>
    <r>
      <rPr>
        <sz val="10"/>
        <rFont val="Arial"/>
      </rPr>
      <t>310HD</t>
    </r>
  </si>
  <si>
    <r>
      <rPr>
        <sz val="10"/>
        <rFont val="Arial"/>
      </rPr>
      <t>DOMINICAN</t>
    </r>
  </si>
  <si>
    <r>
      <rPr>
        <sz val="10"/>
        <rFont val="Arial"/>
      </rPr>
      <t>ECUADORIAN</t>
    </r>
  </si>
  <si>
    <r>
      <rPr>
        <sz val="10"/>
        <rFont val="Arial"/>
      </rPr>
      <t>EGYPTIAN</t>
    </r>
  </si>
  <si>
    <r>
      <rPr>
        <sz val="10"/>
        <rFont val="Arial"/>
      </rPr>
      <t>ESTONIAN</t>
    </r>
  </si>
  <si>
    <r>
      <rPr>
        <sz val="10"/>
        <rFont val="Arial"/>
      </rPr>
      <t>EQUATORIAL GUINEAN</t>
    </r>
  </si>
  <si>
    <r>
      <rPr>
        <sz val="10"/>
        <rFont val="Arial"/>
      </rPr>
      <t>ESTONIAN</t>
    </r>
  </si>
  <si>
    <r>
      <rPr>
        <sz val="10"/>
        <rFont val="Arial"/>
      </rPr>
      <t>FAEROES ISLANDS</t>
    </r>
  </si>
  <si>
    <r>
      <rPr>
        <sz val="10"/>
        <rFont val="Arial"/>
      </rPr>
      <t>ETHIOPIAN</t>
    </r>
  </si>
  <si>
    <r>
      <rPr>
        <sz val="10"/>
        <rFont val="Arial"/>
      </rPr>
      <t>FALKLAND ISLANDS</t>
    </r>
  </si>
  <si>
    <r>
      <rPr>
        <sz val="10"/>
        <rFont val="Arial"/>
      </rPr>
      <t>FAEROES ISLANDS</t>
    </r>
  </si>
  <si>
    <r>
      <rPr>
        <sz val="10"/>
        <rFont val="Arial"/>
      </rPr>
      <t>BAHRAIN</t>
    </r>
  </si>
  <si>
    <r>
      <rPr>
        <sz val="10"/>
        <rFont val="Arial"/>
      </rPr>
      <t>FIJI</t>
    </r>
  </si>
  <si>
    <r>
      <rPr>
        <sz val="10"/>
        <rFont val="Arial"/>
      </rPr>
      <t>FALKLAND ISLANDS</t>
    </r>
  </si>
  <si>
    <r>
      <rPr>
        <sz val="10"/>
        <rFont val="Arial"/>
      </rPr>
      <t>FILIPINO</t>
    </r>
  </si>
  <si>
    <r>
      <rPr>
        <sz val="10"/>
        <rFont val="Arial"/>
      </rPr>
      <t>FIJI</t>
    </r>
  </si>
  <si>
    <r>
      <rPr>
        <sz val="10"/>
        <rFont val="Arial"/>
      </rPr>
      <t>FILIPINO</t>
    </r>
  </si>
  <si>
    <r>
      <rPr>
        <sz val="10"/>
        <rFont val="Arial"/>
      </rPr>
      <t>FRENCH</t>
    </r>
  </si>
  <si>
    <r>
      <rPr>
        <sz val="10"/>
        <rFont val="Arial"/>
      </rPr>
      <t>FINLAND</t>
    </r>
  </si>
  <si>
    <r>
      <rPr>
        <sz val="10"/>
        <rFont val="Arial"/>
      </rPr>
      <t>FINNISH</t>
    </r>
  </si>
  <si>
    <r>
      <rPr>
        <sz val="10"/>
        <rFont val="Arial"/>
      </rPr>
      <t>GABON</t>
    </r>
  </si>
  <si>
    <r>
      <rPr>
        <sz val="10"/>
        <rFont val="Arial"/>
      </rPr>
      <t>FRENCH</t>
    </r>
  </si>
  <si>
    <r>
      <rPr>
        <sz val="10"/>
        <rFont val="Arial"/>
      </rPr>
      <t>FRENCH POLYNESIAN</t>
    </r>
  </si>
  <si>
    <r>
      <rPr>
        <sz val="10"/>
        <rFont val="Arial"/>
      </rPr>
      <t>GERMAN</t>
    </r>
  </si>
  <si>
    <r>
      <rPr>
        <sz val="10"/>
        <rFont val="Arial"/>
      </rPr>
      <t>GABON</t>
    </r>
  </si>
  <si>
    <r>
      <rPr>
        <sz val="10"/>
        <rFont val="Arial"/>
      </rPr>
      <t>GAMBIAN</t>
    </r>
  </si>
  <si>
    <r>
      <rPr>
        <sz val="10"/>
        <rFont val="Arial"/>
      </rPr>
      <t>GEORGIAN</t>
    </r>
  </si>
  <si>
    <r>
      <rPr>
        <sz val="10"/>
        <rFont val="Arial"/>
      </rPr>
      <t>GIBRALTAR</t>
    </r>
  </si>
  <si>
    <r>
      <rPr>
        <sz val="10"/>
        <rFont val="Arial"/>
      </rPr>
      <t>GERMAN</t>
    </r>
  </si>
  <si>
    <r>
      <rPr>
        <sz val="10"/>
        <rFont val="Arial"/>
      </rPr>
      <t>GREEK</t>
    </r>
  </si>
  <si>
    <r>
      <rPr>
        <sz val="10"/>
        <rFont val="Arial"/>
      </rPr>
      <t>GERMAN ISR</t>
    </r>
  </si>
  <si>
    <r>
      <rPr>
        <sz val="10"/>
        <rFont val="Arial"/>
      </rPr>
      <t>BARBADOS</t>
    </r>
  </si>
  <si>
    <r>
      <rPr>
        <sz val="10"/>
        <rFont val="Arial"/>
      </rPr>
      <t>GREENLAND</t>
    </r>
  </si>
  <si>
    <r>
      <rPr>
        <sz val="10"/>
        <rFont val="Arial"/>
      </rPr>
      <t>GHANEAN</t>
    </r>
  </si>
  <si>
    <r>
      <rPr>
        <sz val="10"/>
        <rFont val="Arial"/>
      </rPr>
      <t>GIBRALTAR</t>
    </r>
  </si>
  <si>
    <r>
      <rPr>
        <sz val="10"/>
        <rFont val="Arial"/>
      </rPr>
      <t>GUADELOUPE</t>
    </r>
  </si>
  <si>
    <r>
      <rPr>
        <sz val="10"/>
        <rFont val="Arial"/>
      </rPr>
      <t>GUAM</t>
    </r>
  </si>
  <si>
    <r>
      <rPr>
        <sz val="10"/>
        <rFont val="Arial"/>
      </rPr>
      <t>GREEK</t>
    </r>
  </si>
  <si>
    <r>
      <rPr>
        <sz val="10"/>
        <rFont val="Arial"/>
      </rPr>
      <t>GREENLAND</t>
    </r>
  </si>
  <si>
    <r>
      <rPr>
        <sz val="10"/>
        <rFont val="Arial"/>
      </rPr>
      <t>GUINEA BISSAU</t>
    </r>
  </si>
  <si>
    <r>
      <rPr>
        <sz val="10"/>
        <rFont val="Arial"/>
      </rPr>
      <t>GRENADAN</t>
    </r>
  </si>
  <si>
    <r>
      <rPr>
        <sz val="10"/>
        <rFont val="Arial"/>
      </rPr>
      <t>GUADELOUPE</t>
    </r>
  </si>
  <si>
    <r>
      <rPr>
        <sz val="10"/>
        <rFont val="Arial"/>
      </rPr>
      <t>GUAM</t>
    </r>
  </si>
  <si>
    <r>
      <rPr>
        <sz val="10"/>
        <rFont val="Arial"/>
      </rPr>
      <t>GUATEMALAN</t>
    </r>
  </si>
  <si>
    <r>
      <rPr>
        <sz val="10"/>
        <rFont val="Arial"/>
      </rPr>
      <t>HAITI</t>
    </r>
  </si>
  <si>
    <r>
      <rPr>
        <sz val="10"/>
        <rFont val="Arial"/>
      </rPr>
      <t>GUINEA BISSAU</t>
    </r>
  </si>
  <si>
    <r>
      <rPr>
        <sz val="10"/>
        <rFont val="Arial"/>
      </rPr>
      <t>HOLLAND</t>
    </r>
  </si>
  <si>
    <r>
      <rPr>
        <sz val="10"/>
        <rFont val="Arial"/>
      </rPr>
      <t>GUINEAN</t>
    </r>
  </si>
  <si>
    <r>
      <rPr>
        <sz val="10"/>
        <rFont val="Arial"/>
      </rPr>
      <t>HONDURAS</t>
    </r>
  </si>
  <si>
    <r>
      <rPr>
        <sz val="10"/>
        <rFont val="Arial"/>
      </rPr>
      <t>GUYANAN</t>
    </r>
  </si>
  <si>
    <r>
      <rPr>
        <sz val="10"/>
        <rFont val="Arial"/>
      </rPr>
      <t>ELECTRICIAN</t>
    </r>
  </si>
  <si>
    <r>
      <rPr>
        <sz val="10"/>
        <rFont val="Arial"/>
      </rPr>
      <t>HONG KONG</t>
    </r>
  </si>
  <si>
    <r>
      <rPr>
        <sz val="10"/>
        <rFont val="Arial"/>
      </rPr>
      <t>GUYANEAN</t>
    </r>
  </si>
  <si>
    <r>
      <rPr>
        <sz val="10"/>
        <rFont val="Arial"/>
      </rPr>
      <t>HUNGARIAN</t>
    </r>
  </si>
  <si>
    <r>
      <rPr>
        <sz val="10"/>
        <rFont val="Arial"/>
      </rPr>
      <t>HAITI</t>
    </r>
  </si>
  <si>
    <r>
      <rPr>
        <sz val="10"/>
        <rFont val="Arial"/>
      </rPr>
      <t>HONDURAS</t>
    </r>
  </si>
  <si>
    <r>
      <rPr>
        <sz val="10"/>
        <rFont val="Arial"/>
      </rPr>
      <t>HONG KONG</t>
    </r>
  </si>
  <si>
    <r>
      <rPr>
        <sz val="10"/>
        <rFont val="Arial"/>
      </rPr>
      <t>HUNGARIAN</t>
    </r>
  </si>
  <si>
    <r>
      <rPr>
        <sz val="10"/>
        <rFont val="Arial"/>
      </rPr>
      <t>ICELANDIC</t>
    </r>
  </si>
  <si>
    <r>
      <rPr>
        <sz val="10"/>
        <rFont val="Arial"/>
      </rPr>
      <t>INDIAN</t>
    </r>
  </si>
  <si>
    <r>
      <rPr>
        <sz val="10"/>
        <rFont val="Arial"/>
      </rPr>
      <t>ISLE OF MAN</t>
    </r>
  </si>
  <si>
    <r>
      <rPr>
        <sz val="10"/>
        <rFont val="Arial"/>
      </rPr>
      <t>INDONESIAN</t>
    </r>
  </si>
  <si>
    <r>
      <rPr>
        <sz val="10"/>
        <rFont val="Arial"/>
      </rPr>
      <t>BELIZE</t>
    </r>
  </si>
  <si>
    <r>
      <rPr>
        <sz val="10"/>
        <rFont val="Arial"/>
      </rPr>
      <t>IRANIAN</t>
    </r>
  </si>
  <si>
    <r>
      <rPr>
        <sz val="10"/>
        <rFont val="Arial"/>
      </rPr>
      <t>ITALIAN</t>
    </r>
  </si>
  <si>
    <r>
      <rPr>
        <sz val="10"/>
        <rFont val="Arial"/>
      </rPr>
      <t>IVORY COAST</t>
    </r>
  </si>
  <si>
    <r>
      <rPr>
        <sz val="10"/>
        <rFont val="Arial"/>
      </rPr>
      <t>IRISH</t>
    </r>
  </si>
  <si>
    <r>
      <rPr>
        <sz val="10"/>
        <rFont val="Arial"/>
      </rPr>
      <t>ISLE OF MAN</t>
    </r>
  </si>
  <si>
    <r>
      <rPr>
        <sz val="10"/>
        <rFont val="Arial"/>
      </rPr>
      <t>JAPANESE</t>
    </r>
  </si>
  <si>
    <r>
      <rPr>
        <sz val="10"/>
        <rFont val="Arial"/>
      </rPr>
      <t>ISRAELI</t>
    </r>
  </si>
  <si>
    <r>
      <rPr>
        <sz val="10"/>
        <rFont val="Arial"/>
      </rPr>
      <t>ITALIAN</t>
    </r>
  </si>
  <si>
    <r>
      <rPr>
        <sz val="10"/>
        <rFont val="Arial"/>
      </rPr>
      <t>KERGUELEN</t>
    </r>
  </si>
  <si>
    <r>
      <rPr>
        <sz val="10"/>
        <rFont val="Arial"/>
      </rPr>
      <t>IVORY COAST</t>
    </r>
  </si>
  <si>
    <r>
      <rPr>
        <sz val="10"/>
        <rFont val="Arial"/>
      </rPr>
      <t>KIRIBATI</t>
    </r>
  </si>
  <si>
    <r>
      <rPr>
        <sz val="10"/>
        <rFont val="Arial"/>
      </rPr>
      <t>JAMAICAN</t>
    </r>
  </si>
  <si>
    <r>
      <rPr>
        <sz val="10"/>
        <rFont val="Arial"/>
      </rPr>
      <t>LATVIAN</t>
    </r>
  </si>
  <si>
    <r>
      <rPr>
        <sz val="10"/>
        <rFont val="Arial"/>
      </rPr>
      <t>JAPANESE</t>
    </r>
  </si>
  <si>
    <r>
      <rPr>
        <sz val="10"/>
        <rFont val="Arial"/>
      </rPr>
      <t>LATVIA-RIETUMU</t>
    </r>
  </si>
  <si>
    <r>
      <rPr>
        <sz val="10"/>
        <rFont val="Arial"/>
      </rPr>
      <t>JORDANIAN</t>
    </r>
  </si>
  <si>
    <r>
      <rPr>
        <sz val="10"/>
        <rFont val="Arial"/>
      </rPr>
      <t>BERMUDA</t>
    </r>
  </si>
  <si>
    <r>
      <rPr>
        <sz val="10"/>
        <rFont val="Arial"/>
      </rPr>
      <t>KERGUELEN</t>
    </r>
  </si>
  <si>
    <r>
      <rPr>
        <sz val="10"/>
        <rFont val="Arial"/>
      </rPr>
      <t>KIRIBATI</t>
    </r>
  </si>
  <si>
    <r>
      <rPr>
        <sz val="10"/>
        <rFont val="Arial"/>
      </rPr>
      <t>LUXEMBOURG</t>
    </r>
  </si>
  <si>
    <r>
      <rPr>
        <sz val="10"/>
        <rFont val="Arial"/>
      </rPr>
      <t>MADAGASCAR</t>
    </r>
  </si>
  <si>
    <r>
      <rPr>
        <sz val="10"/>
        <rFont val="Arial"/>
      </rPr>
      <t>MADEIRA</t>
    </r>
  </si>
  <si>
    <r>
      <rPr>
        <sz val="10"/>
        <rFont val="Arial"/>
      </rPr>
      <t>LATVIAN</t>
    </r>
  </si>
  <si>
    <r>
      <rPr>
        <sz val="10"/>
        <rFont val="Arial"/>
      </rPr>
      <t>MALAGASY</t>
    </r>
  </si>
  <si>
    <r>
      <rPr>
        <sz val="10"/>
        <rFont val="Arial"/>
      </rPr>
      <t>LEBANESE</t>
    </r>
  </si>
  <si>
    <r>
      <rPr>
        <sz val="10"/>
        <rFont val="Arial"/>
      </rPr>
      <t>LIBERIAN</t>
    </r>
  </si>
  <si>
    <r>
      <rPr>
        <sz val="10"/>
        <rFont val="Arial"/>
      </rPr>
      <t>MALDIVES</t>
    </r>
  </si>
  <si>
    <r>
      <rPr>
        <sz val="10"/>
        <rFont val="Arial"/>
      </rPr>
      <t>LIBYAN</t>
    </r>
  </si>
  <si>
    <r>
      <rPr>
        <sz val="10"/>
        <rFont val="Arial"/>
      </rPr>
      <t>LITHUANIAN</t>
    </r>
  </si>
  <si>
    <r>
      <rPr>
        <sz val="10"/>
        <rFont val="Arial"/>
      </rPr>
      <t>MARSHALL ISLANDS</t>
    </r>
  </si>
  <si>
    <r>
      <rPr>
        <sz val="10"/>
        <rFont val="Arial"/>
      </rPr>
      <t>LUXEMBOURG</t>
    </r>
  </si>
  <si>
    <r>
      <rPr>
        <sz val="10"/>
        <rFont val="Arial"/>
      </rPr>
      <t>MARTINIQUE</t>
    </r>
  </si>
  <si>
    <r>
      <rPr>
        <sz val="10"/>
        <rFont val="Arial"/>
      </rPr>
      <t>MADAGASCAR</t>
    </r>
  </si>
  <si>
    <r>
      <rPr>
        <sz val="10"/>
        <rFont val="Arial"/>
      </rPr>
      <t>MADEIRA</t>
    </r>
  </si>
  <si>
    <r>
      <rPr>
        <sz val="10"/>
        <rFont val="Arial"/>
      </rPr>
      <t>MAURITIUS</t>
    </r>
  </si>
  <si>
    <r>
      <rPr>
        <sz val="10"/>
        <rFont val="Arial"/>
      </rPr>
      <t>MALAGASY</t>
    </r>
  </si>
  <si>
    <r>
      <rPr>
        <sz val="10"/>
        <rFont val="Arial"/>
      </rPr>
      <t>MALAYSIAN</t>
    </r>
  </si>
  <si>
    <r>
      <rPr>
        <sz val="10"/>
        <rFont val="Arial"/>
      </rPr>
      <t>MALDIVES</t>
    </r>
  </si>
  <si>
    <r>
      <rPr>
        <sz val="10"/>
        <rFont val="Arial"/>
      </rPr>
      <t>MALTESE</t>
    </r>
  </si>
  <si>
    <r>
      <rPr>
        <sz val="10"/>
        <rFont val="Arial"/>
      </rPr>
      <t>MONACO</t>
    </r>
  </si>
  <si>
    <r>
      <rPr>
        <sz val="10"/>
        <rFont val="Arial"/>
      </rPr>
      <t>MARSHALL ISLANDS</t>
    </r>
  </si>
  <si>
    <r>
      <rPr>
        <sz val="10"/>
        <rFont val="Arial"/>
      </rPr>
      <t>MOZAMBIQUE</t>
    </r>
  </si>
  <si>
    <r>
      <rPr>
        <sz val="10"/>
        <rFont val="Arial"/>
      </rPr>
      <t>MARTINIQUE</t>
    </r>
  </si>
  <si>
    <r>
      <rPr>
        <sz val="10"/>
        <rFont val="Arial"/>
      </rPr>
      <t>MYANMAR</t>
    </r>
  </si>
  <si>
    <r>
      <rPr>
        <sz val="10"/>
        <rFont val="Arial"/>
      </rPr>
      <t>MAURITANIAN</t>
    </r>
  </si>
  <si>
    <r>
      <rPr>
        <sz val="10"/>
        <rFont val="Arial"/>
      </rPr>
      <t>MAURITIUS</t>
    </r>
  </si>
  <si>
    <r>
      <rPr>
        <sz val="10"/>
        <rFont val="Arial"/>
      </rPr>
      <t>NAURU</t>
    </r>
  </si>
  <si>
    <r>
      <rPr>
        <sz val="10"/>
        <rFont val="Arial"/>
      </rPr>
      <t>MEXICAN</t>
    </r>
  </si>
  <si>
    <r>
      <rPr>
        <sz val="10"/>
        <rFont val="Arial"/>
      </rPr>
      <t>NETHERLANDS</t>
    </r>
  </si>
  <si>
    <r>
      <rPr>
        <sz val="10"/>
        <rFont val="Arial"/>
      </rPr>
      <t>MICRONESIAN</t>
    </r>
  </si>
  <si>
    <r>
      <rPr>
        <sz val="10"/>
        <rFont val="Arial"/>
      </rPr>
      <t>NETHERLANDS ANTILLES</t>
    </r>
  </si>
  <si>
    <r>
      <rPr>
        <sz val="10"/>
        <rFont val="Arial"/>
      </rPr>
      <t>MOLDOVIAN</t>
    </r>
  </si>
  <si>
    <r>
      <rPr>
        <sz val="10"/>
        <rFont val="Arial"/>
      </rPr>
      <t>MONACO</t>
    </r>
  </si>
  <si>
    <r>
      <rPr>
        <sz val="10"/>
        <rFont val="Arial"/>
      </rPr>
      <t>MYANMAR</t>
    </r>
  </si>
  <si>
    <r>
      <rPr>
        <sz val="10"/>
        <rFont val="Arial"/>
      </rPr>
      <t>NONE</t>
    </r>
  </si>
  <si>
    <r>
      <rPr>
        <sz val="10"/>
        <rFont val="Arial"/>
      </rPr>
      <t>NAURU</t>
    </r>
  </si>
  <si>
    <r>
      <rPr>
        <sz val="10"/>
        <rFont val="Arial"/>
      </rPr>
      <t>NETHERLANDS</t>
    </r>
  </si>
  <si>
    <r>
      <rPr>
        <sz val="10"/>
        <rFont val="Arial"/>
      </rPr>
      <t>NORWEGIAN</t>
    </r>
  </si>
  <si>
    <r>
      <rPr>
        <sz val="10"/>
        <rFont val="Arial"/>
      </rPr>
      <t>NETHERLANDS ANTILLES</t>
    </r>
  </si>
  <si>
    <r>
      <rPr>
        <sz val="10"/>
        <rFont val="Arial"/>
      </rPr>
      <t>NEW CALEDONIAN</t>
    </r>
  </si>
  <si>
    <r>
      <rPr>
        <sz val="10"/>
        <rFont val="Arial"/>
      </rPr>
      <t>NEW ZEALANDER</t>
    </r>
  </si>
  <si>
    <r>
      <rPr>
        <sz val="10"/>
        <rFont val="Arial"/>
      </rPr>
      <t>PALAU</t>
    </r>
  </si>
  <si>
    <r>
      <rPr>
        <sz val="10"/>
        <rFont val="Arial"/>
      </rPr>
      <t>NIGERIAN</t>
    </r>
  </si>
  <si>
    <r>
      <rPr>
        <sz val="10"/>
        <rFont val="Arial"/>
      </rPr>
      <t>NONE</t>
    </r>
  </si>
  <si>
    <r>
      <rPr>
        <sz val="10"/>
        <rFont val="Arial"/>
      </rPr>
      <t>NORTH KOREAN</t>
    </r>
  </si>
  <si>
    <r>
      <rPr>
        <sz val="10"/>
        <rFont val="Arial"/>
      </rPr>
      <t>NORWEGIAN</t>
    </r>
  </si>
  <si>
    <r>
      <rPr>
        <sz val="10"/>
        <rFont val="Arial"/>
      </rPr>
      <t>NORWEGIAN ISR</t>
    </r>
  </si>
  <si>
    <r>
      <rPr>
        <sz val="10"/>
        <rFont val="Arial"/>
      </rPr>
      <t>POLISH</t>
    </r>
  </si>
  <si>
    <r>
      <rPr>
        <sz val="10"/>
        <rFont val="Arial"/>
      </rPr>
      <t>OTHER</t>
    </r>
  </si>
  <si>
    <r>
      <rPr>
        <sz val="10"/>
        <rFont val="Arial"/>
      </rPr>
      <t>6EL44</t>
    </r>
  </si>
  <si>
    <r>
      <rPr>
        <sz val="10"/>
        <rFont val="Arial"/>
      </rPr>
      <t>OTHERS</t>
    </r>
  </si>
  <si>
    <r>
      <rPr>
        <sz val="10"/>
        <rFont val="Arial"/>
      </rPr>
      <t>REPUBLIC OF MOLDOVA</t>
    </r>
  </si>
  <si>
    <r>
      <rPr>
        <sz val="10"/>
        <rFont val="Arial"/>
      </rPr>
      <t>RADIO OFFICER</t>
    </r>
  </si>
  <si>
    <r>
      <rPr>
        <sz val="10"/>
        <rFont val="Arial"/>
      </rPr>
      <t>PAKISTANI</t>
    </r>
  </si>
  <si>
    <r>
      <rPr>
        <sz val="10"/>
        <rFont val="Arial"/>
      </rPr>
      <t>REUNION</t>
    </r>
  </si>
  <si>
    <r>
      <rPr>
        <sz val="10"/>
        <rFont val="Arial"/>
      </rPr>
      <t>PANAMANIAN</t>
    </r>
  </si>
  <si>
    <r>
      <rPr>
        <sz val="10"/>
        <rFont val="Arial"/>
      </rPr>
      <t>RUSSIAN</t>
    </r>
  </si>
  <si>
    <r>
      <rPr>
        <sz val="10"/>
        <rFont val="Arial"/>
      </rPr>
      <t>PAPUA NEW GUINEAN</t>
    </r>
  </si>
  <si>
    <r>
      <rPr>
        <sz val="10"/>
        <rFont val="Arial"/>
      </rPr>
      <t>PARAGUAY</t>
    </r>
  </si>
  <si>
    <r>
      <rPr>
        <sz val="10"/>
        <rFont val="Arial"/>
      </rPr>
      <t>PARAGUAYAN</t>
    </r>
  </si>
  <si>
    <r>
      <rPr>
        <sz val="10"/>
        <rFont val="Arial"/>
      </rPr>
      <t>SAN PIERRE &amp; MIQUELON</t>
    </r>
  </si>
  <si>
    <r>
      <rPr>
        <sz val="10"/>
        <rFont val="Arial"/>
      </rPr>
      <t>PERUVIAN</t>
    </r>
  </si>
  <si>
    <r>
      <rPr>
        <sz val="10"/>
        <rFont val="Arial"/>
      </rPr>
      <t>SAN TOME &amp; PRINCIPE</t>
    </r>
  </si>
  <si>
    <r>
      <rPr>
        <sz val="10"/>
        <rFont val="Arial"/>
      </rPr>
      <t>POLISH</t>
    </r>
  </si>
  <si>
    <r>
      <rPr>
        <sz val="10"/>
        <rFont val="Arial"/>
      </rPr>
      <t>PORTUGESE</t>
    </r>
  </si>
  <si>
    <r>
      <rPr>
        <sz val="10"/>
        <rFont val="Arial"/>
      </rPr>
      <t>SEYCHELLES</t>
    </r>
  </si>
  <si>
    <r>
      <rPr>
        <sz val="10"/>
        <rFont val="Arial"/>
      </rPr>
      <t>SIERRA LEONE</t>
    </r>
  </si>
  <si>
    <r>
      <rPr>
        <sz val="10"/>
        <rFont val="Arial"/>
      </rPr>
      <t>ROMANIAN</t>
    </r>
  </si>
  <si>
    <r>
      <rPr>
        <sz val="10"/>
        <rFont val="Arial"/>
      </rPr>
      <t>RUSSIAN</t>
    </r>
  </si>
  <si>
    <r>
      <rPr>
        <sz val="10"/>
        <rFont val="Arial"/>
      </rPr>
      <t>SALVADORIAN</t>
    </r>
  </si>
  <si>
    <r>
      <rPr>
        <sz val="10"/>
        <rFont val="Arial"/>
      </rPr>
      <t>SAMOAN</t>
    </r>
  </si>
  <si>
    <r>
      <rPr>
        <sz val="10"/>
        <rFont val="Arial"/>
      </rPr>
      <t>SOLOMON ISLANDS</t>
    </r>
  </si>
  <si>
    <r>
      <rPr>
        <sz val="10"/>
        <rFont val="Arial"/>
      </rPr>
      <t>SAN PIERRE &amp; MIQUELON</t>
    </r>
  </si>
  <si>
    <r>
      <rPr>
        <sz val="10"/>
        <rFont val="Arial"/>
      </rPr>
      <t>SAN TOME &amp; PRINCIPE</t>
    </r>
  </si>
  <si>
    <r>
      <rPr>
        <sz val="10"/>
        <rFont val="Arial"/>
      </rPr>
      <t>SAUDI ARABIAN</t>
    </r>
  </si>
  <si>
    <r>
      <rPr>
        <sz val="10"/>
        <rFont val="Arial"/>
      </rPr>
      <t>SENEGALESE</t>
    </r>
  </si>
  <si>
    <r>
      <rPr>
        <sz val="10"/>
        <rFont val="Arial"/>
      </rPr>
      <t>6L50MC</t>
    </r>
  </si>
  <si>
    <r>
      <rPr>
        <sz val="10"/>
        <rFont val="Arial"/>
      </rPr>
      <t>SPAIN CANARY ISLANDS</t>
    </r>
  </si>
  <si>
    <r>
      <rPr>
        <sz val="10"/>
        <rFont val="Arial"/>
      </rPr>
      <t>SPANISH</t>
    </r>
  </si>
  <si>
    <r>
      <rPr>
        <sz val="10"/>
        <rFont val="Arial"/>
      </rPr>
      <t>SEYCHELLES</t>
    </r>
  </si>
  <si>
    <r>
      <rPr>
        <sz val="10"/>
        <rFont val="Arial"/>
      </rPr>
      <t>ST. HELENA</t>
    </r>
  </si>
  <si>
    <r>
      <rPr>
        <sz val="10"/>
        <rFont val="Arial"/>
      </rPr>
      <t>SIERRA LEONE</t>
    </r>
  </si>
  <si>
    <r>
      <rPr>
        <sz val="10"/>
        <rFont val="Arial"/>
      </rPr>
      <t>ST. KITTS</t>
    </r>
  </si>
  <si>
    <r>
      <rPr>
        <sz val="10"/>
        <rFont val="Arial"/>
      </rPr>
      <t>SINGAPOREAN</t>
    </r>
  </si>
  <si>
    <r>
      <rPr>
        <sz val="10"/>
        <rFont val="Arial"/>
      </rPr>
      <t>ST. LUCIA</t>
    </r>
  </si>
  <si>
    <r>
      <rPr>
        <sz val="10"/>
        <rFont val="Arial"/>
      </rPr>
      <t>SLOVAKIAN</t>
    </r>
  </si>
  <si>
    <r>
      <rPr>
        <sz val="10"/>
        <rFont val="Arial"/>
      </rPr>
      <t>ST. VINCENT &amp; GRENADINES</t>
    </r>
  </si>
  <si>
    <r>
      <rPr>
        <sz val="10"/>
        <rFont val="Arial"/>
      </rPr>
      <t>SLOVENIAN</t>
    </r>
  </si>
  <si>
    <r>
      <rPr>
        <sz val="10"/>
        <rFont val="Arial"/>
      </rPr>
      <t>SOLOMON ISLANDS</t>
    </r>
  </si>
  <si>
    <r>
      <rPr>
        <sz val="10"/>
        <rFont val="Arial"/>
      </rPr>
      <t>SURINAME</t>
    </r>
  </si>
  <si>
    <r>
      <rPr>
        <sz val="10"/>
        <rFont val="Arial"/>
      </rPr>
      <t>SOMALIAN</t>
    </r>
  </si>
  <si>
    <r>
      <rPr>
        <sz val="10"/>
        <rFont val="Arial"/>
      </rPr>
      <t>SWEDISH</t>
    </r>
  </si>
  <si>
    <r>
      <rPr>
        <sz val="10"/>
        <rFont val="Arial"/>
      </rPr>
      <t>SOUTH AFRICAN</t>
    </r>
  </si>
  <si>
    <r>
      <rPr>
        <sz val="10"/>
        <rFont val="Arial"/>
      </rPr>
      <t>SOUTH KOREAN</t>
    </r>
  </si>
  <si>
    <r>
      <rPr>
        <sz val="10"/>
        <rFont val="Arial"/>
      </rPr>
      <t>SPAIN CANARY ISLANDS</t>
    </r>
  </si>
  <si>
    <r>
      <rPr>
        <sz val="10"/>
        <rFont val="Arial"/>
      </rPr>
      <t>SPANISH</t>
    </r>
  </si>
  <si>
    <r>
      <rPr>
        <sz val="10"/>
        <rFont val="Arial"/>
      </rPr>
      <t>SRI LANKAN</t>
    </r>
  </si>
  <si>
    <r>
      <rPr>
        <sz val="10"/>
        <rFont val="Arial"/>
      </rPr>
      <t>ST. HELENA</t>
    </r>
  </si>
  <si>
    <r>
      <rPr>
        <sz val="10"/>
        <rFont val="Arial"/>
      </rPr>
      <t>TOGO</t>
    </r>
  </si>
  <si>
    <r>
      <rPr>
        <sz val="10"/>
        <rFont val="Arial"/>
      </rPr>
      <t>ST. KITTS</t>
    </r>
  </si>
  <si>
    <r>
      <rPr>
        <sz val="10"/>
        <rFont val="Arial"/>
      </rPr>
      <t>TONGA</t>
    </r>
  </si>
  <si>
    <r>
      <rPr>
        <sz val="10"/>
        <rFont val="Arial"/>
      </rPr>
      <t>ST. LUCIA</t>
    </r>
  </si>
  <si>
    <r>
      <rPr>
        <sz val="10"/>
        <rFont val="Arial"/>
      </rPr>
      <t>TRINIDAD</t>
    </r>
  </si>
  <si>
    <r>
      <rPr>
        <sz val="10"/>
        <rFont val="Arial"/>
      </rPr>
      <t>ST. VINCENT &amp; GRENADINES</t>
    </r>
  </si>
  <si>
    <r>
      <rPr>
        <sz val="10"/>
        <rFont val="Arial"/>
      </rPr>
      <t>SUDANESE</t>
    </r>
  </si>
  <si>
    <r>
      <rPr>
        <sz val="10"/>
        <rFont val="Arial"/>
      </rPr>
      <t>SURINAME</t>
    </r>
  </si>
  <si>
    <r>
      <rPr>
        <sz val="10"/>
        <rFont val="Arial"/>
      </rPr>
      <t>TURKMENISTAN</t>
    </r>
  </si>
  <si>
    <r>
      <rPr>
        <sz val="10"/>
        <rFont val="Arial"/>
      </rPr>
      <t>SWEDISH</t>
    </r>
  </si>
  <si>
    <r>
      <rPr>
        <sz val="10"/>
        <rFont val="Arial"/>
      </rPr>
      <t>TURKS &amp; CAICOS</t>
    </r>
  </si>
  <si>
    <r>
      <rPr>
        <sz val="10"/>
        <rFont val="Arial"/>
      </rPr>
      <t>SWISS</t>
    </r>
  </si>
  <si>
    <r>
      <rPr>
        <sz val="10"/>
        <rFont val="Arial"/>
      </rPr>
      <t>TUVALU</t>
    </r>
  </si>
  <si>
    <r>
      <rPr>
        <sz val="10"/>
        <rFont val="Arial"/>
      </rPr>
      <t>SYRIAN</t>
    </r>
  </si>
  <si>
    <r>
      <rPr>
        <sz val="10"/>
        <rFont val="Arial"/>
      </rPr>
      <t>UKRAINE</t>
    </r>
  </si>
  <si>
    <r>
      <rPr>
        <sz val="10"/>
        <rFont val="Arial"/>
      </rPr>
      <t>TAIWANESE</t>
    </r>
  </si>
  <si>
    <r>
      <rPr>
        <sz val="10"/>
        <rFont val="Arial"/>
      </rPr>
      <t>6RTA52</t>
    </r>
  </si>
  <si>
    <r>
      <rPr>
        <sz val="10"/>
        <rFont val="Arial"/>
      </rPr>
      <t>UNITED ARAB EMIRATES</t>
    </r>
  </si>
  <si>
    <r>
      <rPr>
        <sz val="10"/>
        <rFont val="Arial"/>
      </rPr>
      <t>TANZANIAN</t>
    </r>
  </si>
  <si>
    <r>
      <rPr>
        <sz val="10"/>
        <rFont val="Arial"/>
      </rPr>
      <t>THAI</t>
    </r>
  </si>
  <si>
    <r>
      <rPr>
        <sz val="10"/>
        <rFont val="Arial"/>
      </rPr>
      <t>UNITED STATES OF AMERICA</t>
    </r>
  </si>
  <si>
    <r>
      <rPr>
        <sz val="10"/>
        <rFont val="Arial"/>
      </rPr>
      <t>TOGO</t>
    </r>
  </si>
  <si>
    <r>
      <rPr>
        <sz val="10"/>
        <rFont val="Arial"/>
      </rPr>
      <t>UZBEKISTAN</t>
    </r>
  </si>
  <si>
    <r>
      <rPr>
        <sz val="10"/>
        <rFont val="Arial"/>
      </rPr>
      <t>TONGA</t>
    </r>
  </si>
  <si>
    <r>
      <rPr>
        <sz val="10"/>
        <rFont val="Arial"/>
      </rPr>
      <t>VANUATU</t>
    </r>
  </si>
  <si>
    <r>
      <rPr>
        <sz val="10"/>
        <rFont val="Arial"/>
      </rPr>
      <t>TRINIDAD</t>
    </r>
  </si>
  <si>
    <r>
      <rPr>
        <sz val="10"/>
        <rFont val="Arial"/>
      </rPr>
      <t>TUNISIAN</t>
    </r>
  </si>
  <si>
    <r>
      <rPr>
        <sz val="10"/>
        <rFont val="Arial"/>
      </rPr>
      <t>TURKISH</t>
    </r>
  </si>
  <si>
    <r>
      <rPr>
        <sz val="10"/>
        <rFont val="Arial"/>
      </rPr>
      <t>VIRGIN ISLANDS</t>
    </r>
  </si>
  <si>
    <r>
      <rPr>
        <sz val="10"/>
        <rFont val="Arial"/>
      </rPr>
      <t>TURKMENISTAN</t>
    </r>
  </si>
  <si>
    <r>
      <rPr>
        <sz val="10"/>
        <rFont val="Arial"/>
      </rPr>
      <t>WESTERN SAMOA</t>
    </r>
  </si>
  <si>
    <r>
      <rPr>
        <sz val="10"/>
        <rFont val="Arial"/>
      </rPr>
      <t>6S50MC</t>
    </r>
  </si>
  <si>
    <r>
      <rPr>
        <sz val="10"/>
        <rFont val="Arial"/>
      </rPr>
      <t>YUGOSLAVIAN</t>
    </r>
  </si>
  <si>
    <r>
      <rPr>
        <sz val="10"/>
        <rFont val="Arial"/>
      </rPr>
      <t>TURKS &amp; CAICOS</t>
    </r>
  </si>
  <si>
    <r>
      <rPr>
        <sz val="10"/>
        <rFont val="Arial"/>
      </rPr>
      <t>TUVALU</t>
    </r>
  </si>
  <si>
    <r>
      <rPr>
        <sz val="10"/>
        <rFont val="Arial"/>
      </rPr>
      <t>ZAIRE</t>
    </r>
  </si>
  <si>
    <r>
      <rPr>
        <sz val="10"/>
        <rFont val="Arial"/>
      </rPr>
      <t>6S50MC-C</t>
    </r>
  </si>
  <si>
    <r>
      <rPr>
        <sz val="10"/>
        <rFont val="Arial"/>
      </rPr>
      <t>UKRAINIAN</t>
    </r>
  </si>
  <si>
    <r>
      <rPr>
        <sz val="10"/>
        <rFont val="Arial"/>
      </rPr>
      <t>UNITED ARAB EMIRATES</t>
    </r>
  </si>
  <si>
    <r>
      <rPr>
        <sz val="10"/>
        <rFont val="Arial"/>
      </rPr>
      <t>UNITED KINGDOM</t>
    </r>
  </si>
  <si>
    <r>
      <rPr>
        <sz val="10"/>
        <rFont val="Arial"/>
      </rPr>
      <t>UNITED STATES OF AMERICA</t>
    </r>
  </si>
  <si>
    <r>
      <rPr>
        <sz val="10"/>
        <rFont val="Arial"/>
      </rPr>
      <t>CURACAO</t>
    </r>
  </si>
  <si>
    <r>
      <rPr>
        <sz val="10"/>
        <rFont val="Arial"/>
      </rPr>
      <t>UNKNOWN</t>
    </r>
  </si>
  <si>
    <r>
      <rPr>
        <sz val="10"/>
        <rFont val="Arial"/>
      </rPr>
      <t>VANUATU</t>
    </r>
  </si>
  <si>
    <r>
      <rPr>
        <sz val="10"/>
        <rFont val="Arial"/>
      </rPr>
      <t>VENEZUELAN</t>
    </r>
  </si>
  <si>
    <r>
      <rPr>
        <sz val="10"/>
        <rFont val="Arial"/>
      </rPr>
      <t>VIETNAMESE</t>
    </r>
  </si>
  <si>
    <r>
      <rPr>
        <sz val="10"/>
        <rFont val="Arial"/>
      </rPr>
      <t>WESTERN SAMOA</t>
    </r>
  </si>
  <si>
    <r>
      <rPr>
        <sz val="10"/>
        <rFont val="Arial"/>
      </rPr>
      <t>YUGOSLAVIAN</t>
    </r>
  </si>
  <si>
    <r>
      <rPr>
        <sz val="10"/>
        <rFont val="Arial"/>
      </rPr>
      <t>ZIMBABIAN</t>
    </r>
  </si>
  <si>
    <r>
      <rPr>
        <sz val="10"/>
        <rFont val="Arial"/>
      </rPr>
      <t>DETROIT</t>
    </r>
  </si>
  <si>
    <r>
      <rPr>
        <sz val="10"/>
        <rFont val="Arial"/>
      </rPr>
      <t>DOMINICA</t>
    </r>
  </si>
  <si>
    <r>
      <rPr>
        <sz val="10"/>
        <rFont val="Arial"/>
      </rPr>
      <t>7S35MC/SNO</t>
    </r>
  </si>
  <si>
    <r>
      <rPr>
        <sz val="10"/>
        <rFont val="Arial"/>
      </rPr>
      <t>7S60MC-C</t>
    </r>
  </si>
  <si>
    <r>
      <rPr>
        <sz val="10"/>
        <rFont val="Arial"/>
      </rPr>
      <t>GIBRALTAR</t>
    </r>
  </si>
  <si>
    <r>
      <rPr>
        <sz val="10"/>
        <rFont val="Arial"/>
      </rPr>
      <t>GRENADA</t>
    </r>
  </si>
  <si>
    <r>
      <rPr>
        <sz val="10"/>
        <rFont val="Arial"/>
      </rPr>
      <t>GUAM</t>
    </r>
  </si>
  <si>
    <r>
      <rPr>
        <sz val="10"/>
        <rFont val="Arial"/>
      </rPr>
      <t>9 M 32</t>
    </r>
  </si>
  <si>
    <r>
      <rPr>
        <sz val="10"/>
        <rFont val="Arial"/>
      </rPr>
      <t>ISLE OF MAN</t>
    </r>
  </si>
  <si>
    <r>
      <rPr>
        <sz val="10"/>
        <rFont val="Arial"/>
      </rPr>
      <t>COMBINED</t>
    </r>
  </si>
  <si>
    <r>
      <rPr>
        <sz val="10"/>
        <rFont val="Arial"/>
      </rPr>
      <t>COMBINED</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</si>
  <si>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</si>
  <si>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</si>
  <si>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</si>
  <si>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</si>
  <si>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</si>
  <si>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</si>
  <si>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</si>
  <si>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</si>
  <si>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</si>
  <si>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</si>
  <si>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</si>
  <si>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</si>
  <si>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</si>
  <si>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</si>
  <si>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</si>
  <si>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</si>
  <si>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</si>
  <si>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</si>
  <si>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</si>
  <si>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</si>
  <si>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DIESEL-ELECTRIC</t>
    </r>
  </si>
  <si>
    <r>
      <rPr>
        <sz val="10"/>
        <rFont val="Arial"/>
      </rPr>
      <t>GAS TURBINE</t>
    </r>
  </si>
  <si>
    <r>
      <rPr>
        <sz val="10"/>
        <rFont val="Arial"/>
      </rPr>
      <t>GAS TURBINE</t>
    </r>
  </si>
  <si>
    <r>
      <rPr>
        <sz val="10"/>
        <rFont val="Arial"/>
      </rPr>
      <t>GENERAL MOTORS</t>
    </r>
  </si>
  <si>
    <r>
      <rPr>
        <sz val="10"/>
        <rFont val="Arial"/>
      </rPr>
      <t>KOBE</t>
    </r>
  </si>
  <si>
    <r>
      <rPr>
        <sz val="10"/>
        <rFont val="Arial"/>
      </rPr>
      <t>LUXEMBOURG</t>
    </r>
  </si>
  <si>
    <r>
      <rPr>
        <sz val="10"/>
        <rFont val="Arial"/>
      </rPr>
      <t>MALTA</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</si>
  <si>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</si>
  <si>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</si>
  <si>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</si>
  <si>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</si>
  <si>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</si>
  <si>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</si>
  <si>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</si>
  <si>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</si>
  <si>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</si>
  <si>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MAURITIUS</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</si>
  <si>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</si>
  <si>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</si>
  <si>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</si>
  <si>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</si>
  <si>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</si>
  <si>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</si>
  <si>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</si>
  <si>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</si>
  <si>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</si>
  <si>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</si>
  <si>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</si>
  <si>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</si>
  <si>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</si>
  <si>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</si>
  <si>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</si>
  <si>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</si>
  <si>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</si>
  <si>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</si>
  <si>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</si>
  <si>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</si>
  <si>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</si>
  <si>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</si>
  <si>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</si>
  <si>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</si>
  <si>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</si>
  <si>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</si>
  <si>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</si>
  <si>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</si>
  <si>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</si>
  <si>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</si>
  <si>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</si>
  <si>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</si>
  <si>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</si>
  <si>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</si>
  <si>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</si>
  <si>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</si>
  <si>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</si>
  <si>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</si>
  <si>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</si>
  <si>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</si>
  <si>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</si>
  <si>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</si>
  <si>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</si>
  <si>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</si>
  <si>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</si>
  <si>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</si>
  <si>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</si>
  <si>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</si>
  <si>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</si>
  <si>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</si>
  <si>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</si>
  <si>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</si>
  <si>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NAURU</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</si>
  <si>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</si>
  <si>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</si>
  <si>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</si>
  <si>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</si>
  <si>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</si>
  <si>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</si>
  <si>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</si>
  <si>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</si>
  <si>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</si>
  <si>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</si>
  <si>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</si>
  <si>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MOTOR DIESEL</t>
    </r>
  </si>
  <si>
    <r>
      <rPr>
        <sz val="10"/>
        <rFont val="Arial"/>
      </rPr>
      <t>NIPATZU</t>
    </r>
  </si>
  <si>
    <r>
      <rPr>
        <sz val="10"/>
        <rFont val="Arial"/>
      </rPr>
      <t>OTHER</t>
    </r>
  </si>
  <si>
    <r>
      <rPr>
        <sz val="10"/>
        <rFont val="Arial"/>
      </rPr>
      <t>TOYOTA</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</si>
  <si>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</si>
  <si>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</si>
  <si>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</si>
  <si>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</si>
  <si>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</si>
  <si>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</si>
  <si>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</si>
  <si>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</si>
  <si>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</si>
  <si>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</si>
  <si>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</si>
  <si>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</si>
  <si>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</si>
  <si>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</si>
  <si>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</si>
  <si>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</si>
  <si>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TURBINE</t>
    </r>
  </si>
  <si>
    <r>
      <rPr>
        <sz val="10"/>
        <rFont val="Arial"/>
      </rPr>
      <t>UNKNOWN</t>
    </r>
  </si>
  <si>
    <r>
      <rPr>
        <sz val="10"/>
        <rFont val="Arial"/>
      </rPr>
      <t>WIND ASSISTED</t>
    </r>
  </si>
  <si>
    <r>
      <rPr>
        <sz val="10"/>
        <rFont val="Arial"/>
      </rPr>
      <t>WIND ASSISTED</t>
    </r>
  </si>
  <si>
    <r>
      <rPr>
        <sz val="10"/>
        <rFont val="Arial"/>
      </rPr>
      <t>WIND ASSISTED</t>
    </r>
  </si>
  <si>
    <r>
      <rPr>
        <sz val="10"/>
        <rFont val="Arial"/>
      </rPr>
      <t>SHARJAH</t>
    </r>
  </si>
  <si>
    <r>
      <rPr>
        <sz val="10"/>
        <rFont val="Arial"/>
      </rPr>
      <t>SINGAPORE</t>
    </r>
  </si>
  <si>
    <r>
      <rPr>
        <sz val="10"/>
        <rFont val="Arial"/>
      </rPr>
      <t>ST. KITTS</t>
    </r>
  </si>
  <si>
    <r>
      <rPr>
        <sz val="10"/>
        <rFont val="Arial"/>
      </rPr>
      <t>ST. LUCIA</t>
    </r>
  </si>
  <si>
    <r>
      <rPr>
        <sz val="10"/>
        <rFont val="Arial"/>
        <family val="2"/>
      </rPr>
      <t>NOT KNOWN / НЕ ИЗВЕСТНО</t>
    </r>
  </si>
  <si>
    <r>
      <rPr>
        <sz val="10"/>
        <rFont val="Arial"/>
        <family val="2"/>
      </rPr>
      <t>COMPANION / СПУТНИК(ЦА)</t>
    </r>
  </si>
  <si>
    <r>
      <rPr>
        <sz val="10"/>
        <rFont val="Arial"/>
        <family val="2"/>
      </rPr>
      <t>DIVORCED / В РАЗВОДЕ</t>
    </r>
  </si>
  <si>
    <r>
      <rPr>
        <sz val="10"/>
        <rFont val="Arial"/>
      </rPr>
      <t>LIVES WITH PARTNER / В СОЖИТЕЛЬСТВЕ</t>
    </r>
  </si>
  <si>
    <r>
      <rPr>
        <sz val="10"/>
        <rFont val="Arial"/>
      </rPr>
      <t>WIDOWED / ВДОВЕЦ (ВДОВА)</t>
    </r>
  </si>
  <si>
    <r>
      <rPr>
        <sz val="10"/>
        <rFont val="Arial"/>
      </rPr>
      <t>WIFE / СУПРУГА</t>
    </r>
  </si>
  <si>
    <r>
      <rPr>
        <sz val="10"/>
        <rFont val="Arial"/>
      </rPr>
      <t>MARRIED / СОСТОЮ В БРАКЕ</t>
    </r>
  </si>
  <si>
    <r>
      <rPr>
        <sz val="10"/>
        <rFont val="Arial"/>
      </rPr>
      <t>SEPARATED / ЖИВУ ОТДЕЛЬНО</t>
    </r>
  </si>
  <si>
    <r>
      <rPr>
        <sz val="10"/>
        <rFont val="Arial"/>
      </rPr>
      <t>SINGLE / ХОЛОСТ (НЕ ЗАМУЖЕМ)</t>
    </r>
  </si>
  <si>
    <r>
      <rPr>
        <b/>
        <sz val="10"/>
        <color indexed="8"/>
        <rFont val="Arial"/>
        <family val="2"/>
      </rPr>
      <t>Nationality / Национальная принадлежность:</t>
    </r>
  </si>
  <si>
    <r>
      <rPr>
        <b/>
        <sz val="10"/>
        <color indexed="8"/>
        <rFont val="Arial"/>
        <family val="2"/>
      </rPr>
      <t>Date / Дата:</t>
    </r>
  </si>
  <si>
    <r>
      <rPr>
        <i/>
        <sz val="10"/>
        <color indexed="8"/>
        <rFont val="Arial"/>
        <family val="2"/>
      </rPr>
      <t>Date and Place / Дата и место:</t>
    </r>
  </si>
  <si>
    <t>Do you exercise regularly ? If so, what sport and how often ? / Вы регулярно занимаетесь физическими упражнениями? Если да, каким видом спорта и как часто?</t>
  </si>
  <si>
    <r>
      <rPr>
        <sz val="10"/>
        <rFont val="Arial"/>
      </rPr>
      <t>PORT STATE CONTROL</t>
    </r>
  </si>
  <si>
    <r>
      <rPr>
        <sz val="10"/>
        <rFont val="Arial"/>
      </rPr>
      <t>POSITIVE INFLUENCE &amp; POWER</t>
    </r>
  </si>
  <si>
    <r>
      <rPr>
        <sz val="10"/>
        <rFont val="Arial"/>
      </rPr>
      <t>PRACTICAL GAS FIRE FIGHTING</t>
    </r>
  </si>
  <si>
    <r>
      <rPr>
        <sz val="10"/>
        <rFont val="Arial"/>
      </rPr>
      <t>PRC ENDORSEMENT CERTIFICATE</t>
    </r>
  </si>
  <si>
    <r>
      <rPr>
        <sz val="10"/>
        <rFont val="Arial"/>
      </rPr>
      <t>PRE - DEPARTURE SAFETY SEMINAR</t>
    </r>
  </si>
  <si>
    <r>
      <rPr>
        <sz val="10"/>
        <rFont val="Arial"/>
      </rPr>
      <t>PRE-DEPARTURE BRIEFING</t>
    </r>
  </si>
  <si>
    <r>
      <rPr>
        <sz val="10"/>
        <rFont val="Arial"/>
      </rPr>
      <t>PRE-SEA JOINING COURSE PDV MARINA</t>
    </r>
  </si>
  <si>
    <r>
      <rPr>
        <sz val="10"/>
        <rFont val="Arial"/>
      </rPr>
      <t>PREVENTION OF POLLUTION BY GARBAGE</t>
    </r>
  </si>
  <si>
    <r>
      <rPr>
        <sz val="10"/>
        <rFont val="Arial"/>
      </rPr>
      <t>PROFICIENCY IN FAST RESCUE BOATS. A-VI/2 5-8</t>
    </r>
  </si>
  <si>
    <r>
      <rPr>
        <sz val="10"/>
        <rFont val="Arial"/>
      </rPr>
      <t>PROFICIENCY IN GMDSS – IV/2.2</t>
    </r>
  </si>
  <si>
    <r>
      <rPr>
        <sz val="10"/>
        <rFont val="Arial"/>
      </rPr>
      <t>PROGRESSIVE LEADERSHIP PROGRAMME</t>
    </r>
  </si>
  <si>
    <r>
      <rPr>
        <sz val="10"/>
        <rFont val="Arial"/>
      </rPr>
      <t>PROMOTION CL AND FAMILIARIZATIN TO C/E</t>
    </r>
  </si>
  <si>
    <r>
      <rPr>
        <sz val="10"/>
        <rFont val="Arial"/>
      </rPr>
      <t>PROMOTION CL AND FAMILIARIZATION TO MASTER</t>
    </r>
  </si>
  <si>
    <r>
      <rPr>
        <sz val="10"/>
        <rFont val="Arial"/>
      </rPr>
      <t>PROTECTION AND INDEMNITY</t>
    </r>
  </si>
  <si>
    <r>
      <rPr>
        <sz val="10"/>
        <rFont val="Arial"/>
      </rPr>
      <t>PROVISIONAL CERTIFICATE</t>
    </r>
  </si>
  <si>
    <r>
      <rPr>
        <sz val="10"/>
        <rFont val="Arial"/>
      </rPr>
      <t>PSCRB - PROFICIENCY IN SURVIVAL CRAFT &amp; R.BOATS. A-VI/2 1-4</t>
    </r>
  </si>
  <si>
    <r>
      <rPr>
        <sz val="10"/>
        <rFont val="Arial"/>
      </rPr>
      <t>PSCRB OTHER THAN FAST RESCUE BOATS VI/2</t>
    </r>
  </si>
  <si>
    <r>
      <rPr>
        <sz val="10"/>
        <rFont val="Arial"/>
      </rPr>
      <t>PSSR - PERS. SAFETY &amp; SOCIAL RESP. A-VI/1 2.1.4</t>
    </r>
  </si>
  <si>
    <r>
      <rPr>
        <sz val="10"/>
        <rFont val="Arial"/>
      </rPr>
      <t>PST - PERSONAL SURVIVAL TECHNIQUES A-VI/1 2.1.1</t>
    </r>
  </si>
  <si>
    <r>
      <rPr>
        <sz val="10"/>
        <rFont val="Arial"/>
      </rPr>
      <t>PUMPS AND PUMPING OPERATIONS - CBT</t>
    </r>
  </si>
  <si>
    <r>
      <rPr>
        <sz val="10"/>
        <rFont val="Arial"/>
      </rPr>
      <t>QUALITY MANAGEMENT SYSTEMS ASSESSMENT</t>
    </r>
  </si>
  <si>
    <r>
      <rPr>
        <sz val="10"/>
        <rFont val="Arial"/>
      </rPr>
      <t>RADAR MAINTENANCE CERT.</t>
    </r>
  </si>
  <si>
    <r>
      <rPr>
        <sz val="10"/>
        <rFont val="Arial"/>
      </rPr>
      <t>RADAR NAVIGATION A-I/12, A-II/2</t>
    </r>
  </si>
  <si>
    <r>
      <rPr>
        <sz val="10"/>
        <rFont val="Arial"/>
      </rPr>
      <t>RADAR OBSERVATION AND PLOTTING</t>
    </r>
  </si>
  <si>
    <r>
      <rPr>
        <sz val="10"/>
        <rFont val="Arial"/>
      </rPr>
      <t>RADAR SIMULATOR</t>
    </r>
  </si>
  <si>
    <r>
      <rPr>
        <sz val="10"/>
        <rFont val="Arial"/>
      </rPr>
      <t>RADAR SIMULATOR A-II/1.5, A-II/2.2</t>
    </r>
  </si>
  <si>
    <r>
      <rPr>
        <sz val="10"/>
        <rFont val="Arial"/>
      </rPr>
      <t>RADIOELECTRICIAN</t>
    </r>
  </si>
  <si>
    <r>
      <rPr>
        <sz val="10"/>
        <rFont val="Arial"/>
      </rPr>
      <t>RADIOTELEPHONE OPERATOR</t>
    </r>
  </si>
  <si>
    <r>
      <rPr>
        <sz val="10"/>
        <rFont val="Arial"/>
      </rPr>
      <t>RANSCO - RADAR, ARPA &amp; NAVIGATION SIMULATOR</t>
    </r>
  </si>
  <si>
    <r>
      <rPr>
        <sz val="10"/>
        <rFont val="Arial"/>
      </rPr>
      <t>RECORD MAINTENANCE SYSTEMS</t>
    </r>
  </si>
  <si>
    <r>
      <rPr>
        <sz val="10"/>
        <rFont val="Arial"/>
      </rPr>
      <t>REEFER CONTAINERS COURSE</t>
    </r>
  </si>
  <si>
    <r>
      <rPr>
        <sz val="10"/>
        <rFont val="Arial"/>
      </rPr>
      <t>REPORT WRITING</t>
    </r>
  </si>
  <si>
    <r>
      <rPr>
        <sz val="10"/>
        <rFont val="Arial"/>
      </rPr>
      <t>REVALIDATION COURSE</t>
    </r>
  </si>
  <si>
    <r>
      <rPr>
        <sz val="10"/>
        <rFont val="Arial"/>
      </rPr>
      <t>RINA CONTINUOUS SURVEY</t>
    </r>
  </si>
  <si>
    <r>
      <rPr>
        <sz val="10"/>
        <rFont val="Arial"/>
      </rPr>
      <t>RISK ASSESSMENT</t>
    </r>
  </si>
  <si>
    <r>
      <rPr>
        <sz val="10"/>
        <rFont val="Arial"/>
      </rPr>
      <t>RISK ASSESSMENT &amp; INCIDENT INVESTIGATION</t>
    </r>
  </si>
  <si>
    <r>
      <rPr>
        <sz val="10"/>
        <rFont val="Arial"/>
      </rPr>
      <t>RISK ASSESSMENT AND RISK MANAGEMENT</t>
    </r>
  </si>
  <si>
    <r>
      <rPr>
        <sz val="10"/>
        <rFont val="Arial"/>
      </rPr>
      <t>RISK ASSESSMENT COURSE (DNV)</t>
    </r>
  </si>
  <si>
    <r>
      <rPr>
        <sz val="10"/>
        <rFont val="Arial"/>
      </rPr>
      <t>RISK MANAGEMENT&amp; ROOT CAUSE ANALYSIS</t>
    </r>
  </si>
  <si>
    <r>
      <rPr>
        <sz val="10"/>
        <rFont val="Arial"/>
      </rPr>
      <t>ROC - RADAR OBSERVERS COURSE</t>
    </r>
  </si>
  <si>
    <r>
      <rPr>
        <sz val="10"/>
        <rFont val="Arial"/>
      </rPr>
      <t>ROOT CAUSE ANALYSIS</t>
    </r>
  </si>
  <si>
    <r>
      <rPr>
        <sz val="10"/>
        <rFont val="Arial"/>
      </rPr>
      <t>RORO CRISIS MANAGEMENT TRNG. A-V/2 5</t>
    </r>
  </si>
  <si>
    <r>
      <rPr>
        <sz val="10"/>
        <rFont val="Arial"/>
      </rPr>
      <t>RORO CROWD MANAGEMENT TRNG.  A-V/2 1</t>
    </r>
  </si>
  <si>
    <r>
      <rPr>
        <sz val="10"/>
        <rFont val="Arial"/>
      </rPr>
      <t>RORO FAMILIARIZATION TRNG.   A-V/2 2</t>
    </r>
  </si>
  <si>
    <r>
      <rPr>
        <sz val="10"/>
        <rFont val="Arial"/>
      </rPr>
      <t>RORO PAX, CARGO, HULL TRNG. A-V/2 4</t>
    </r>
  </si>
  <si>
    <r>
      <rPr>
        <sz val="10"/>
        <rFont val="Arial"/>
      </rPr>
      <t>RORO SAFETY TRNG.            A-V/2 3</t>
    </r>
  </si>
  <si>
    <r>
      <rPr>
        <sz val="10"/>
        <rFont val="Arial"/>
      </rPr>
      <t>RORO/PAX COMPREHENSIVE TRNG. A-V/2 1-5</t>
    </r>
  </si>
  <si>
    <r>
      <rPr>
        <sz val="10"/>
        <rFont val="Arial"/>
      </rPr>
      <t>ROV PILOT/TECHNICIAN GRADE II</t>
    </r>
  </si>
  <si>
    <r>
      <rPr>
        <sz val="10"/>
        <rFont val="Arial"/>
      </rPr>
      <t>SAAB ELECTRONIC SYSTEMS</t>
    </r>
  </si>
  <si>
    <r>
      <rPr>
        <sz val="10"/>
        <rFont val="Arial"/>
      </rPr>
      <t>SAFE LIFTING OPERATIONS</t>
    </r>
  </si>
  <si>
    <r>
      <rPr>
        <sz val="10"/>
        <rFont val="Arial"/>
      </rPr>
      <t>SAFETY AND QUALITY</t>
    </r>
  </si>
  <si>
    <r>
      <rPr>
        <sz val="10"/>
        <rFont val="Arial"/>
      </rPr>
      <t>SAFETY EQPMNT. MAINTENANCE / RECORDING</t>
    </r>
  </si>
  <si>
    <r>
      <rPr>
        <sz val="10"/>
        <rFont val="Arial"/>
      </rPr>
      <t>SAFETY MANAGEMENT SYSTEM FAMILIARISATION</t>
    </r>
  </si>
  <si>
    <r>
      <rPr>
        <sz val="10"/>
        <rFont val="Arial"/>
      </rPr>
      <t>SAFETY OFFICER</t>
    </r>
  </si>
  <si>
    <r>
      <rPr>
        <sz val="10"/>
        <rFont val="Arial"/>
      </rPr>
      <t>SAFETY OFFICER*S TRAINING</t>
    </r>
  </si>
  <si>
    <r>
      <rPr>
        <sz val="10"/>
        <rFont val="Arial"/>
      </rPr>
      <t>SAFETY SEMINAR</t>
    </r>
  </si>
  <si>
    <r>
      <rPr>
        <sz val="10"/>
        <rFont val="Arial"/>
      </rPr>
      <t>SAFETY WORKSHOP</t>
    </r>
  </si>
  <si>
    <r>
      <rPr>
        <sz val="10"/>
        <rFont val="Arial"/>
      </rPr>
      <t>SATELLITE COMMUNICATIONS</t>
    </r>
  </si>
  <si>
    <r>
      <rPr>
        <sz val="10"/>
        <rFont val="Arial"/>
      </rPr>
      <t>SEA SURVIVAL</t>
    </r>
  </si>
  <si>
    <r>
      <rPr>
        <sz val="10"/>
        <rFont val="Arial"/>
      </rPr>
      <t>SEACHEF COOKS COURSE</t>
    </r>
  </si>
  <si>
    <r>
      <rPr>
        <sz val="10"/>
        <rFont val="Arial"/>
      </rPr>
      <t>SEAMATE (CMS) - REFRESHER</t>
    </r>
  </si>
  <si>
    <r>
      <rPr>
        <sz val="10"/>
        <rFont val="Arial"/>
      </rPr>
      <t>SEAMATE (SPS) - REFRESHER</t>
    </r>
  </si>
  <si>
    <r>
      <rPr>
        <sz val="10"/>
        <rFont val="Arial"/>
      </rPr>
      <t>SEARCH AND RESCUE - CBT</t>
    </r>
  </si>
  <si>
    <r>
      <rPr>
        <sz val="10"/>
        <rFont val="Arial"/>
      </rPr>
      <t>SEARCH AND RESCUE SEMINAR</t>
    </r>
  </si>
  <si>
    <r>
      <rPr>
        <sz val="10"/>
        <rFont val="Arial"/>
      </rPr>
      <t>SECURITY AWARENESS</t>
    </r>
  </si>
  <si>
    <r>
      <rPr>
        <sz val="10"/>
        <rFont val="Arial"/>
      </rPr>
      <t>SECURITY AWARENESS- CBT</t>
    </r>
  </si>
  <si>
    <r>
      <rPr>
        <sz val="10"/>
        <rFont val="Arial"/>
      </rPr>
      <t>SELF-UNLOADER COURSE</t>
    </r>
  </si>
  <si>
    <r>
      <rPr>
        <sz val="10"/>
        <rFont val="Arial"/>
      </rPr>
      <t>SEMINAR BP</t>
    </r>
  </si>
  <si>
    <r>
      <rPr>
        <sz val="10"/>
        <rFont val="Arial"/>
      </rPr>
      <t>SEMINAR BRITISH ENERGY BMG</t>
    </r>
  </si>
  <si>
    <r>
      <rPr>
        <sz val="10"/>
        <rFont val="Arial"/>
      </rPr>
      <t>SEMINAR DELMAS</t>
    </r>
  </si>
  <si>
    <r>
      <rPr>
        <sz val="10"/>
        <rFont val="Arial"/>
      </rPr>
      <t>SEMINAR DML BP</t>
    </r>
  </si>
  <si>
    <r>
      <rPr>
        <sz val="10"/>
        <rFont val="Arial"/>
      </rPr>
      <t>SEMINAR DML TECH</t>
    </r>
  </si>
  <si>
    <r>
      <rPr>
        <sz val="10"/>
        <rFont val="Arial"/>
      </rPr>
      <t>SEMINAR ISM</t>
    </r>
  </si>
  <si>
    <r>
      <rPr>
        <sz val="10"/>
        <rFont val="Arial"/>
      </rPr>
      <t>SEMINAR SBM</t>
    </r>
  </si>
  <si>
    <r>
      <rPr>
        <sz val="10"/>
        <rFont val="Arial"/>
      </rPr>
      <t>SEMINAR SCHULTE</t>
    </r>
  </si>
  <si>
    <r>
      <rPr>
        <sz val="10"/>
        <rFont val="Arial"/>
      </rPr>
      <t>SENIOR FLEET OFFICER MEETING</t>
    </r>
  </si>
  <si>
    <r>
      <rPr>
        <sz val="10"/>
        <rFont val="Arial"/>
      </rPr>
      <t>SENIOR MANAGEMENT COURSE</t>
    </r>
  </si>
  <si>
    <r>
      <rPr>
        <sz val="10"/>
        <rFont val="Arial"/>
      </rPr>
      <t>SENIOR OFFICER GAS TANKER OPERATIONS</t>
    </r>
  </si>
  <si>
    <r>
      <rPr>
        <sz val="10"/>
        <rFont val="Arial"/>
      </rPr>
      <t>SENIOR OFFICER LNG GAS TANKER OPERATIONS</t>
    </r>
  </si>
  <si>
    <r>
      <rPr>
        <sz val="10"/>
        <rFont val="Arial"/>
      </rPr>
      <t>SENIOR OFFICER LPG TANKER OPERATIONS</t>
    </r>
  </si>
  <si>
    <r>
      <rPr>
        <sz val="10"/>
        <rFont val="Arial"/>
      </rPr>
      <t>SENIOR OFFICER TANKER OPERATIONS</t>
    </r>
  </si>
  <si>
    <r>
      <rPr>
        <sz val="10"/>
        <rFont val="Arial"/>
      </rPr>
      <t>SENIOR WORKSHOP</t>
    </r>
  </si>
  <si>
    <r>
      <rPr>
        <sz val="10"/>
        <rFont val="Arial"/>
      </rPr>
      <t>SHIP CAPTAIN’S MEDICAL COURSE</t>
    </r>
  </si>
  <si>
    <r>
      <rPr>
        <sz val="10"/>
        <rFont val="Arial"/>
      </rPr>
      <t>SHIP HANDLING &amp; STS OPERATIONS</t>
    </r>
  </si>
  <si>
    <r>
      <rPr>
        <sz val="10"/>
        <rFont val="Arial"/>
      </rPr>
      <t>SHIP HANDLING ARRANGEMENTS A-II/2</t>
    </r>
  </si>
  <si>
    <r>
      <rPr>
        <sz val="10"/>
        <rFont val="Arial"/>
      </rPr>
      <t>SHIP HANDLING INCL. SIMULATOR</t>
    </r>
  </si>
  <si>
    <r>
      <rPr>
        <sz val="10"/>
        <rFont val="Arial"/>
      </rPr>
      <t>SHIP MASTER'S COMMAND &amp; CONTROL</t>
    </r>
  </si>
  <si>
    <r>
      <rPr>
        <sz val="10"/>
        <rFont val="Arial"/>
      </rPr>
      <t>SHIP MASTERS MANNED MODEL COURSE</t>
    </r>
  </si>
  <si>
    <r>
      <rPr>
        <sz val="10"/>
        <rFont val="Arial"/>
      </rPr>
      <t>SHIP RESTRICTED RADIO TELEPHONE OPERATOR</t>
    </r>
  </si>
  <si>
    <r>
      <rPr>
        <sz val="10"/>
        <rFont val="Arial"/>
      </rPr>
      <t>SHIP SECURITY AWARENESS</t>
    </r>
  </si>
  <si>
    <r>
      <rPr>
        <sz val="10"/>
        <rFont val="Arial"/>
      </rPr>
      <t>SHIP SIMULATOR</t>
    </r>
  </si>
  <si>
    <r>
      <rPr>
        <sz val="10"/>
        <rFont val="Arial"/>
      </rPr>
      <t>SHIPBOARD POLLUTION RESPONSE TRAINING COURSE</t>
    </r>
  </si>
  <si>
    <r>
      <rPr>
        <sz val="10"/>
        <rFont val="Arial"/>
      </rPr>
      <t>SHIPBOARD TRAINING AND ASSESSMENT</t>
    </r>
  </si>
  <si>
    <r>
      <rPr>
        <sz val="10"/>
        <rFont val="Arial"/>
      </rPr>
      <t>SHIPHANDLING, ANCHORING, MOORING PROCEEDURES (HSC)</t>
    </r>
  </si>
  <si>
    <r>
      <rPr>
        <sz val="10"/>
        <rFont val="Arial"/>
      </rPr>
      <t>SHIPMATE</t>
    </r>
  </si>
  <si>
    <r>
      <rPr>
        <sz val="10"/>
        <rFont val="Arial"/>
      </rPr>
      <t>SHIPMATE/PAYROLL</t>
    </r>
  </si>
  <si>
    <r>
      <rPr>
        <sz val="10"/>
        <rFont val="Arial"/>
      </rPr>
      <t>SHIPMATE/PERSONNEL</t>
    </r>
  </si>
  <si>
    <r>
      <rPr>
        <sz val="10"/>
        <rFont val="Arial"/>
      </rPr>
      <t>SHIPMATE/PURCHASEMATE</t>
    </r>
  </si>
  <si>
    <r>
      <rPr>
        <sz val="10"/>
        <rFont val="Arial"/>
      </rPr>
      <t>SHIPS COOKS COURSE (UK) PART 1</t>
    </r>
  </si>
  <si>
    <r>
      <rPr>
        <sz val="10"/>
        <rFont val="Arial"/>
      </rPr>
      <t>SHIPS COOKS COURSE (UK) PART 2</t>
    </r>
  </si>
  <si>
    <r>
      <rPr>
        <sz val="10"/>
        <rFont val="Arial"/>
      </rPr>
      <t>SHIPS SAFETY OFFICER</t>
    </r>
  </si>
  <si>
    <r>
      <rPr>
        <sz val="10"/>
        <rFont val="Arial"/>
      </rPr>
      <t>SHOCK PULSE MONITORING</t>
    </r>
  </si>
  <si>
    <r>
      <rPr>
        <sz val="10"/>
        <rFont val="Arial"/>
      </rPr>
      <t>SHORE BASED FIRE FIGHITING</t>
    </r>
  </si>
  <si>
    <r>
      <rPr>
        <sz val="10"/>
        <rFont val="Arial"/>
      </rPr>
      <t>SHS - SHIP-HANDLING SIMULATOR</t>
    </r>
  </si>
  <si>
    <r>
      <rPr>
        <sz val="10"/>
        <rFont val="Arial"/>
      </rPr>
      <t>SICHERHEITSBEAUFTRAGTER</t>
    </r>
  </si>
  <si>
    <r>
      <rPr>
        <sz val="10"/>
        <rFont val="Arial"/>
      </rPr>
      <t>SIGTTO LNG COMPETENCY</t>
    </r>
  </si>
  <si>
    <r>
      <rPr>
        <sz val="10"/>
        <rFont val="Arial"/>
      </rPr>
      <t>SIMULATOR - BRIDGE TEAM MANAGEMENT</t>
    </r>
  </si>
  <si>
    <r>
      <rPr>
        <sz val="10"/>
        <rFont val="Arial"/>
      </rPr>
      <t>SIMULATOR TRAINING</t>
    </r>
  </si>
  <si>
    <r>
      <rPr>
        <sz val="10"/>
        <rFont val="Arial"/>
      </rPr>
      <t>SIRE II TRAINING</t>
    </r>
  </si>
  <si>
    <r>
      <rPr>
        <sz val="10"/>
        <rFont val="Arial"/>
      </rPr>
      <t>SMS - SHIP MANOEUVRING SIMULATOR AND BRIDGE TEAMWORK COURSE</t>
    </r>
  </si>
  <si>
    <r>
      <rPr>
        <sz val="10"/>
        <rFont val="Arial"/>
      </rPr>
      <t>SOLAS PRE-SEA TRAINING</t>
    </r>
  </si>
  <si>
    <r>
      <rPr>
        <sz val="10"/>
        <rFont val="Arial"/>
      </rPr>
      <t>SOPEP CBT 4</t>
    </r>
  </si>
  <si>
    <r>
      <rPr>
        <sz val="10"/>
        <rFont val="Arial"/>
      </rPr>
      <t>SPECIAL CHEMICAL TANKER TRAINING A-V/1 15</t>
    </r>
  </si>
  <si>
    <r>
      <rPr>
        <sz val="10"/>
        <rFont val="Arial"/>
      </rPr>
      <t>SPECIAL GAS TANKER TRAINING A-V/1 22</t>
    </r>
  </si>
  <si>
    <r>
      <rPr>
        <sz val="10"/>
        <rFont val="Arial"/>
      </rPr>
      <t>SPECIAL OIL TANKER TRAINING A-V/1 8</t>
    </r>
  </si>
  <si>
    <r>
      <rPr>
        <sz val="10"/>
        <rFont val="Arial"/>
      </rPr>
      <t>SPECIALIZED TRAINING IN LNG SHIP OPERATIONS</t>
    </r>
  </si>
  <si>
    <r>
      <rPr>
        <sz val="10"/>
        <rFont val="Arial"/>
      </rPr>
      <t>SSO - SHIP SECURITY OFFICER</t>
    </r>
  </si>
  <si>
    <r>
      <rPr>
        <sz val="10"/>
        <rFont val="Arial"/>
      </rPr>
      <t>STABILITY 2, DAMAGE STABILITY CBT 61</t>
    </r>
  </si>
  <si>
    <r>
      <rPr>
        <sz val="10"/>
        <rFont val="Arial"/>
      </rPr>
      <t>STABILITY1 - CBT</t>
    </r>
  </si>
  <si>
    <r>
      <rPr>
        <sz val="10"/>
        <rFont val="Arial"/>
      </rPr>
      <t>STCW-95 UPGRADE</t>
    </r>
  </si>
  <si>
    <r>
      <rPr>
        <sz val="10"/>
        <rFont val="Arial"/>
      </rPr>
      <t>STCW-MINIMUM REST PERIODS</t>
    </r>
  </si>
  <si>
    <r>
      <rPr>
        <sz val="10"/>
        <rFont val="Arial"/>
      </rPr>
      <t>STEAM &amp; GAS TURBINE COURSE</t>
    </r>
  </si>
  <si>
    <r>
      <rPr>
        <sz val="10"/>
        <rFont val="Arial"/>
      </rPr>
      <t>STEERING</t>
    </r>
  </si>
  <si>
    <r>
      <rPr>
        <sz val="10"/>
        <rFont val="Arial"/>
      </rPr>
      <t>STEERING GEAR</t>
    </r>
  </si>
  <si>
    <r>
      <rPr>
        <sz val="10"/>
        <rFont val="Arial"/>
      </rPr>
      <t>STEERING PROCEDURES (HSC)</t>
    </r>
  </si>
  <si>
    <r>
      <rPr>
        <sz val="10"/>
        <rFont val="Arial"/>
      </rPr>
      <t>STOREKEEPER TRAINING</t>
    </r>
  </si>
  <si>
    <r>
      <rPr>
        <sz val="10"/>
        <rFont val="Arial"/>
      </rPr>
      <t>SURVEYS &amp; INSPECTION</t>
    </r>
  </si>
  <si>
    <r>
      <rPr>
        <sz val="10"/>
        <rFont val="Arial"/>
      </rPr>
      <t>SURVIVAL AT SEA COURSE</t>
    </r>
  </si>
  <si>
    <r>
      <rPr>
        <sz val="10"/>
        <rFont val="Arial"/>
      </rPr>
      <t>SWP - SAFE WORKING PRACTICES</t>
    </r>
  </si>
  <si>
    <r>
      <rPr>
        <sz val="10"/>
        <rFont val="Arial"/>
      </rPr>
      <t>TALKING ABOUT AIDS</t>
    </r>
  </si>
  <si>
    <r>
      <rPr>
        <sz val="10"/>
        <rFont val="Arial"/>
      </rPr>
      <t>TANKER FAMILIARIZATION – A-V/1.1-7</t>
    </r>
  </si>
  <si>
    <r>
      <rPr>
        <sz val="10"/>
        <rFont val="Arial"/>
      </rPr>
      <t>TANKER HULL INSPECTION COURSE</t>
    </r>
  </si>
  <si>
    <r>
      <rPr>
        <sz val="10"/>
        <rFont val="Arial"/>
      </rPr>
      <t>TANKER OPERATIONS</t>
    </r>
  </si>
  <si>
    <r>
      <rPr>
        <sz val="10"/>
        <rFont val="Arial"/>
      </rPr>
      <t>TANKERMAN COURSE</t>
    </r>
  </si>
  <si>
    <r>
      <rPr>
        <sz val="10"/>
        <rFont val="Arial"/>
      </rPr>
      <t>TANKERMAN COW / IG (FLAG)</t>
    </r>
  </si>
  <si>
    <r>
      <rPr>
        <sz val="10"/>
        <rFont val="Arial"/>
      </rPr>
      <t>TASCO</t>
    </r>
  </si>
  <si>
    <r>
      <rPr>
        <sz val="10"/>
        <rFont val="Arial"/>
      </rPr>
      <t>T-BOSIET</t>
    </r>
  </si>
  <si>
    <r>
      <rPr>
        <sz val="10"/>
        <rFont val="Arial"/>
      </rPr>
      <t>T-BOSIET - (OPITO APPROVED)</t>
    </r>
  </si>
  <si>
    <r>
      <rPr>
        <sz val="10"/>
        <rFont val="Arial"/>
      </rPr>
      <t>TEAM 1 OBJECTIVES WORKSHOP</t>
    </r>
  </si>
  <si>
    <r>
      <rPr>
        <sz val="10"/>
        <rFont val="Arial"/>
      </rPr>
      <t>TGE SEMINAR GDYNIA</t>
    </r>
  </si>
  <si>
    <r>
      <rPr>
        <sz val="10"/>
        <rFont val="Arial"/>
      </rPr>
      <t>TRAINEE OFFSHORE AIR DIVING SUPERVISOR</t>
    </r>
  </si>
  <si>
    <r>
      <rPr>
        <sz val="10"/>
        <rFont val="Arial"/>
      </rPr>
      <t>TRAINING COURSE FOR MARINE ENGINEERS</t>
    </r>
  </si>
  <si>
    <r>
      <rPr>
        <sz val="10"/>
        <rFont val="Arial"/>
      </rPr>
      <t>TRAINING COURSE IN CONTINENTAL CUISINE</t>
    </r>
  </si>
  <si>
    <r>
      <rPr>
        <sz val="10"/>
        <rFont val="Arial"/>
      </rPr>
      <t>TRAINING COURSE IN ITALIAN CUISINE</t>
    </r>
  </si>
  <si>
    <r>
      <rPr>
        <sz val="10"/>
        <rFont val="Arial"/>
      </rPr>
      <t>TRAINING THE TRAINER</t>
    </r>
  </si>
  <si>
    <r>
      <rPr>
        <sz val="10"/>
        <rFont val="Arial"/>
      </rPr>
      <t>TRANSPORT OF DANGEROUS GOODS BY SEA</t>
    </r>
  </si>
  <si>
    <r>
      <rPr>
        <sz val="10"/>
        <rFont val="Arial"/>
      </rPr>
      <t>TURKISH STRAITS BASIC</t>
    </r>
  </si>
  <si>
    <r>
      <rPr>
        <sz val="10"/>
        <rFont val="Arial"/>
      </rPr>
      <t>TURKISH STRAITS SIMULATOR</t>
    </r>
  </si>
  <si>
    <r>
      <rPr>
        <sz val="10"/>
        <rFont val="Arial"/>
      </rPr>
      <t>UNDERWATER INSPECTOR 3.2U</t>
    </r>
  </si>
  <si>
    <r>
      <rPr>
        <sz val="10"/>
        <rFont val="Arial"/>
      </rPr>
      <t>UNDERWATER INSPECTOR GRADE 3.1U</t>
    </r>
  </si>
  <si>
    <r>
      <rPr>
        <sz val="10"/>
        <rFont val="Arial"/>
      </rPr>
      <t>US HAZMAT (US 49, CFR, 172, 104)</t>
    </r>
  </si>
  <si>
    <r>
      <rPr>
        <sz val="10"/>
        <rFont val="Arial"/>
      </rPr>
      <t>VAPOUR RECOVERY</t>
    </r>
  </si>
  <si>
    <r>
      <rPr>
        <sz val="10"/>
        <rFont val="Arial"/>
      </rPr>
      <t>VESSEL STRUCTURAL CONDITIONS CBT 14</t>
    </r>
  </si>
  <si>
    <r>
      <rPr>
        <sz val="10"/>
        <rFont val="Arial"/>
      </rPr>
      <t>VETTING INSPECTIONS</t>
    </r>
  </si>
  <si>
    <r>
      <rPr>
        <sz val="10"/>
        <rFont val="Arial"/>
      </rPr>
      <t>VISCOSITY CONTROL CBT 83</t>
    </r>
  </si>
  <si>
    <r>
      <rPr>
        <sz val="10"/>
        <rFont val="Arial"/>
      </rPr>
      <t>VOYAGE PLANNING CBT 26</t>
    </r>
  </si>
  <si>
    <r>
      <rPr>
        <sz val="10"/>
        <rFont val="Arial"/>
      </rPr>
      <t>VOYAGE PLANNING TRAINING</t>
    </r>
  </si>
  <si>
    <r>
      <rPr>
        <sz val="10"/>
        <rFont val="Arial"/>
      </rPr>
      <t>VRM - VESSEL RESOURCE MANAGEMENT</t>
    </r>
  </si>
  <si>
    <r>
      <rPr>
        <sz val="10"/>
        <rFont val="Arial"/>
      </rPr>
      <t>WAREHOUSE AND LOGISTICS COURSE</t>
    </r>
  </si>
  <si>
    <r>
      <rPr>
        <sz val="10"/>
        <rFont val="Arial"/>
      </rPr>
      <t>WARTSILA SULZER ENGINES</t>
    </r>
  </si>
  <si>
    <r>
      <rPr>
        <sz val="10"/>
        <rFont val="Arial"/>
      </rPr>
      <t>WARTSLIA GENERATORS</t>
    </r>
  </si>
  <si>
    <r>
      <rPr>
        <sz val="10"/>
        <rFont val="Arial"/>
      </rPr>
      <t>WASTE DISPOSAL AND MACHINERY MANAGEMENT</t>
    </r>
  </si>
  <si>
    <r>
      <rPr>
        <sz val="10"/>
        <rFont val="Arial"/>
      </rPr>
      <t>WASTE OIL (OWS), BALLAST OR GARBAGE MANAGEMENT (HSC)</t>
    </r>
  </si>
  <si>
    <r>
      <rPr>
        <sz val="10"/>
        <rFont val="Arial"/>
      </rPr>
      <t>WATCHKEEPING CERTIFICATE</t>
    </r>
  </si>
  <si>
    <r>
      <rPr>
        <sz val="10"/>
        <rFont val="Arial"/>
      </rPr>
      <t>WATER TREATMENT</t>
    </r>
  </si>
  <si>
    <r>
      <rPr>
        <sz val="10"/>
        <rFont val="Arial"/>
      </rPr>
      <t>WELDER PERFORMANCE QUALIFICATION</t>
    </r>
  </si>
  <si>
    <r>
      <rPr>
        <sz val="10"/>
        <rFont val="Arial"/>
      </rPr>
      <t>WELDING</t>
    </r>
  </si>
  <si>
    <r>
      <rPr>
        <sz val="10"/>
        <rFont val="Arial"/>
      </rPr>
      <t>$AG$2:$AG$891</t>
    </r>
  </si>
  <si>
    <r>
      <rPr>
        <sz val="10"/>
        <rFont val="Arial"/>
      </rPr>
      <t>AALESUND</t>
    </r>
  </si>
  <si>
    <r>
      <rPr>
        <sz val="10"/>
        <rFont val="Arial"/>
      </rPr>
      <t>AARHUS</t>
    </r>
  </si>
  <si>
    <r>
      <rPr>
        <sz val="10"/>
        <rFont val="Arial"/>
      </rPr>
      <t>ABADAN</t>
    </r>
  </si>
  <si>
    <r>
      <rPr>
        <sz val="10"/>
        <rFont val="Arial"/>
      </rPr>
      <t>ABERDEEN</t>
    </r>
  </si>
  <si>
    <r>
      <rPr>
        <sz val="10"/>
        <rFont val="Arial"/>
      </rPr>
      <t>ABIDJAN</t>
    </r>
  </si>
  <si>
    <r>
      <rPr>
        <sz val="10"/>
        <rFont val="Arial"/>
      </rPr>
      <t>ABU DHABI</t>
    </r>
  </si>
  <si>
    <r>
      <rPr>
        <sz val="10"/>
        <rFont val="Arial"/>
      </rPr>
      <t>ACAPULCO</t>
    </r>
  </si>
  <si>
    <r>
      <rPr>
        <sz val="10"/>
        <rFont val="Arial"/>
      </rPr>
      <t>ACCRA</t>
    </r>
  </si>
  <si>
    <r>
      <rPr>
        <sz val="10"/>
        <rFont val="Arial"/>
      </rPr>
      <t>ADANA</t>
    </r>
  </si>
  <si>
    <r>
      <rPr>
        <sz val="10"/>
        <rFont val="Arial"/>
      </rPr>
      <t>ADDIS ABABA</t>
    </r>
  </si>
  <si>
    <r>
      <rPr>
        <sz val="10"/>
        <rFont val="Arial"/>
      </rPr>
      <t>ADELAIDE</t>
    </r>
  </si>
  <si>
    <r>
      <rPr>
        <sz val="10"/>
        <rFont val="Arial"/>
      </rPr>
      <t>ADEN</t>
    </r>
  </si>
  <si>
    <r>
      <rPr>
        <sz val="10"/>
        <rFont val="Arial"/>
      </rPr>
      <t>AGADIR</t>
    </r>
  </si>
  <si>
    <r>
      <rPr>
        <sz val="10"/>
        <rFont val="Arial"/>
      </rPr>
      <t>AGUILLA</t>
    </r>
  </si>
  <si>
    <r>
      <rPr>
        <sz val="10"/>
        <rFont val="Arial"/>
      </rPr>
      <t>AHMEDABAD</t>
    </r>
  </si>
  <si>
    <r>
      <rPr>
        <sz val="10"/>
        <rFont val="Arial"/>
      </rPr>
      <t>AJACCIO  CORSICA</t>
    </r>
  </si>
  <si>
    <r>
      <rPr>
        <sz val="10"/>
        <rFont val="Arial"/>
      </rPr>
      <t>AKITA</t>
    </r>
  </si>
  <si>
    <r>
      <rPr>
        <sz val="10"/>
        <rFont val="Arial"/>
      </rPr>
      <t>ALBANY</t>
    </r>
  </si>
  <si>
    <r>
      <rPr>
        <sz val="10"/>
        <rFont val="Arial"/>
      </rPr>
      <t>ALEXANDER BAY</t>
    </r>
  </si>
  <si>
    <r>
      <rPr>
        <sz val="10"/>
        <rFont val="Arial"/>
      </rPr>
      <t>ALEXANDRIA</t>
    </r>
  </si>
  <si>
    <r>
      <rPr>
        <sz val="10"/>
        <rFont val="Arial"/>
      </rPr>
      <t>ALEXANDROPOULIS</t>
    </r>
  </si>
  <si>
    <r>
      <rPr>
        <sz val="10"/>
        <rFont val="Arial"/>
      </rPr>
      <t>ALGIERS</t>
    </r>
  </si>
  <si>
    <r>
      <rPr>
        <sz val="10"/>
        <rFont val="Arial"/>
      </rPr>
      <t>ALICANTE</t>
    </r>
  </si>
  <si>
    <r>
      <rPr>
        <sz val="10"/>
        <rFont val="Arial"/>
      </rPr>
      <t>ALMERIA</t>
    </r>
  </si>
  <si>
    <r>
      <rPr>
        <sz val="10"/>
        <rFont val="Arial"/>
      </rPr>
      <t>ALTAMIRA</t>
    </r>
  </si>
  <si>
    <r>
      <rPr>
        <sz val="10"/>
        <rFont val="Arial"/>
      </rPr>
      <t>AMBON</t>
    </r>
  </si>
  <si>
    <r>
      <rPr>
        <sz val="10"/>
        <rFont val="Arial"/>
      </rPr>
      <t>AMMAN</t>
    </r>
  </si>
  <si>
    <r>
      <rPr>
        <sz val="10"/>
        <rFont val="Arial"/>
      </rPr>
      <t>AMSTERDAM</t>
    </r>
  </si>
  <si>
    <r>
      <rPr>
        <sz val="10"/>
        <rFont val="Arial"/>
      </rPr>
      <t>ANCHORAGE</t>
    </r>
  </si>
  <si>
    <r>
      <rPr>
        <sz val="10"/>
        <rFont val="Arial"/>
      </rPr>
      <t>ANCONA</t>
    </r>
  </si>
  <si>
    <r>
      <rPr>
        <sz val="10"/>
        <rFont val="Arial"/>
      </rPr>
      <t>ANJOUAN</t>
    </r>
  </si>
  <si>
    <r>
      <rPr>
        <sz val="10"/>
        <rFont val="Arial"/>
      </rPr>
      <t>ANKARA</t>
    </r>
  </si>
  <si>
    <r>
      <rPr>
        <sz val="10"/>
        <rFont val="Arial"/>
      </rPr>
      <t>ANNABA</t>
    </r>
  </si>
  <si>
    <r>
      <rPr>
        <sz val="10"/>
        <rFont val="Arial"/>
      </rPr>
      <t>ANTALYA</t>
    </r>
  </si>
  <si>
    <r>
      <rPr>
        <sz val="10"/>
        <rFont val="Arial"/>
      </rPr>
      <t>ANTANANARIVO</t>
    </r>
  </si>
  <si>
    <r>
      <rPr>
        <sz val="10"/>
        <rFont val="Arial"/>
      </rPr>
      <t>ANTIGUA</t>
    </r>
  </si>
  <si>
    <r>
      <rPr>
        <sz val="10"/>
        <rFont val="Arial"/>
      </rPr>
      <t>ANTOFAGASTA</t>
    </r>
  </si>
  <si>
    <r>
      <rPr>
        <sz val="10"/>
        <rFont val="Arial"/>
      </rPr>
      <t>ANTWERP</t>
    </r>
  </si>
  <si>
    <r>
      <rPr>
        <sz val="10"/>
        <rFont val="Arial"/>
      </rPr>
      <t>APIA</t>
    </r>
  </si>
  <si>
    <r>
      <rPr>
        <sz val="10"/>
        <rFont val="Arial"/>
      </rPr>
      <t>AQABA</t>
    </r>
  </si>
  <si>
    <r>
      <rPr>
        <sz val="10"/>
        <rFont val="Arial"/>
      </rPr>
      <t>ARCATA/EUREKA</t>
    </r>
  </si>
  <si>
    <r>
      <rPr>
        <sz val="10"/>
        <rFont val="Arial"/>
      </rPr>
      <t>ARICA</t>
    </r>
  </si>
  <si>
    <r>
      <rPr>
        <sz val="10"/>
        <rFont val="Arial"/>
      </rPr>
      <t>ARKHANGELSK</t>
    </r>
  </si>
  <si>
    <r>
      <rPr>
        <sz val="10"/>
        <rFont val="Arial"/>
      </rPr>
      <t>ARLANDA</t>
    </r>
  </si>
  <si>
    <r>
      <rPr>
        <sz val="10"/>
        <rFont val="Arial"/>
      </rPr>
      <t>ARUBA</t>
    </r>
  </si>
  <si>
    <r>
      <rPr>
        <sz val="10"/>
        <rFont val="Arial"/>
      </rPr>
      <t>ASCENSION ISL.</t>
    </r>
  </si>
  <si>
    <r>
      <rPr>
        <sz val="10"/>
        <rFont val="Arial"/>
      </rPr>
      <t>ASSAB</t>
    </r>
  </si>
  <si>
    <r>
      <rPr>
        <sz val="10"/>
        <rFont val="Arial"/>
      </rPr>
      <t>ASUNCION</t>
    </r>
  </si>
  <si>
    <r>
      <rPr>
        <sz val="10"/>
        <rFont val="Arial"/>
      </rPr>
      <t>ATHENS</t>
    </r>
  </si>
  <si>
    <r>
      <rPr>
        <sz val="10"/>
        <rFont val="Arial"/>
      </rPr>
      <t>ATLANTA</t>
    </r>
  </si>
  <si>
    <r>
      <rPr>
        <sz val="10"/>
        <rFont val="Arial"/>
      </rPr>
      <t>AUCKLAND</t>
    </r>
  </si>
  <si>
    <r>
      <rPr>
        <sz val="10"/>
        <rFont val="Arial"/>
      </rPr>
      <t>BACOLOD</t>
    </r>
  </si>
  <si>
    <r>
      <rPr>
        <sz val="10"/>
        <rFont val="Arial"/>
      </rPr>
      <t>BAGHDAD</t>
    </r>
  </si>
  <si>
    <r>
      <rPr>
        <sz val="10"/>
        <rFont val="Arial"/>
      </rPr>
      <t>BAGOTVILLE  QUEBEC</t>
    </r>
  </si>
  <si>
    <r>
      <rPr>
        <sz val="10"/>
        <rFont val="Arial"/>
      </rPr>
      <t>BAHIA BLANCA</t>
    </r>
  </si>
  <si>
    <r>
      <rPr>
        <sz val="10"/>
        <rFont val="Arial"/>
      </rPr>
      <t>BAHRAIN</t>
    </r>
  </si>
  <si>
    <r>
      <rPr>
        <sz val="10"/>
        <rFont val="Arial"/>
      </rPr>
      <t>BAIE COMEAU</t>
    </r>
  </si>
  <si>
    <r>
      <rPr>
        <sz val="10"/>
        <rFont val="Arial"/>
      </rPr>
      <t>BAKU</t>
    </r>
  </si>
  <si>
    <r>
      <rPr>
        <sz val="10"/>
        <rFont val="Arial"/>
      </rPr>
      <t>BALIKPAPAN</t>
    </r>
  </si>
  <si>
    <r>
      <rPr>
        <sz val="10"/>
        <rFont val="Arial"/>
      </rPr>
      <t>BALMACEDA</t>
    </r>
  </si>
  <si>
    <r>
      <rPr>
        <sz val="10"/>
        <rFont val="Arial"/>
      </rPr>
      <t>BALTIMORE</t>
    </r>
  </si>
  <si>
    <r>
      <rPr>
        <sz val="10"/>
        <rFont val="Arial"/>
      </rPr>
      <t>BANDA SERAI DAR.</t>
    </r>
  </si>
  <si>
    <r>
      <rPr>
        <sz val="10"/>
        <rFont val="Arial"/>
      </rPr>
      <t>BANDAR ABBAS</t>
    </r>
  </si>
  <si>
    <r>
      <rPr>
        <sz val="10"/>
        <rFont val="Arial"/>
      </rPr>
      <t>BANDAR LAMPUNG</t>
    </r>
  </si>
  <si>
    <r>
      <rPr>
        <sz val="10"/>
        <rFont val="Arial"/>
      </rPr>
      <t>BANGALORE</t>
    </r>
  </si>
  <si>
    <r>
      <rPr>
        <sz val="10"/>
        <rFont val="Arial"/>
      </rPr>
      <t>BANGKOK</t>
    </r>
  </si>
  <si>
    <r>
      <rPr>
        <sz val="10"/>
        <rFont val="Arial"/>
      </rPr>
      <t>BANGOR ME</t>
    </r>
  </si>
  <si>
    <r>
      <rPr>
        <sz val="10"/>
        <rFont val="Arial"/>
      </rPr>
      <t>BANJUL</t>
    </r>
  </si>
  <si>
    <r>
      <rPr>
        <sz val="10"/>
        <rFont val="Arial"/>
      </rPr>
      <t>BARBADOS</t>
    </r>
  </si>
  <si>
    <r>
      <rPr>
        <sz val="10"/>
        <rFont val="Arial"/>
      </rPr>
      <t>BARCELONA</t>
    </r>
  </si>
  <si>
    <r>
      <rPr>
        <sz val="10"/>
        <rFont val="Arial"/>
      </rPr>
      <t>BARCELONA  VEN.</t>
    </r>
  </si>
  <si>
    <r>
      <rPr>
        <sz val="10"/>
        <rFont val="Arial"/>
      </rPr>
      <t>BARI</t>
    </r>
  </si>
  <si>
    <r>
      <rPr>
        <sz val="10"/>
        <rFont val="Arial"/>
      </rPr>
      <t>BARRANQUILLA</t>
    </r>
  </si>
  <si>
    <r>
      <rPr>
        <sz val="10"/>
        <rFont val="Arial"/>
      </rPr>
      <t>BASRA</t>
    </r>
  </si>
  <si>
    <r>
      <rPr>
        <sz val="10"/>
        <rFont val="Arial"/>
      </rPr>
      <t>BASSETERRE</t>
    </r>
  </si>
  <si>
    <r>
      <rPr>
        <sz val="10"/>
        <rFont val="Arial"/>
      </rPr>
      <t>BASTIA  CORSICA</t>
    </r>
  </si>
  <si>
    <r>
      <rPr>
        <sz val="10"/>
        <rFont val="Arial"/>
      </rPr>
      <t>BATA</t>
    </r>
  </si>
  <si>
    <r>
      <rPr>
        <sz val="10"/>
        <rFont val="Arial"/>
      </rPr>
      <t>BATON ROUGE LA</t>
    </r>
  </si>
  <si>
    <r>
      <rPr>
        <sz val="10"/>
        <rFont val="Arial"/>
      </rPr>
      <t>BATUMI</t>
    </r>
  </si>
  <si>
    <r>
      <rPr>
        <sz val="10"/>
        <rFont val="Arial"/>
      </rPr>
      <t>BAYREUTH</t>
    </r>
  </si>
  <si>
    <r>
      <rPr>
        <sz val="10"/>
        <rFont val="Arial"/>
      </rPr>
      <t>BEAUMONT TX</t>
    </r>
  </si>
  <si>
    <r>
      <rPr>
        <sz val="10"/>
        <rFont val="Arial"/>
      </rPr>
      <t>BEIJING</t>
    </r>
  </si>
  <si>
    <r>
      <rPr>
        <sz val="10"/>
        <rFont val="Arial"/>
      </rPr>
      <t>BEIRA</t>
    </r>
  </si>
  <si>
    <r>
      <rPr>
        <sz val="10"/>
        <rFont val="Arial"/>
      </rPr>
      <t>BEIRUT</t>
    </r>
  </si>
  <si>
    <r>
      <rPr>
        <sz val="10"/>
        <rFont val="Arial"/>
      </rPr>
      <t>BEJAIA</t>
    </r>
  </si>
  <si>
    <r>
      <rPr>
        <sz val="10"/>
        <rFont val="Arial"/>
      </rPr>
      <t>BELEM</t>
    </r>
  </si>
  <si>
    <r>
      <rPr>
        <sz val="10"/>
        <rFont val="Arial"/>
      </rPr>
      <t>BELFAST</t>
    </r>
  </si>
  <si>
    <r>
      <rPr>
        <sz val="10"/>
        <rFont val="Arial"/>
      </rPr>
      <t>BELGRADE</t>
    </r>
  </si>
  <si>
    <r>
      <rPr>
        <sz val="10"/>
        <rFont val="Arial"/>
      </rPr>
      <t>BELIZE</t>
    </r>
  </si>
  <si>
    <r>
      <rPr>
        <sz val="10"/>
        <rFont val="Arial"/>
      </rPr>
      <t>BELLINGHAM</t>
    </r>
  </si>
  <si>
    <r>
      <rPr>
        <sz val="10"/>
        <rFont val="Arial"/>
      </rPr>
      <t>BELMONT</t>
    </r>
  </si>
  <si>
    <r>
      <rPr>
        <sz val="10"/>
        <rFont val="Arial"/>
      </rPr>
      <t>BENBECULA</t>
    </r>
  </si>
  <si>
    <r>
      <rPr>
        <sz val="10"/>
        <rFont val="Arial"/>
      </rPr>
      <t>BENGHAZI</t>
    </r>
  </si>
  <si>
    <r>
      <rPr>
        <sz val="10"/>
        <rFont val="Arial"/>
      </rPr>
      <t>BENGUELA</t>
    </r>
  </si>
  <si>
    <r>
      <rPr>
        <sz val="10"/>
        <rFont val="Arial"/>
      </rPr>
      <t>BENIN CITY</t>
    </r>
  </si>
  <si>
    <r>
      <rPr>
        <sz val="10"/>
        <rFont val="Arial"/>
      </rPr>
      <t>BERBERA</t>
    </r>
  </si>
  <si>
    <r>
      <rPr>
        <sz val="10"/>
        <rFont val="Arial"/>
      </rPr>
      <t>BERGEN</t>
    </r>
  </si>
  <si>
    <r>
      <rPr>
        <sz val="10"/>
        <rFont val="Arial"/>
      </rPr>
      <t>BERLIN</t>
    </r>
  </si>
  <si>
    <r>
      <rPr>
        <sz val="10"/>
        <rFont val="Arial"/>
      </rPr>
      <t>BERMUDA</t>
    </r>
  </si>
  <si>
    <r>
      <rPr>
        <sz val="10"/>
        <rFont val="Arial"/>
      </rPr>
      <t>BHAVNAGAR</t>
    </r>
  </si>
  <si>
    <r>
      <rPr>
        <sz val="10"/>
        <rFont val="Arial"/>
      </rPr>
      <t>BHOPAL</t>
    </r>
  </si>
  <si>
    <r>
      <rPr>
        <sz val="10"/>
        <rFont val="Arial"/>
      </rPr>
      <t>BHUBANESWAR</t>
    </r>
  </si>
  <si>
    <r>
      <rPr>
        <sz val="10"/>
        <rFont val="Arial"/>
      </rPr>
      <t>BHUJ</t>
    </r>
  </si>
  <si>
    <r>
      <rPr>
        <sz val="10"/>
        <rFont val="Arial"/>
      </rPr>
      <t>BIARRITZ</t>
    </r>
  </si>
  <si>
    <r>
      <rPr>
        <sz val="10"/>
        <rFont val="Arial"/>
      </rPr>
      <t>BILBAO</t>
    </r>
  </si>
  <si>
    <r>
      <rPr>
        <sz val="10"/>
        <rFont val="Arial"/>
      </rPr>
      <t>BILLUND</t>
    </r>
  </si>
  <si>
    <r>
      <rPr>
        <sz val="10"/>
        <rFont val="Arial"/>
      </rPr>
      <t>BINTULU</t>
    </r>
  </si>
  <si>
    <r>
      <rPr>
        <sz val="10"/>
        <rFont val="Arial"/>
      </rPr>
      <t>BIRMINGHAM</t>
    </r>
  </si>
  <si>
    <r>
      <rPr>
        <sz val="10"/>
        <rFont val="Arial"/>
      </rPr>
      <t>BISSAU</t>
    </r>
  </si>
  <si>
    <r>
      <rPr>
        <sz val="10"/>
        <rFont val="Arial"/>
      </rPr>
      <t>BLACKPOOL</t>
    </r>
  </si>
  <si>
    <r>
      <rPr>
        <sz val="10"/>
        <rFont val="Arial"/>
      </rPr>
      <t>BODO</t>
    </r>
  </si>
  <si>
    <r>
      <rPr>
        <sz val="10"/>
        <rFont val="Arial"/>
      </rPr>
      <t>BOLOGNA</t>
    </r>
  </si>
  <si>
    <r>
      <rPr>
        <sz val="10"/>
        <rFont val="Arial"/>
      </rPr>
      <t>BOMBAY</t>
    </r>
  </si>
  <si>
    <r>
      <rPr>
        <sz val="10"/>
        <rFont val="Arial"/>
      </rPr>
      <t>BONAIRE</t>
    </r>
  </si>
  <si>
    <r>
      <rPr>
        <sz val="10"/>
        <rFont val="Arial"/>
      </rPr>
      <t>BORDEAUX</t>
    </r>
  </si>
  <si>
    <r>
      <rPr>
        <sz val="10"/>
        <rFont val="Arial"/>
      </rPr>
      <t>BORNHOLM</t>
    </r>
  </si>
  <si>
    <r>
      <rPr>
        <sz val="10"/>
        <rFont val="Arial"/>
      </rPr>
      <t>BOSTON</t>
    </r>
  </si>
  <si>
    <r>
      <rPr>
        <sz val="10"/>
        <rFont val="Arial"/>
      </rPr>
      <t>BOURGAS</t>
    </r>
  </si>
  <si>
    <r>
      <rPr>
        <sz val="10"/>
        <rFont val="Arial"/>
      </rPr>
      <t>BRADENTON</t>
    </r>
  </si>
  <si>
    <r>
      <rPr>
        <sz val="10"/>
        <rFont val="Arial"/>
      </rPr>
      <t>BRAZZAVILLE</t>
    </r>
  </si>
  <si>
    <r>
      <rPr>
        <sz val="10"/>
        <rFont val="Arial"/>
      </rPr>
      <t>BREMEN</t>
    </r>
  </si>
  <si>
    <r>
      <rPr>
        <sz val="10"/>
        <rFont val="Arial"/>
      </rPr>
      <t>BREST</t>
    </r>
  </si>
  <si>
    <r>
      <rPr>
        <sz val="10"/>
        <rFont val="Arial"/>
      </rPr>
      <t>BRINDISI</t>
    </r>
  </si>
  <si>
    <r>
      <rPr>
        <sz val="10"/>
        <rFont val="Arial"/>
      </rPr>
      <t>BRISBANE</t>
    </r>
  </si>
  <si>
    <r>
      <rPr>
        <sz val="10"/>
        <rFont val="Arial"/>
      </rPr>
      <t>BRISTOL</t>
    </r>
  </si>
  <si>
    <r>
      <rPr>
        <sz val="10"/>
        <rFont val="Arial"/>
      </rPr>
      <t>BRIZE NORTON</t>
    </r>
  </si>
  <si>
    <r>
      <rPr>
        <sz val="10"/>
        <rFont val="Arial"/>
      </rPr>
      <t>BRONNOY</t>
    </r>
  </si>
  <si>
    <r>
      <rPr>
        <sz val="10"/>
        <rFont val="Arial"/>
      </rPr>
      <t>BROOME</t>
    </r>
  </si>
  <si>
    <r>
      <rPr>
        <sz val="10"/>
        <rFont val="Arial"/>
      </rPr>
      <t>BROWNSVILLE</t>
    </r>
  </si>
  <si>
    <r>
      <rPr>
        <sz val="10"/>
        <rFont val="Arial"/>
      </rPr>
      <t>BRUSSELS</t>
    </r>
  </si>
  <si>
    <r>
      <rPr>
        <sz val="10"/>
        <rFont val="Arial"/>
      </rPr>
      <t>BUCHANAN</t>
    </r>
  </si>
  <si>
    <r>
      <rPr>
        <sz val="10"/>
        <rFont val="Arial"/>
      </rPr>
      <t>BUCHAREST</t>
    </r>
  </si>
  <si>
    <r>
      <rPr>
        <sz val="10"/>
        <rFont val="Arial"/>
      </rPr>
      <t>BUDAPEST</t>
    </r>
  </si>
  <si>
    <r>
      <rPr>
        <sz val="10"/>
        <rFont val="Arial"/>
      </rPr>
      <t>BUENAVENTURA</t>
    </r>
  </si>
  <si>
    <r>
      <rPr>
        <sz val="10"/>
        <rFont val="Arial"/>
      </rPr>
      <t>BUENOS AIRES</t>
    </r>
  </si>
  <si>
    <r>
      <rPr>
        <sz val="10"/>
        <rFont val="Arial"/>
      </rPr>
      <t>BUFFALO</t>
    </r>
  </si>
  <si>
    <r>
      <rPr>
        <sz val="10"/>
        <rFont val="Arial"/>
      </rPr>
      <t>BUNBURY</t>
    </r>
  </si>
  <si>
    <r>
      <rPr>
        <sz val="10"/>
        <rFont val="Arial"/>
      </rPr>
      <t>BUNDABERG</t>
    </r>
  </si>
  <si>
    <r>
      <rPr>
        <sz val="10"/>
        <rFont val="Arial"/>
      </rPr>
      <t>BUSHEHR</t>
    </r>
  </si>
  <si>
    <r>
      <rPr>
        <sz val="10"/>
        <rFont val="Arial"/>
      </rPr>
      <t>BYDGOSZCZ</t>
    </r>
  </si>
  <si>
    <r>
      <rPr>
        <sz val="10"/>
        <rFont val="Arial"/>
      </rPr>
      <t>CABINDA</t>
    </r>
  </si>
  <si>
    <r>
      <rPr>
        <sz val="10"/>
        <rFont val="Arial"/>
      </rPr>
      <t>CAGAYAN DE ORO</t>
    </r>
  </si>
  <si>
    <r>
      <rPr>
        <sz val="10"/>
        <rFont val="Arial"/>
      </rPr>
      <t>CAGLIARI</t>
    </r>
  </si>
  <si>
    <r>
      <rPr>
        <sz val="10"/>
        <rFont val="Arial"/>
      </rPr>
      <t>CAIRNS</t>
    </r>
  </si>
  <si>
    <r>
      <rPr>
        <sz val="10"/>
        <rFont val="Arial"/>
      </rPr>
      <t>CAIRO</t>
    </r>
  </si>
  <si>
    <r>
      <rPr>
        <sz val="10"/>
        <rFont val="Arial"/>
      </rPr>
      <t>CALABAR</t>
    </r>
  </si>
  <si>
    <r>
      <rPr>
        <sz val="10"/>
        <rFont val="Arial"/>
      </rPr>
      <t>CALCUTTA</t>
    </r>
  </si>
  <si>
    <r>
      <rPr>
        <sz val="10"/>
        <rFont val="Arial"/>
      </rPr>
      <t>CALI</t>
    </r>
  </si>
  <si>
    <r>
      <rPr>
        <sz val="10"/>
        <rFont val="Arial"/>
      </rPr>
      <t>CAMPECHE</t>
    </r>
  </si>
  <si>
    <r>
      <rPr>
        <sz val="10"/>
        <rFont val="Arial"/>
      </rPr>
      <t>CANBERRA</t>
    </r>
  </si>
  <si>
    <r>
      <rPr>
        <sz val="10"/>
        <rFont val="Arial"/>
      </rPr>
      <t>CANCUN</t>
    </r>
  </si>
  <si>
    <r>
      <rPr>
        <sz val="10"/>
        <rFont val="Arial"/>
      </rPr>
      <t>CAP HAITIEN</t>
    </r>
  </si>
  <si>
    <r>
      <rPr>
        <sz val="10"/>
        <rFont val="Arial"/>
      </rPr>
      <t>CAPE PALMAS</t>
    </r>
  </si>
  <si>
    <r>
      <rPr>
        <sz val="10"/>
        <rFont val="Arial"/>
      </rPr>
      <t>CAPE TOWN</t>
    </r>
  </si>
  <si>
    <r>
      <rPr>
        <sz val="10"/>
        <rFont val="Arial"/>
      </rPr>
      <t>CARACAS</t>
    </r>
  </si>
  <si>
    <r>
      <rPr>
        <sz val="10"/>
        <rFont val="Arial"/>
      </rPr>
      <t>CARDIFF</t>
    </r>
  </si>
  <si>
    <r>
      <rPr>
        <sz val="10"/>
        <rFont val="Arial"/>
      </rPr>
      <t>CARNARVON</t>
    </r>
  </si>
  <si>
    <r>
      <rPr>
        <sz val="10"/>
        <rFont val="Arial"/>
      </rPr>
      <t>CARTAGENA</t>
    </r>
  </si>
  <si>
    <r>
      <rPr>
        <sz val="10"/>
        <rFont val="Arial"/>
      </rPr>
      <t>CASABLANCA</t>
    </r>
  </si>
  <si>
    <r>
      <rPr>
        <sz val="10"/>
        <rFont val="Arial"/>
      </rPr>
      <t>CATANIA</t>
    </r>
  </si>
  <si>
    <r>
      <rPr>
        <sz val="10"/>
        <rFont val="Arial"/>
      </rPr>
      <t>CAYENNE</t>
    </r>
  </si>
  <si>
    <r>
      <rPr>
        <sz val="10"/>
        <rFont val="Arial"/>
      </rPr>
      <t>CEBU</t>
    </r>
  </si>
  <si>
    <r>
      <rPr>
        <sz val="10"/>
        <rFont val="Arial"/>
      </rPr>
      <t>CHANARAL</t>
    </r>
  </si>
  <si>
    <r>
      <rPr>
        <sz val="10"/>
        <rFont val="Arial"/>
      </rPr>
      <t>CHARLES DE GAULE</t>
    </r>
  </si>
  <si>
    <r>
      <rPr>
        <sz val="10"/>
        <rFont val="Arial"/>
      </rPr>
      <t>CHARLESTON</t>
    </r>
  </si>
  <si>
    <r>
      <rPr>
        <sz val="10"/>
        <rFont val="Arial"/>
      </rPr>
      <t>CHARLOTTE</t>
    </r>
  </si>
  <si>
    <r>
      <rPr>
        <sz val="10"/>
        <rFont val="Arial"/>
      </rPr>
      <t>CHENNAI</t>
    </r>
  </si>
  <si>
    <r>
      <rPr>
        <sz val="10"/>
        <rFont val="Arial"/>
      </rPr>
      <t>CHETUMAL</t>
    </r>
  </si>
  <si>
    <r>
      <rPr>
        <sz val="10"/>
        <rFont val="Arial"/>
      </rPr>
      <t>CHIANG MAI</t>
    </r>
  </si>
  <si>
    <r>
      <rPr>
        <sz val="10"/>
        <rFont val="Arial"/>
      </rPr>
      <t>CHICAGO</t>
    </r>
  </si>
  <si>
    <r>
      <rPr>
        <sz val="10"/>
        <rFont val="Arial"/>
      </rPr>
      <t>CHICAGO OHARE INTERN</t>
    </r>
  </si>
  <si>
    <r>
      <rPr>
        <sz val="10"/>
        <rFont val="Arial"/>
      </rPr>
      <t>CHICLAYO</t>
    </r>
  </si>
  <si>
    <r>
      <rPr>
        <sz val="10"/>
        <rFont val="Arial"/>
      </rPr>
      <t>CHINJU</t>
    </r>
  </si>
  <si>
    <r>
      <rPr>
        <sz val="10"/>
        <rFont val="Arial"/>
      </rPr>
      <t>CHITTAGONG</t>
    </r>
  </si>
  <si>
    <r>
      <rPr>
        <sz val="10"/>
        <rFont val="Arial"/>
      </rPr>
      <t>CHRISTCHURCH</t>
    </r>
  </si>
  <si>
    <r>
      <rPr>
        <sz val="10"/>
        <rFont val="Arial"/>
      </rPr>
      <t>CHURCHILL</t>
    </r>
  </si>
  <si>
    <r>
      <rPr>
        <sz val="10"/>
        <rFont val="Arial"/>
      </rPr>
      <t>CIENFUEGOS</t>
    </r>
  </si>
  <si>
    <r>
      <rPr>
        <sz val="10"/>
        <rFont val="Arial"/>
      </rPr>
      <t>CLEVELAND</t>
    </r>
  </si>
  <si>
    <r>
      <rPr>
        <sz val="10"/>
        <rFont val="Arial"/>
      </rPr>
      <t>COCHIN</t>
    </r>
  </si>
  <si>
    <r>
      <rPr>
        <sz val="10"/>
        <rFont val="Arial"/>
      </rPr>
      <t>COFFS HARBOUR</t>
    </r>
  </si>
  <si>
    <r>
      <rPr>
        <sz val="10"/>
        <rFont val="Arial"/>
      </rPr>
      <t>COLOGNE</t>
    </r>
  </si>
  <si>
    <r>
      <rPr>
        <sz val="10"/>
        <rFont val="Arial"/>
      </rPr>
      <t>COLOMBO</t>
    </r>
  </si>
  <si>
    <r>
      <rPr>
        <sz val="10"/>
        <rFont val="Arial"/>
      </rPr>
      <t>COLON</t>
    </r>
  </si>
  <si>
    <r>
      <rPr>
        <sz val="10"/>
        <rFont val="Arial"/>
      </rPr>
      <t>COMODORO RIVADAVIA</t>
    </r>
  </si>
  <si>
    <r>
      <rPr>
        <sz val="10"/>
        <rFont val="Arial"/>
      </rPr>
      <t>CONAKRY</t>
    </r>
  </si>
  <si>
    <r>
      <rPr>
        <sz val="10"/>
        <rFont val="Arial"/>
      </rPr>
      <t>CONCEPCION</t>
    </r>
  </si>
  <si>
    <r>
      <rPr>
        <sz val="10"/>
        <rFont val="Arial"/>
      </rPr>
      <t>CONSTANTINE</t>
    </r>
  </si>
  <si>
    <r>
      <rPr>
        <sz val="10"/>
        <rFont val="Arial"/>
      </rPr>
      <t>CONSTANZA</t>
    </r>
  </si>
  <si>
    <r>
      <rPr>
        <sz val="10"/>
        <rFont val="Arial"/>
      </rPr>
      <t>COPENHAGEN</t>
    </r>
  </si>
  <si>
    <r>
      <rPr>
        <sz val="10"/>
        <rFont val="Arial"/>
      </rPr>
      <t>CORFU</t>
    </r>
  </si>
  <si>
    <r>
      <rPr>
        <sz val="10"/>
        <rFont val="Arial"/>
      </rPr>
      <t>CORK</t>
    </r>
  </si>
  <si>
    <r>
      <rPr>
        <sz val="10"/>
        <rFont val="Arial"/>
      </rPr>
      <t>CORPUS CHRISTI</t>
    </r>
  </si>
  <si>
    <r>
      <rPr>
        <sz val="10"/>
        <rFont val="Arial"/>
      </rPr>
      <t>COTONOU</t>
    </r>
  </si>
  <si>
    <r>
      <rPr>
        <sz val="10"/>
        <rFont val="Arial"/>
      </rPr>
      <t>COX'S BAZAAR</t>
    </r>
  </si>
  <si>
    <r>
      <rPr>
        <sz val="10"/>
        <rFont val="Arial"/>
      </rPr>
      <t>CRESCENT CITY CA</t>
    </r>
  </si>
  <si>
    <r>
      <rPr>
        <sz val="10"/>
        <rFont val="Arial"/>
      </rPr>
      <t>CRIMEA</t>
    </r>
  </si>
  <si>
    <r>
      <rPr>
        <sz val="10"/>
        <rFont val="Arial"/>
      </rPr>
      <t>CRISTOFORO COLUMBO</t>
    </r>
  </si>
  <si>
    <r>
      <rPr>
        <sz val="10"/>
        <rFont val="Arial"/>
      </rPr>
      <t>CURACAO</t>
    </r>
  </si>
  <si>
    <r>
      <rPr>
        <sz val="10"/>
        <rFont val="Arial"/>
      </rPr>
      <t>CURITIBA</t>
    </r>
  </si>
  <si>
    <r>
      <rPr>
        <sz val="10"/>
        <rFont val="Arial"/>
      </rPr>
      <t>DAKAR</t>
    </r>
  </si>
  <si>
    <r>
      <rPr>
        <sz val="10"/>
        <rFont val="Arial"/>
      </rPr>
      <t>DAKKA</t>
    </r>
  </si>
  <si>
    <r>
      <rPr>
        <sz val="10"/>
        <rFont val="Arial"/>
      </rPr>
      <t>DALAMAN</t>
    </r>
  </si>
  <si>
    <r>
      <rPr>
        <sz val="10"/>
        <rFont val="Arial"/>
      </rPr>
      <t>DALIAN</t>
    </r>
  </si>
  <si>
    <r>
      <rPr>
        <sz val="10"/>
        <rFont val="Arial"/>
      </rPr>
      <t>DALLAS/FORT WORTH</t>
    </r>
  </si>
  <si>
    <r>
      <rPr>
        <sz val="10"/>
        <rFont val="Arial"/>
      </rPr>
      <t>DAMASCUS</t>
    </r>
  </si>
  <si>
    <r>
      <rPr>
        <sz val="10"/>
        <rFont val="Arial"/>
      </rPr>
      <t>DAR ES SALAAM</t>
    </r>
  </si>
  <si>
    <r>
      <rPr>
        <sz val="10"/>
        <rFont val="Arial"/>
      </rPr>
      <t>DARWIN</t>
    </r>
  </si>
  <si>
    <r>
      <rPr>
        <sz val="10"/>
        <rFont val="Arial"/>
      </rPr>
      <t>DAVAO</t>
    </r>
  </si>
  <si>
    <r>
      <rPr>
        <sz val="10"/>
        <rFont val="Arial"/>
      </rPr>
      <t>DAVID</t>
    </r>
  </si>
  <si>
    <r>
      <rPr>
        <sz val="10"/>
        <rFont val="Arial"/>
      </rPr>
      <t>DEER LAKE</t>
    </r>
  </si>
  <si>
    <r>
      <rPr>
        <sz val="10"/>
        <rFont val="Arial"/>
      </rPr>
      <t>DELHI</t>
    </r>
  </si>
  <si>
    <r>
      <rPr>
        <sz val="10"/>
        <rFont val="Arial"/>
      </rPr>
      <t>DENPASSAR - BALI</t>
    </r>
  </si>
  <si>
    <r>
      <rPr>
        <sz val="10"/>
        <rFont val="Arial"/>
      </rPr>
      <t>DETROIT</t>
    </r>
  </si>
  <si>
    <r>
      <rPr>
        <sz val="10"/>
        <rFont val="Arial"/>
      </rPr>
      <t>DEVONPORT</t>
    </r>
  </si>
  <si>
    <r>
      <rPr>
        <sz val="10"/>
        <rFont val="Arial"/>
      </rPr>
      <t>DHAHRAN</t>
    </r>
  </si>
  <si>
    <r>
      <rPr>
        <sz val="10"/>
        <rFont val="Arial"/>
      </rPr>
      <t>DJIBOUTI</t>
    </r>
  </si>
  <si>
    <r>
      <rPr>
        <sz val="10"/>
        <rFont val="Arial"/>
      </rPr>
      <t>DNEPROPETROVSK</t>
    </r>
  </si>
  <si>
    <r>
      <rPr>
        <sz val="10"/>
        <rFont val="Arial"/>
      </rPr>
      <t>DOHA</t>
    </r>
  </si>
  <si>
    <r>
      <rPr>
        <sz val="10"/>
        <rFont val="Arial"/>
      </rPr>
      <t>DOMINICA</t>
    </r>
  </si>
  <si>
    <r>
      <rPr>
        <sz val="10"/>
        <rFont val="Arial"/>
      </rPr>
      <t>DOUALA</t>
    </r>
  </si>
  <si>
    <r>
      <rPr>
        <sz val="10"/>
        <rFont val="Arial"/>
      </rPr>
      <t>DRESDEN</t>
    </r>
  </si>
  <si>
    <r>
      <rPr>
        <sz val="10"/>
        <rFont val="Arial"/>
      </rPr>
      <t>DUBAI</t>
    </r>
  </si>
  <si>
    <r>
      <rPr>
        <sz val="10"/>
        <rFont val="Arial"/>
      </rPr>
      <t>DUBLIN</t>
    </r>
  </si>
  <si>
    <r>
      <rPr>
        <sz val="10"/>
        <rFont val="Arial"/>
      </rPr>
      <t>DUBROVNIK</t>
    </r>
  </si>
  <si>
    <r>
      <rPr>
        <sz val="10"/>
        <rFont val="Arial"/>
      </rPr>
      <t>DUMAGUETE</t>
    </r>
  </si>
  <si>
    <r>
      <rPr>
        <sz val="10"/>
        <rFont val="Arial"/>
      </rPr>
      <t>DUNEDIN</t>
    </r>
  </si>
  <si>
    <r>
      <rPr>
        <sz val="10"/>
        <rFont val="Arial"/>
      </rPr>
      <t>DURBAN</t>
    </r>
  </si>
  <si>
    <r>
      <rPr>
        <sz val="10"/>
        <rFont val="Arial"/>
      </rPr>
      <t>DUSSELDORF</t>
    </r>
  </si>
  <si>
    <r>
      <rPr>
        <sz val="10"/>
        <rFont val="Arial"/>
      </rPr>
      <t>EAST LONDON</t>
    </r>
  </si>
  <si>
    <r>
      <rPr>
        <sz val="10"/>
        <rFont val="Arial"/>
      </rPr>
      <t>EAST MIDLANDS</t>
    </r>
  </si>
  <si>
    <r>
      <rPr>
        <sz val="10"/>
        <rFont val="Arial"/>
      </rPr>
      <t>EDINBURGH</t>
    </r>
  </si>
  <si>
    <r>
      <rPr>
        <sz val="10"/>
        <rFont val="Arial"/>
      </rPr>
      <t>ELAT</t>
    </r>
  </si>
  <si>
    <r>
      <rPr>
        <sz val="10"/>
        <rFont val="Arial"/>
      </rPr>
      <t>ELMAS</t>
    </r>
  </si>
  <si>
    <r>
      <rPr>
        <sz val="10"/>
        <rFont val="Arial"/>
      </rPr>
      <t>EMDEN</t>
    </r>
  </si>
  <si>
    <r>
      <rPr>
        <sz val="10"/>
        <rFont val="Arial"/>
      </rPr>
      <t>ESBJERG</t>
    </r>
  </si>
  <si>
    <r>
      <rPr>
        <sz val="10"/>
        <rFont val="Arial"/>
      </rPr>
      <t>ESMERELDAS</t>
    </r>
  </si>
  <si>
    <r>
      <rPr>
        <sz val="10"/>
        <rFont val="Arial"/>
      </rPr>
      <t>ESPERANCE</t>
    </r>
  </si>
  <si>
    <r>
      <rPr>
        <sz val="10"/>
        <rFont val="Arial"/>
      </rPr>
      <t>EXETER</t>
    </r>
  </si>
  <si>
    <r>
      <rPr>
        <sz val="10"/>
        <rFont val="Arial"/>
      </rPr>
      <t>FAEROES</t>
    </r>
  </si>
  <si>
    <r>
      <rPr>
        <sz val="10"/>
        <rFont val="Arial"/>
      </rPr>
      <t>FARO</t>
    </r>
  </si>
  <si>
    <r>
      <rPr>
        <sz val="10"/>
        <rFont val="Arial"/>
      </rPr>
      <t>FLESLAND</t>
    </r>
  </si>
  <si>
    <r>
      <rPr>
        <sz val="10"/>
        <rFont val="Arial"/>
      </rPr>
      <t>FLORIANOPOLIS</t>
    </r>
  </si>
  <si>
    <r>
      <rPr>
        <sz val="10"/>
        <rFont val="Arial"/>
      </rPr>
      <t>FORT DE FRANCE</t>
    </r>
  </si>
  <si>
    <r>
      <rPr>
        <sz val="10"/>
        <rFont val="Arial"/>
      </rPr>
      <t>FORT LAUDERDALE</t>
    </r>
  </si>
  <si>
    <r>
      <rPr>
        <sz val="10"/>
        <rFont val="Arial"/>
      </rPr>
      <t>FORTALEZA</t>
    </r>
  </si>
  <si>
    <r>
      <rPr>
        <sz val="10"/>
        <rFont val="Arial"/>
      </rPr>
      <t>FRANKFURT</t>
    </r>
  </si>
  <si>
    <r>
      <rPr>
        <sz val="10"/>
        <rFont val="Arial"/>
      </rPr>
      <t>FREEPORT</t>
    </r>
  </si>
  <si>
    <r>
      <rPr>
        <sz val="10"/>
        <rFont val="Arial"/>
      </rPr>
      <t>FREETOWN</t>
    </r>
  </si>
  <si>
    <r>
      <rPr>
        <sz val="10"/>
        <rFont val="Arial"/>
      </rPr>
      <t>FRIEDRICHSHAFEN</t>
    </r>
  </si>
  <si>
    <r>
      <rPr>
        <sz val="10"/>
        <rFont val="Arial"/>
      </rPr>
      <t>FT. MYERS FLORIDA</t>
    </r>
  </si>
  <si>
    <r>
      <rPr>
        <sz val="10"/>
        <rFont val="Arial"/>
      </rPr>
      <t>FUERTEVENTURA</t>
    </r>
  </si>
  <si>
    <r>
      <rPr>
        <sz val="10"/>
        <rFont val="Arial"/>
      </rPr>
      <t>FUKUOKA</t>
    </r>
  </si>
  <si>
    <r>
      <rPr>
        <sz val="10"/>
        <rFont val="Arial"/>
      </rPr>
      <t>FUNAFUTI</t>
    </r>
  </si>
  <si>
    <r>
      <rPr>
        <sz val="10"/>
        <rFont val="Arial"/>
      </rPr>
      <t>FUNCHAL  MADEIRA</t>
    </r>
  </si>
  <si>
    <r>
      <rPr>
        <sz val="10"/>
        <rFont val="Arial"/>
      </rPr>
      <t>FUZHOU</t>
    </r>
  </si>
  <si>
    <r>
      <rPr>
        <sz val="10"/>
        <rFont val="Arial"/>
      </rPr>
      <t>GALWAY</t>
    </r>
  </si>
  <si>
    <r>
      <rPr>
        <sz val="10"/>
        <rFont val="Arial"/>
      </rPr>
      <t>GAMBA</t>
    </r>
  </si>
  <si>
    <r>
      <rPr>
        <sz val="10"/>
        <rFont val="Arial"/>
      </rPr>
      <t>GANDER</t>
    </r>
  </si>
  <si>
    <r>
      <rPr>
        <sz val="10"/>
        <rFont val="Arial"/>
      </rPr>
      <t>GASPE</t>
    </r>
  </si>
  <si>
    <r>
      <rPr>
        <sz val="10"/>
        <rFont val="Arial"/>
      </rPr>
      <t>GDANSK</t>
    </r>
  </si>
  <si>
    <r>
      <rPr>
        <sz val="10"/>
        <rFont val="Arial"/>
      </rPr>
      <t>GEELONG</t>
    </r>
  </si>
  <si>
    <r>
      <rPr>
        <sz val="10"/>
        <rFont val="Arial"/>
      </rPr>
      <t>GENOA</t>
    </r>
  </si>
  <si>
    <r>
      <rPr>
        <sz val="10"/>
        <rFont val="Arial"/>
      </rPr>
      <t>GEORGE</t>
    </r>
  </si>
  <si>
    <r>
      <rPr>
        <sz val="10"/>
        <rFont val="Arial"/>
      </rPr>
      <t>GEORGETOWN</t>
    </r>
  </si>
  <si>
    <r>
      <rPr>
        <sz val="10"/>
        <rFont val="Arial"/>
      </rPr>
      <t>GEORGETOWN SC</t>
    </r>
  </si>
  <si>
    <r>
      <rPr>
        <sz val="10"/>
        <rFont val="Arial"/>
      </rPr>
      <t>GERALDTON</t>
    </r>
  </si>
  <si>
    <r>
      <rPr>
        <sz val="10"/>
        <rFont val="Arial"/>
      </rPr>
      <t>GIBRALTAR</t>
    </r>
  </si>
  <si>
    <r>
      <rPr>
        <sz val="10"/>
        <rFont val="Arial"/>
      </rPr>
      <t>GIMPO</t>
    </r>
  </si>
  <si>
    <r>
      <rPr>
        <sz val="10"/>
        <rFont val="Arial"/>
      </rPr>
      <t>GISBORNE</t>
    </r>
  </si>
  <si>
    <r>
      <rPr>
        <sz val="10"/>
        <rFont val="Arial"/>
      </rPr>
      <t>GIZAN</t>
    </r>
  </si>
  <si>
    <r>
      <rPr>
        <sz val="10"/>
        <rFont val="Arial"/>
      </rPr>
      <t>GLADSTONE</t>
    </r>
  </si>
  <si>
    <r>
      <rPr>
        <sz val="10"/>
        <rFont val="Arial"/>
      </rPr>
      <t>GLASGOW</t>
    </r>
  </si>
  <si>
    <r>
      <rPr>
        <sz val="10"/>
        <rFont val="Arial"/>
      </rPr>
      <t>GOA</t>
    </r>
  </si>
  <si>
    <r>
      <rPr>
        <sz val="10"/>
        <rFont val="Arial"/>
      </rPr>
      <t>GOLFITO</t>
    </r>
  </si>
  <si>
    <r>
      <rPr>
        <sz val="10"/>
        <rFont val="Arial"/>
      </rPr>
      <t>GOTHENBURG</t>
    </r>
  </si>
  <si>
    <r>
      <rPr>
        <sz val="10"/>
        <rFont val="Arial"/>
      </rPr>
      <t>GOVE</t>
    </r>
  </si>
  <si>
    <r>
      <rPr>
        <sz val="10"/>
        <rFont val="Arial"/>
      </rPr>
      <t>GRAFTON</t>
    </r>
  </si>
  <si>
    <r>
      <rPr>
        <sz val="10"/>
        <rFont val="Arial"/>
      </rPr>
      <t>GRAND CAYMAN</t>
    </r>
  </si>
  <si>
    <r>
      <rPr>
        <sz val="10"/>
        <rFont val="Arial"/>
      </rPr>
      <t>GRAND TURK</t>
    </r>
  </si>
  <si>
    <r>
      <rPr>
        <sz val="10"/>
        <rFont val="Arial"/>
      </rPr>
      <t>GRAZ</t>
    </r>
  </si>
  <si>
    <r>
      <rPr>
        <sz val="10"/>
        <rFont val="Arial"/>
      </rPr>
      <t>GRENADA</t>
    </r>
  </si>
  <si>
    <r>
      <rPr>
        <sz val="10"/>
        <rFont val="Arial"/>
      </rPr>
      <t>GROOT EYLANDT</t>
    </r>
  </si>
  <si>
    <r>
      <rPr>
        <sz val="10"/>
        <rFont val="Arial"/>
      </rPr>
      <t>GUADALAJARA</t>
    </r>
  </si>
  <si>
    <r>
      <rPr>
        <sz val="10"/>
        <rFont val="Arial"/>
      </rPr>
      <t>GUALEGUAYCHU</t>
    </r>
  </si>
  <si>
    <r>
      <rPr>
        <sz val="10"/>
        <rFont val="Arial"/>
      </rPr>
      <t>GUAM</t>
    </r>
  </si>
  <si>
    <r>
      <rPr>
        <sz val="10"/>
        <rFont val="Arial"/>
      </rPr>
      <t>GUANGZHOU</t>
    </r>
  </si>
  <si>
    <r>
      <rPr>
        <sz val="10"/>
        <rFont val="Arial"/>
      </rPr>
      <t>GUATEMALA CITY</t>
    </r>
  </si>
  <si>
    <r>
      <rPr>
        <sz val="10"/>
        <rFont val="Arial"/>
      </rPr>
      <t>GUAYAQUIL</t>
    </r>
  </si>
  <si>
    <r>
      <rPr>
        <sz val="10"/>
        <rFont val="Arial"/>
      </rPr>
      <t>GUAYMAS</t>
    </r>
  </si>
  <si>
    <r>
      <rPr>
        <sz val="10"/>
        <rFont val="Arial"/>
      </rPr>
      <t>GUERNSEY</t>
    </r>
  </si>
  <si>
    <r>
      <rPr>
        <sz val="10"/>
        <rFont val="Arial"/>
      </rPr>
      <t>GUERRERO NEGRO</t>
    </r>
  </si>
  <si>
    <r>
      <rPr>
        <sz val="10"/>
        <rFont val="Arial"/>
      </rPr>
      <t>GUILIN</t>
    </r>
  </si>
  <si>
    <r>
      <rPr>
        <sz val="10"/>
        <rFont val="Arial"/>
      </rPr>
      <t>GULFPORT</t>
    </r>
  </si>
  <si>
    <r>
      <rPr>
        <sz val="10"/>
        <rFont val="Arial"/>
      </rPr>
      <t>GWADAR</t>
    </r>
  </si>
  <si>
    <r>
      <rPr>
        <sz val="10"/>
        <rFont val="Arial"/>
      </rPr>
      <t>HAIKOU</t>
    </r>
  </si>
  <si>
    <r>
      <rPr>
        <sz val="10"/>
        <rFont val="Arial"/>
      </rPr>
      <t>HAKODATE</t>
    </r>
  </si>
  <si>
    <r>
      <rPr>
        <sz val="10"/>
        <rFont val="Arial"/>
      </rPr>
      <t>HALIFAX</t>
    </r>
  </si>
  <si>
    <r>
      <rPr>
        <sz val="10"/>
        <rFont val="Arial"/>
      </rPr>
      <t>HALMSTAD</t>
    </r>
  </si>
  <si>
    <r>
      <rPr>
        <sz val="10"/>
        <rFont val="Arial"/>
      </rPr>
      <t>HAMBURG</t>
    </r>
  </si>
  <si>
    <r>
      <rPr>
        <sz val="10"/>
        <rFont val="Arial"/>
      </rPr>
      <t>HANGZHOU</t>
    </r>
  </si>
  <si>
    <r>
      <rPr>
        <sz val="10"/>
        <rFont val="Arial"/>
      </rPr>
      <t>HANNOVER</t>
    </r>
  </si>
  <si>
    <r>
      <rPr>
        <sz val="10"/>
        <rFont val="Arial"/>
      </rPr>
      <t>HANOI</t>
    </r>
  </si>
  <si>
    <r>
      <rPr>
        <sz val="10"/>
        <rFont val="Arial"/>
      </rPr>
      <t>HANOVER</t>
    </r>
  </si>
  <si>
    <r>
      <rPr>
        <sz val="10"/>
        <rFont val="Arial"/>
      </rPr>
      <t>HAUGESUND</t>
    </r>
  </si>
  <si>
    <r>
      <rPr>
        <sz val="10"/>
        <rFont val="Arial"/>
      </rPr>
      <t>HAVANA</t>
    </r>
  </si>
  <si>
    <r>
      <rPr>
        <sz val="10"/>
        <rFont val="Arial"/>
      </rPr>
      <t>HELSINKI</t>
    </r>
  </si>
  <si>
    <r>
      <rPr>
        <sz val="10"/>
        <rFont val="Arial"/>
      </rPr>
      <t>HERAKLION</t>
    </r>
  </si>
  <si>
    <r>
      <rPr>
        <sz val="10"/>
        <rFont val="Arial"/>
      </rPr>
      <t>HERMOSILLO</t>
    </r>
  </si>
  <si>
    <r>
      <rPr>
        <sz val="10"/>
        <rFont val="Arial"/>
      </rPr>
      <t>HIROSHIMA</t>
    </r>
  </si>
  <si>
    <r>
      <rPr>
        <sz val="10"/>
        <rFont val="Arial"/>
      </rPr>
      <t>HO CHI MIN CITY</t>
    </r>
  </si>
  <si>
    <r>
      <rPr>
        <sz val="10"/>
        <rFont val="Arial"/>
      </rPr>
      <t>HOBART</t>
    </r>
  </si>
  <si>
    <r>
      <rPr>
        <sz val="10"/>
        <rFont val="Arial"/>
      </rPr>
      <t>HODEIDAH</t>
    </r>
  </si>
  <si>
    <r>
      <rPr>
        <sz val="10"/>
        <rFont val="Arial"/>
      </rPr>
      <t>HONGKONG</t>
    </r>
  </si>
  <si>
    <r>
      <rPr>
        <sz val="10"/>
        <rFont val="Arial"/>
      </rPr>
      <t>HONIARA</t>
    </r>
  </si>
  <si>
    <r>
      <rPr>
        <sz val="10"/>
        <rFont val="Arial"/>
      </rPr>
      <t>HONOLULU</t>
    </r>
  </si>
  <si>
    <r>
      <rPr>
        <sz val="10"/>
        <rFont val="Arial"/>
      </rPr>
      <t>HORTA</t>
    </r>
  </si>
  <si>
    <r>
      <rPr>
        <sz val="10"/>
        <rFont val="Arial"/>
      </rPr>
      <t>HOUSTON</t>
    </r>
  </si>
  <si>
    <r>
      <rPr>
        <sz val="10"/>
        <rFont val="Arial"/>
      </rPr>
      <t>HUALIEN</t>
    </r>
  </si>
  <si>
    <r>
      <rPr>
        <sz val="10"/>
        <rFont val="Arial"/>
      </rPr>
      <t>HUMBERSIDE</t>
    </r>
  </si>
  <si>
    <r>
      <rPr>
        <sz val="10"/>
        <rFont val="Arial"/>
      </rPr>
      <t>IBIZA</t>
    </r>
  </si>
  <si>
    <r>
      <rPr>
        <sz val="10"/>
        <rFont val="Arial"/>
      </rPr>
      <t>ILHA DO SAL</t>
    </r>
  </si>
  <si>
    <r>
      <rPr>
        <sz val="10"/>
        <rFont val="Arial"/>
      </rPr>
      <t>ILHEUS</t>
    </r>
  </si>
  <si>
    <r>
      <rPr>
        <sz val="10"/>
        <rFont val="Arial"/>
      </rPr>
      <t>ILOILO</t>
    </r>
  </si>
  <si>
    <r>
      <rPr>
        <sz val="10"/>
        <rFont val="Arial"/>
      </rPr>
      <t>INAGUA</t>
    </r>
  </si>
  <si>
    <r>
      <rPr>
        <sz val="10"/>
        <rFont val="Arial"/>
      </rPr>
      <t>INCHON</t>
    </r>
  </si>
  <si>
    <r>
      <rPr>
        <sz val="10"/>
        <rFont val="Arial"/>
      </rPr>
      <t>INDORE</t>
    </r>
  </si>
  <si>
    <r>
      <rPr>
        <sz val="10"/>
        <rFont val="Arial"/>
      </rPr>
      <t>INVERCARGILL</t>
    </r>
  </si>
  <si>
    <r>
      <rPr>
        <sz val="10"/>
        <rFont val="Arial"/>
      </rPr>
      <t>INVERNESS</t>
    </r>
  </si>
  <si>
    <r>
      <rPr>
        <sz val="10"/>
        <rFont val="Arial"/>
      </rPr>
      <t>IOANNINA</t>
    </r>
  </si>
  <si>
    <r>
      <rPr>
        <sz val="10"/>
        <rFont val="Arial"/>
      </rPr>
      <t>IOMBORG</t>
    </r>
  </si>
  <si>
    <r>
      <rPr>
        <sz val="10"/>
        <rFont val="Arial"/>
      </rPr>
      <t>IQUIQUI</t>
    </r>
  </si>
  <si>
    <r>
      <rPr>
        <sz val="10"/>
        <rFont val="Arial"/>
      </rPr>
      <t>ISHIGAKI</t>
    </r>
  </si>
  <si>
    <r>
      <rPr>
        <sz val="10"/>
        <rFont val="Arial"/>
      </rPr>
      <t>ISLAY</t>
    </r>
  </si>
  <si>
    <r>
      <rPr>
        <sz val="10"/>
        <rFont val="Arial"/>
      </rPr>
      <t>ISLE OF BARRA</t>
    </r>
  </si>
  <si>
    <r>
      <rPr>
        <sz val="10"/>
        <rFont val="Arial"/>
      </rPr>
      <t>ISLE OF MAN</t>
    </r>
  </si>
  <si>
    <r>
      <rPr>
        <sz val="10"/>
        <rFont val="Arial"/>
      </rPr>
      <t>ISLES OF SCILLY</t>
    </r>
  </si>
  <si>
    <r>
      <rPr>
        <sz val="10"/>
        <rFont val="Arial"/>
      </rPr>
      <t>ISTANBUL</t>
    </r>
  </si>
  <si>
    <r>
      <rPr>
        <sz val="10"/>
        <rFont val="Arial"/>
      </rPr>
      <t>ITAJAI</t>
    </r>
  </si>
  <si>
    <r>
      <rPr>
        <sz val="10"/>
        <rFont val="Arial"/>
      </rPr>
      <t>ITAQUI</t>
    </r>
  </si>
  <si>
    <r>
      <rPr>
        <sz val="10"/>
        <rFont val="Arial"/>
      </rPr>
      <t>IZMIR</t>
    </r>
  </si>
  <si>
    <r>
      <rPr>
        <sz val="10"/>
        <rFont val="Arial"/>
      </rPr>
      <t>JACKSONVILLE FL</t>
    </r>
  </si>
  <si>
    <r>
      <rPr>
        <sz val="10"/>
        <rFont val="Arial"/>
      </rPr>
      <t>JACKSONVILLE NC</t>
    </r>
  </si>
  <si>
    <r>
      <rPr>
        <sz val="10"/>
        <rFont val="Arial"/>
      </rPr>
      <t>JAKARTA</t>
    </r>
  </si>
  <si>
    <r>
      <rPr>
        <sz val="10"/>
        <rFont val="Arial"/>
      </rPr>
      <t>JAMNAGAR</t>
    </r>
  </si>
  <si>
    <r>
      <rPr>
        <sz val="10"/>
        <rFont val="Arial"/>
      </rPr>
      <t>JEDDAH</t>
    </r>
  </si>
  <si>
    <r>
      <rPr>
        <sz val="10"/>
        <rFont val="Arial"/>
      </rPr>
      <t>JEFFERSON COUNTY</t>
    </r>
  </si>
  <si>
    <r>
      <rPr>
        <sz val="10"/>
        <rFont val="Arial"/>
      </rPr>
      <t>JEREZ DE LA FRONTEIR</t>
    </r>
  </si>
  <si>
    <r>
      <rPr>
        <sz val="10"/>
        <rFont val="Arial"/>
      </rPr>
      <t>JIWANI</t>
    </r>
  </si>
  <si>
    <r>
      <rPr>
        <sz val="10"/>
        <rFont val="Arial"/>
      </rPr>
      <t>JOHANNESBURG</t>
    </r>
  </si>
  <si>
    <r>
      <rPr>
        <sz val="10"/>
        <rFont val="Arial"/>
      </rPr>
      <t>JOHORE BARU</t>
    </r>
  </si>
  <si>
    <r>
      <rPr>
        <sz val="10"/>
        <rFont val="Arial"/>
      </rPr>
      <t>JOINVILLE</t>
    </r>
  </si>
  <si>
    <r>
      <rPr>
        <sz val="10"/>
        <rFont val="Arial"/>
      </rPr>
      <t>JONKOPING</t>
    </r>
  </si>
  <si>
    <r>
      <rPr>
        <sz val="10"/>
        <rFont val="Arial"/>
      </rPr>
      <t>KAGOSHIMA</t>
    </r>
  </si>
  <si>
    <r>
      <rPr>
        <sz val="10"/>
        <rFont val="Arial"/>
      </rPr>
      <t>KALAMATA</t>
    </r>
  </si>
  <si>
    <r>
      <rPr>
        <sz val="10"/>
        <rFont val="Arial"/>
      </rPr>
      <t>KALININGRAD</t>
    </r>
  </si>
  <si>
    <r>
      <rPr>
        <sz val="10"/>
        <rFont val="Arial"/>
      </rPr>
      <t>KALMAR</t>
    </r>
  </si>
  <si>
    <r>
      <rPr>
        <sz val="10"/>
        <rFont val="Arial"/>
      </rPr>
      <t>KANDLA</t>
    </r>
  </si>
  <si>
    <r>
      <rPr>
        <sz val="10"/>
        <rFont val="Arial"/>
      </rPr>
      <t>KAOHSIUNG</t>
    </r>
  </si>
  <si>
    <r>
      <rPr>
        <sz val="10"/>
        <rFont val="Arial"/>
      </rPr>
      <t>KARACHI</t>
    </r>
  </si>
  <si>
    <r>
      <rPr>
        <sz val="10"/>
        <rFont val="Arial"/>
      </rPr>
      <t>KARLSTAD</t>
    </r>
  </si>
  <si>
    <r>
      <rPr>
        <sz val="10"/>
        <rFont val="Arial"/>
      </rPr>
      <t>KARRATHA</t>
    </r>
  </si>
  <si>
    <r>
      <rPr>
        <sz val="10"/>
        <rFont val="Arial"/>
      </rPr>
      <t>KARUP</t>
    </r>
  </si>
  <si>
    <r>
      <rPr>
        <sz val="10"/>
        <rFont val="Arial"/>
      </rPr>
      <t>KATOWICE</t>
    </r>
  </si>
  <si>
    <r>
      <rPr>
        <sz val="10"/>
        <rFont val="Arial"/>
      </rPr>
      <t>KAVALLA</t>
    </r>
  </si>
  <si>
    <r>
      <rPr>
        <sz val="10"/>
        <rFont val="Arial"/>
      </rPr>
      <t>KEFLAVIK</t>
    </r>
  </si>
  <si>
    <r>
      <rPr>
        <sz val="10"/>
        <rFont val="Arial"/>
      </rPr>
      <t>KEMI</t>
    </r>
  </si>
  <si>
    <r>
      <rPr>
        <sz val="10"/>
        <rFont val="Arial"/>
      </rPr>
      <t>KERRY</t>
    </r>
  </si>
  <si>
    <r>
      <rPr>
        <sz val="10"/>
        <rFont val="Arial"/>
      </rPr>
      <t>KERTEH</t>
    </r>
  </si>
  <si>
    <r>
      <rPr>
        <sz val="10"/>
        <rFont val="Arial"/>
      </rPr>
      <t>KHABAROVSK</t>
    </r>
  </si>
  <si>
    <r>
      <rPr>
        <sz val="10"/>
        <rFont val="Arial"/>
      </rPr>
      <t>KHARTOUM</t>
    </r>
  </si>
  <si>
    <r>
      <rPr>
        <sz val="10"/>
        <rFont val="Arial"/>
      </rPr>
      <t>KHIOS</t>
    </r>
  </si>
  <si>
    <r>
      <rPr>
        <sz val="10"/>
        <rFont val="Arial"/>
      </rPr>
      <t>KIEL</t>
    </r>
  </si>
  <si>
    <r>
      <rPr>
        <sz val="10"/>
        <rFont val="Arial"/>
      </rPr>
      <t>KIETA</t>
    </r>
  </si>
  <si>
    <r>
      <rPr>
        <sz val="10"/>
        <rFont val="Arial"/>
      </rPr>
      <t>KIEV</t>
    </r>
  </si>
  <si>
    <r>
      <rPr>
        <sz val="10"/>
        <rFont val="Arial"/>
      </rPr>
      <t>KING SHAKA</t>
    </r>
  </si>
  <si>
    <r>
      <rPr>
        <sz val="10"/>
        <rFont val="Arial"/>
      </rPr>
      <t>KINGSCOTE</t>
    </r>
  </si>
  <si>
    <r>
      <rPr>
        <sz val="10"/>
        <rFont val="Arial"/>
      </rPr>
      <t>KINGSTON</t>
    </r>
  </si>
  <si>
    <r>
      <rPr>
        <sz val="10"/>
        <rFont val="Arial"/>
      </rPr>
      <t>KINSHASA</t>
    </r>
  </si>
  <si>
    <r>
      <rPr>
        <sz val="10"/>
        <rFont val="Arial"/>
      </rPr>
      <t>KIRKENES</t>
    </r>
  </si>
  <si>
    <r>
      <rPr>
        <sz val="10"/>
        <rFont val="Arial"/>
      </rPr>
      <t>KIRKWALL</t>
    </r>
  </si>
  <si>
    <r>
      <rPr>
        <sz val="10"/>
        <rFont val="Arial"/>
      </rPr>
      <t>KIROV</t>
    </r>
  </si>
  <si>
    <r>
      <rPr>
        <sz val="10"/>
        <rFont val="Arial"/>
      </rPr>
      <t>KISHINEV</t>
    </r>
  </si>
  <si>
    <r>
      <rPr>
        <sz val="10"/>
        <rFont val="Arial"/>
      </rPr>
      <t>KISMAYU</t>
    </r>
  </si>
  <si>
    <r>
      <rPr>
        <sz val="10"/>
        <rFont val="Arial"/>
      </rPr>
      <t>KLAGENFURT</t>
    </r>
  </si>
  <si>
    <r>
      <rPr>
        <sz val="10"/>
        <rFont val="Arial"/>
      </rPr>
      <t>KLAIPEDA</t>
    </r>
  </si>
  <si>
    <r>
      <rPr>
        <sz val="10"/>
        <rFont val="Arial"/>
      </rPr>
      <t>KNOCK</t>
    </r>
  </si>
  <si>
    <r>
      <rPr>
        <sz val="10"/>
        <rFont val="Arial"/>
      </rPr>
      <t>KOBE</t>
    </r>
  </si>
  <si>
    <r>
      <rPr>
        <sz val="10"/>
        <rFont val="Arial"/>
      </rPr>
      <t>KOCHI</t>
    </r>
  </si>
  <si>
    <r>
      <rPr>
        <sz val="10"/>
        <rFont val="Arial"/>
      </rPr>
      <t>KOH SAMUI</t>
    </r>
  </si>
  <si>
    <r>
      <rPr>
        <sz val="10"/>
        <rFont val="Arial"/>
      </rPr>
      <t>KOKOLLA</t>
    </r>
  </si>
  <si>
    <r>
      <rPr>
        <sz val="10"/>
        <rFont val="Arial"/>
      </rPr>
      <t>KOMATSU</t>
    </r>
  </si>
  <si>
    <r>
      <rPr>
        <sz val="10"/>
        <rFont val="Arial"/>
      </rPr>
      <t>KOROR  PALAU</t>
    </r>
  </si>
  <si>
    <r>
      <rPr>
        <sz val="10"/>
        <rFont val="Arial"/>
      </rPr>
      <t>KOS</t>
    </r>
  </si>
  <si>
    <r>
      <rPr>
        <sz val="10"/>
        <rFont val="Arial"/>
      </rPr>
      <t>KOSICE KSC</t>
    </r>
  </si>
  <si>
    <r>
      <rPr>
        <sz val="10"/>
        <rFont val="Arial"/>
      </rPr>
      <t>KOTA BHARU</t>
    </r>
  </si>
  <si>
    <r>
      <rPr>
        <sz val="10"/>
        <rFont val="Arial"/>
      </rPr>
      <t>KOTA KINABALU</t>
    </r>
  </si>
  <si>
    <r>
      <rPr>
        <sz val="10"/>
        <rFont val="Arial"/>
      </rPr>
      <t>KOZHIKODE</t>
    </r>
  </si>
  <si>
    <r>
      <rPr>
        <sz val="10"/>
        <rFont val="Arial"/>
      </rPr>
      <t>KRAKOW</t>
    </r>
  </si>
  <si>
    <r>
      <rPr>
        <sz val="10"/>
        <rFont val="Arial"/>
      </rPr>
      <t>KRASNODAR</t>
    </r>
  </si>
  <si>
    <r>
      <rPr>
        <sz val="10"/>
        <rFont val="Arial"/>
      </rPr>
      <t>KRISTIANSAND</t>
    </r>
  </si>
  <si>
    <r>
      <rPr>
        <sz val="10"/>
        <rFont val="Arial"/>
      </rPr>
      <t>KRISTIANSUND</t>
    </r>
  </si>
  <si>
    <r>
      <rPr>
        <sz val="10"/>
        <rFont val="Arial"/>
      </rPr>
      <t>KUALA LUMPUR</t>
    </r>
  </si>
  <si>
    <r>
      <rPr>
        <sz val="10"/>
        <rFont val="Arial"/>
      </rPr>
      <t>KUANTAN</t>
    </r>
  </si>
  <si>
    <r>
      <rPr>
        <sz val="10"/>
        <rFont val="Arial"/>
      </rPr>
      <t>KUCHING</t>
    </r>
  </si>
  <si>
    <r>
      <rPr>
        <sz val="10"/>
        <rFont val="Arial"/>
      </rPr>
      <t>KUMAMOTU</t>
    </r>
  </si>
  <si>
    <r>
      <rPr>
        <sz val="10"/>
        <rFont val="Arial"/>
      </rPr>
      <t>KUNSAN</t>
    </r>
  </si>
  <si>
    <r>
      <rPr>
        <sz val="10"/>
        <rFont val="Arial"/>
      </rPr>
      <t>KUPANG</t>
    </r>
  </si>
  <si>
    <r>
      <rPr>
        <sz val="10"/>
        <rFont val="Arial"/>
      </rPr>
      <t>KUSHIRO</t>
    </r>
  </si>
  <si>
    <r>
      <rPr>
        <sz val="10"/>
        <rFont val="Arial"/>
      </rPr>
      <t>KUWAIT</t>
    </r>
  </si>
  <si>
    <r>
      <rPr>
        <sz val="10"/>
        <rFont val="Arial"/>
      </rPr>
      <t>LA CEIBA</t>
    </r>
  </si>
  <si>
    <r>
      <rPr>
        <sz val="10"/>
        <rFont val="Arial"/>
      </rPr>
      <t>LA CORUNA</t>
    </r>
  </si>
  <si>
    <r>
      <rPr>
        <sz val="10"/>
        <rFont val="Arial"/>
      </rPr>
      <t>LA ROCHELLE</t>
    </r>
  </si>
  <si>
    <r>
      <rPr>
        <sz val="10"/>
        <rFont val="Arial"/>
      </rPr>
      <t>LABUAN</t>
    </r>
  </si>
  <si>
    <r>
      <rPr>
        <sz val="10"/>
        <rFont val="Arial"/>
      </rPr>
      <t>LAE</t>
    </r>
  </si>
  <si>
    <r>
      <rPr>
        <sz val="10"/>
        <rFont val="Arial"/>
      </rPr>
      <t>LAGOS</t>
    </r>
  </si>
  <si>
    <r>
      <rPr>
        <sz val="10"/>
        <rFont val="Arial"/>
      </rPr>
      <t>LAHAD DATU</t>
    </r>
  </si>
  <si>
    <r>
      <rPr>
        <sz val="10"/>
        <rFont val="Arial"/>
      </rPr>
      <t>LAKE CHARLES</t>
    </r>
  </si>
  <si>
    <r>
      <rPr>
        <sz val="10"/>
        <rFont val="Arial"/>
      </rPr>
      <t>LAMEZIA TERME</t>
    </r>
  </si>
  <si>
    <r>
      <rPr>
        <sz val="10"/>
        <rFont val="Arial"/>
      </rPr>
      <t>LARNACA</t>
    </r>
  </si>
  <si>
    <r>
      <rPr>
        <sz val="10"/>
        <rFont val="Arial"/>
      </rPr>
      <t>LAS AMERICAS</t>
    </r>
  </si>
  <si>
    <r>
      <rPr>
        <sz val="10"/>
        <rFont val="Arial"/>
      </rPr>
      <t>LAS PALMAS - GRAN CA</t>
    </r>
  </si>
  <si>
    <r>
      <rPr>
        <sz val="10"/>
        <rFont val="Arial"/>
      </rPr>
      <t>LAS PIEDRAS</t>
    </r>
  </si>
  <si>
    <r>
      <rPr>
        <sz val="10"/>
        <rFont val="Arial"/>
      </rPr>
      <t>LAS VEGAS</t>
    </r>
  </si>
  <si>
    <r>
      <rPr>
        <sz val="10"/>
        <rFont val="Arial"/>
      </rPr>
      <t>LATTAKIA</t>
    </r>
  </si>
  <si>
    <r>
      <rPr>
        <sz val="10"/>
        <rFont val="Arial"/>
      </rPr>
      <t>LAUNCESTON</t>
    </r>
  </si>
  <si>
    <r>
      <rPr>
        <sz val="10"/>
        <rFont val="Arial"/>
      </rPr>
      <t>LE HAVRE</t>
    </r>
  </si>
  <si>
    <r>
      <rPr>
        <sz val="10"/>
        <rFont val="Arial"/>
      </rPr>
      <t>LEEDS/BRADFORD</t>
    </r>
  </si>
  <si>
    <r>
      <rPr>
        <sz val="10"/>
        <rFont val="Arial"/>
      </rPr>
      <t>LEIPZIG</t>
    </r>
  </si>
  <si>
    <r>
      <rPr>
        <sz val="10"/>
        <rFont val="Arial"/>
      </rPr>
      <t>LIANYUNGANG</t>
    </r>
  </si>
  <si>
    <r>
      <rPr>
        <sz val="10"/>
        <rFont val="Arial"/>
      </rPr>
      <t>LIBREVILLE</t>
    </r>
  </si>
  <si>
    <r>
      <rPr>
        <sz val="10"/>
        <rFont val="Arial"/>
      </rPr>
      <t>LILLE</t>
    </r>
  </si>
  <si>
    <r>
      <rPr>
        <sz val="10"/>
        <rFont val="Arial"/>
      </rPr>
      <t>LIMA</t>
    </r>
  </si>
  <si>
    <r>
      <rPr>
        <sz val="10"/>
        <rFont val="Arial"/>
      </rPr>
      <t>LIMOGES (BELLEGARDE)</t>
    </r>
  </si>
  <si>
    <r>
      <rPr>
        <sz val="10"/>
        <rFont val="Arial"/>
      </rPr>
      <t>LINZ</t>
    </r>
  </si>
  <si>
    <r>
      <rPr>
        <sz val="10"/>
        <rFont val="Arial"/>
      </rPr>
      <t>LISBON</t>
    </r>
  </si>
  <si>
    <r>
      <rPr>
        <sz val="10"/>
        <rFont val="Arial"/>
      </rPr>
      <t>LIVERPOOL</t>
    </r>
  </si>
  <si>
    <r>
      <rPr>
        <sz val="10"/>
        <rFont val="Arial"/>
      </rPr>
      <t>LJUBLIANJA</t>
    </r>
  </si>
  <si>
    <r>
      <rPr>
        <sz val="10"/>
        <rFont val="Arial"/>
      </rPr>
      <t>LLABANERE</t>
    </r>
  </si>
  <si>
    <r>
      <rPr>
        <sz val="10"/>
        <rFont val="Arial"/>
      </rPr>
      <t>LODZ</t>
    </r>
  </si>
  <si>
    <r>
      <rPr>
        <sz val="10"/>
        <rFont val="Arial"/>
      </rPr>
      <t>LOME</t>
    </r>
  </si>
  <si>
    <r>
      <rPr>
        <sz val="10"/>
        <rFont val="Arial"/>
      </rPr>
      <t>LONDON (ONTARIO)</t>
    </r>
  </si>
  <si>
    <r>
      <rPr>
        <sz val="10"/>
        <rFont val="Arial"/>
      </rPr>
      <t>LONDON CITY</t>
    </r>
  </si>
  <si>
    <r>
      <rPr>
        <sz val="10"/>
        <rFont val="Arial"/>
      </rPr>
      <t>LONDON GATWICK</t>
    </r>
  </si>
  <si>
    <r>
      <rPr>
        <sz val="10"/>
        <rFont val="Arial"/>
      </rPr>
      <t>LONDON HEATHROW</t>
    </r>
  </si>
  <si>
    <r>
      <rPr>
        <sz val="10"/>
        <rFont val="Arial"/>
      </rPr>
      <t>LONDON LUTON</t>
    </r>
  </si>
  <si>
    <r>
      <rPr>
        <sz val="10"/>
        <rFont val="Arial"/>
      </rPr>
      <t>LONDONDERRY</t>
    </r>
  </si>
  <si>
    <r>
      <rPr>
        <sz val="10"/>
        <rFont val="Arial"/>
      </rPr>
      <t>LONG BEACH</t>
    </r>
  </si>
  <si>
    <r>
      <rPr>
        <sz val="10"/>
        <rFont val="Arial"/>
      </rPr>
      <t>LORIENT</t>
    </r>
  </si>
  <si>
    <r>
      <rPr>
        <sz val="10"/>
        <rFont val="Arial"/>
      </rPr>
      <t>LOS ANGELES</t>
    </r>
  </si>
  <si>
    <r>
      <rPr>
        <sz val="10"/>
        <rFont val="Arial"/>
      </rPr>
      <t>LUANDA</t>
    </r>
  </si>
  <si>
    <r>
      <rPr>
        <sz val="10"/>
        <rFont val="Arial"/>
      </rPr>
      <t>LUCKNOW</t>
    </r>
  </si>
  <si>
    <r>
      <rPr>
        <sz val="10"/>
        <rFont val="Arial"/>
      </rPr>
      <t>LUDERITZ</t>
    </r>
  </si>
  <si>
    <r>
      <rPr>
        <sz val="10"/>
        <rFont val="Arial"/>
      </rPr>
      <t>LUGANO</t>
    </r>
  </si>
  <si>
    <r>
      <rPr>
        <sz val="10"/>
        <rFont val="Arial"/>
      </rPr>
      <t>LULEA</t>
    </r>
  </si>
  <si>
    <r>
      <rPr>
        <sz val="10"/>
        <rFont val="Arial"/>
      </rPr>
      <t>LUXEMBOURG</t>
    </r>
  </si>
  <si>
    <r>
      <rPr>
        <sz val="10"/>
        <rFont val="Arial"/>
      </rPr>
      <t>LVOV</t>
    </r>
  </si>
  <si>
    <r>
      <rPr>
        <sz val="10"/>
        <rFont val="Arial"/>
      </rPr>
      <t>MAASTRICHT</t>
    </r>
  </si>
  <si>
    <r>
      <rPr>
        <sz val="10"/>
        <rFont val="Arial"/>
      </rPr>
      <t>MACAPA</t>
    </r>
  </si>
  <si>
    <r>
      <rPr>
        <sz val="10"/>
        <rFont val="Arial"/>
      </rPr>
      <t>MACAU</t>
    </r>
  </si>
  <si>
    <r>
      <rPr>
        <sz val="10"/>
        <rFont val="Arial"/>
      </rPr>
      <t>MACEIO</t>
    </r>
  </si>
  <si>
    <r>
      <rPr>
        <sz val="10"/>
        <rFont val="Arial"/>
      </rPr>
      <t>MACKAY</t>
    </r>
  </si>
  <si>
    <r>
      <rPr>
        <sz val="10"/>
        <rFont val="Arial"/>
      </rPr>
      <t>MADANG</t>
    </r>
  </si>
  <si>
    <r>
      <rPr>
        <sz val="10"/>
        <rFont val="Arial"/>
      </rPr>
      <t>MADRAS</t>
    </r>
  </si>
  <si>
    <r>
      <rPr>
        <sz val="10"/>
        <rFont val="Arial"/>
      </rPr>
      <t>MADRID</t>
    </r>
  </si>
  <si>
    <r>
      <rPr>
        <sz val="10"/>
        <rFont val="Arial"/>
      </rPr>
      <t>MADURAI</t>
    </r>
  </si>
  <si>
    <r>
      <rPr>
        <sz val="10"/>
        <rFont val="Arial"/>
      </rPr>
      <t>MAHE</t>
    </r>
  </si>
  <si>
    <r>
      <rPr>
        <sz val="10"/>
        <rFont val="Arial"/>
      </rPr>
      <t>MAJUNGA</t>
    </r>
  </si>
  <si>
    <r>
      <rPr>
        <sz val="10"/>
        <rFont val="Arial"/>
      </rPr>
      <t>MAJURO</t>
    </r>
  </si>
  <si>
    <r>
      <rPr>
        <sz val="10"/>
        <rFont val="Arial"/>
      </rPr>
      <t>MAKASSAR</t>
    </r>
  </si>
  <si>
    <r>
      <rPr>
        <sz val="10"/>
        <rFont val="Arial"/>
      </rPr>
      <t>MAKHACHKALA</t>
    </r>
  </si>
  <si>
    <r>
      <rPr>
        <sz val="10"/>
        <rFont val="Arial"/>
      </rPr>
      <t>MALABO</t>
    </r>
  </si>
  <si>
    <r>
      <rPr>
        <sz val="10"/>
        <rFont val="Arial"/>
      </rPr>
      <t>MALACCA</t>
    </r>
  </si>
  <si>
    <r>
      <rPr>
        <sz val="10"/>
        <rFont val="Arial"/>
      </rPr>
      <t>MALAGA</t>
    </r>
  </si>
  <si>
    <r>
      <rPr>
        <sz val="10"/>
        <rFont val="Arial"/>
      </rPr>
      <t>MALE</t>
    </r>
  </si>
  <si>
    <r>
      <rPr>
        <sz val="10"/>
        <rFont val="Arial"/>
      </rPr>
      <t>MALMO</t>
    </r>
  </si>
  <si>
    <r>
      <rPr>
        <sz val="10"/>
        <rFont val="Arial"/>
      </rPr>
      <t>MALTA</t>
    </r>
  </si>
  <si>
    <r>
      <rPr>
        <sz val="10"/>
        <rFont val="Arial"/>
      </rPr>
      <t>MANADO</t>
    </r>
  </si>
  <si>
    <r>
      <rPr>
        <sz val="10"/>
        <rFont val="Arial"/>
      </rPr>
      <t>MANAGUA</t>
    </r>
  </si>
  <si>
    <r>
      <rPr>
        <sz val="10"/>
        <rFont val="Arial"/>
      </rPr>
      <t>MANANJARY</t>
    </r>
  </si>
  <si>
    <r>
      <rPr>
        <sz val="10"/>
        <rFont val="Arial"/>
      </rPr>
      <t>MANAUS</t>
    </r>
  </si>
  <si>
    <r>
      <rPr>
        <sz val="10"/>
        <rFont val="Arial"/>
      </rPr>
      <t>MANCHESTER</t>
    </r>
  </si>
  <si>
    <r>
      <rPr>
        <sz val="10"/>
        <rFont val="Arial"/>
      </rPr>
      <t>MANGALORE</t>
    </r>
  </si>
  <si>
    <r>
      <rPr>
        <sz val="10"/>
        <rFont val="Arial"/>
      </rPr>
      <t>MANILA</t>
    </r>
  </si>
  <si>
    <r>
      <rPr>
        <sz val="10"/>
        <rFont val="Arial"/>
      </rPr>
      <t>MANTAS</t>
    </r>
  </si>
  <si>
    <r>
      <rPr>
        <sz val="10"/>
        <rFont val="Arial"/>
      </rPr>
      <t>MANZANILLO</t>
    </r>
  </si>
  <si>
    <r>
      <rPr>
        <sz val="10"/>
        <rFont val="Arial"/>
      </rPr>
      <t>MAPUTO</t>
    </r>
  </si>
  <si>
    <r>
      <rPr>
        <sz val="10"/>
        <rFont val="Arial"/>
      </rPr>
      <t>MAR DEL PLATA</t>
    </r>
  </si>
  <si>
    <r>
      <rPr>
        <sz val="10"/>
        <rFont val="Arial"/>
      </rPr>
      <t>MARACAIBO</t>
    </r>
  </si>
  <si>
    <r>
      <rPr>
        <sz val="10"/>
        <rFont val="Arial"/>
      </rPr>
      <t>MARGHARITA ISL</t>
    </r>
  </si>
  <si>
    <r>
      <rPr>
        <sz val="10"/>
        <rFont val="Arial"/>
      </rPr>
      <t>MARIEHAMN</t>
    </r>
  </si>
  <si>
    <r>
      <rPr>
        <sz val="10"/>
        <rFont val="Arial"/>
      </rPr>
      <t>MAROOCHYDORE</t>
    </r>
  </si>
  <si>
    <r>
      <rPr>
        <sz val="10"/>
        <rFont val="Arial"/>
      </rPr>
      <t>MARSA EL BREGA</t>
    </r>
  </si>
  <si>
    <r>
      <rPr>
        <sz val="10"/>
        <rFont val="Arial"/>
      </rPr>
      <t>MARSEILLES</t>
    </r>
  </si>
  <si>
    <r>
      <rPr>
        <sz val="10"/>
        <rFont val="Arial"/>
      </rPr>
      <t>MARSHALL</t>
    </r>
  </si>
  <si>
    <r>
      <rPr>
        <sz val="10"/>
        <rFont val="Arial"/>
      </rPr>
      <t>MASAMBA</t>
    </r>
  </si>
  <si>
    <r>
      <rPr>
        <sz val="10"/>
        <rFont val="Arial"/>
      </rPr>
      <t>MASIRAH</t>
    </r>
  </si>
  <si>
    <r>
      <rPr>
        <sz val="10"/>
        <rFont val="Arial"/>
      </rPr>
      <t>MASSAWA</t>
    </r>
  </si>
  <si>
    <r>
      <rPr>
        <sz val="10"/>
        <rFont val="Arial"/>
      </rPr>
      <t>MATADI</t>
    </r>
  </si>
  <si>
    <r>
      <rPr>
        <sz val="10"/>
        <rFont val="Arial"/>
      </rPr>
      <t>MATSUYAMA</t>
    </r>
  </si>
  <si>
    <r>
      <rPr>
        <sz val="10"/>
        <rFont val="Arial"/>
      </rPr>
      <t>MAURITIUS</t>
    </r>
  </si>
  <si>
    <r>
      <rPr>
        <sz val="10"/>
        <rFont val="Arial"/>
      </rPr>
      <t>MEDAN</t>
    </r>
  </si>
  <si>
    <r>
      <rPr>
        <sz val="10"/>
        <rFont val="Arial"/>
      </rPr>
      <t>MELBOURNE</t>
    </r>
  </si>
  <si>
    <r>
      <rPr>
        <sz val="10"/>
        <rFont val="Arial"/>
      </rPr>
      <t>MELILLA</t>
    </r>
  </si>
  <si>
    <r>
      <rPr>
        <sz val="10"/>
        <rFont val="Arial"/>
      </rPr>
      <t>MERIDA</t>
    </r>
  </si>
  <si>
    <r>
      <rPr>
        <sz val="10"/>
        <rFont val="Arial"/>
      </rPr>
      <t>MERIMBULA</t>
    </r>
  </si>
  <si>
    <r>
      <rPr>
        <sz val="10"/>
        <rFont val="Arial"/>
      </rPr>
      <t>MEXICO CITY</t>
    </r>
  </si>
  <si>
    <r>
      <rPr>
        <sz val="10"/>
        <rFont val="Arial"/>
      </rPr>
      <t>MIAMI FL</t>
    </r>
  </si>
  <si>
    <r>
      <rPr>
        <sz val="10"/>
        <rFont val="Arial"/>
      </rPr>
      <t>MIDLANDA</t>
    </r>
  </si>
  <si>
    <r>
      <rPr>
        <sz val="10"/>
        <rFont val="Arial"/>
      </rPr>
      <t>MILAN</t>
    </r>
  </si>
  <si>
    <r>
      <rPr>
        <sz val="10"/>
        <rFont val="Arial"/>
      </rPr>
      <t>MINATITLAN</t>
    </r>
  </si>
  <si>
    <r>
      <rPr>
        <sz val="10"/>
        <rFont val="Arial"/>
      </rPr>
      <t>MINSK</t>
    </r>
  </si>
  <si>
    <r>
      <rPr>
        <sz val="10"/>
        <rFont val="Arial"/>
      </rPr>
      <t>MIRI</t>
    </r>
  </si>
  <si>
    <r>
      <rPr>
        <sz val="10"/>
        <rFont val="Arial"/>
      </rPr>
      <t>MISAWA</t>
    </r>
  </si>
  <si>
    <r>
      <rPr>
        <sz val="10"/>
        <rFont val="Arial"/>
      </rPr>
      <t>MISURATA</t>
    </r>
  </si>
  <si>
    <r>
      <rPr>
        <sz val="10"/>
        <rFont val="Arial"/>
      </rPr>
      <t>MIYAZAKI</t>
    </r>
  </si>
  <si>
    <r>
      <rPr>
        <sz val="10"/>
        <rFont val="Arial"/>
      </rPr>
      <t>MO I RANA</t>
    </r>
  </si>
  <si>
    <r>
      <rPr>
        <sz val="10"/>
        <rFont val="Arial"/>
      </rPr>
      <t>MOBILE</t>
    </r>
  </si>
  <si>
    <r>
      <rPr>
        <sz val="10"/>
        <rFont val="Arial"/>
      </rPr>
      <t>MOGADISHU</t>
    </r>
  </si>
  <si>
    <r>
      <rPr>
        <sz val="10"/>
        <rFont val="Arial"/>
      </rPr>
      <t>MOKPO</t>
    </r>
  </si>
  <si>
    <r>
      <rPr>
        <sz val="10"/>
        <rFont val="Arial"/>
      </rPr>
      <t>MOMBASA</t>
    </r>
  </si>
  <si>
    <r>
      <rPr>
        <sz val="10"/>
        <rFont val="Arial"/>
      </rPr>
      <t>MONROVIA</t>
    </r>
  </si>
  <si>
    <r>
      <rPr>
        <sz val="10"/>
        <rFont val="Arial"/>
      </rPr>
      <t>MONTEGO BAY</t>
    </r>
  </si>
  <si>
    <r>
      <rPr>
        <sz val="10"/>
        <rFont val="Arial"/>
      </rPr>
      <t>MONTEREY CA</t>
    </r>
  </si>
  <si>
    <r>
      <rPr>
        <sz val="10"/>
        <rFont val="Arial"/>
      </rPr>
      <t>MONTERREY</t>
    </r>
  </si>
  <si>
    <r>
      <rPr>
        <sz val="10"/>
        <rFont val="Arial"/>
      </rPr>
      <t>MONTEVIDEO</t>
    </r>
  </si>
  <si>
    <r>
      <rPr>
        <sz val="10"/>
        <rFont val="Arial"/>
      </rPr>
      <t>MONTPELLIER</t>
    </r>
  </si>
  <si>
    <r>
      <rPr>
        <sz val="10"/>
        <rFont val="Arial"/>
      </rPr>
      <t>MONTREAL</t>
    </r>
  </si>
  <si>
    <r>
      <rPr>
        <sz val="10"/>
        <rFont val="Arial"/>
      </rPr>
      <t>MONTREAL/DORVAL</t>
    </r>
  </si>
  <si>
    <r>
      <rPr>
        <sz val="10"/>
        <rFont val="Arial"/>
      </rPr>
      <t>MORA</t>
    </r>
  </si>
  <si>
    <r>
      <rPr>
        <sz val="10"/>
        <rFont val="Arial"/>
      </rPr>
      <t>MORONI</t>
    </r>
  </si>
  <si>
    <r>
      <rPr>
        <sz val="10"/>
        <rFont val="Arial"/>
      </rPr>
      <t>MOSCOW</t>
    </r>
  </si>
  <si>
    <r>
      <rPr>
        <sz val="10"/>
        <rFont val="Arial"/>
      </rPr>
      <t>MOUNT PLEASANT</t>
    </r>
  </si>
  <si>
    <r>
      <rPr>
        <sz val="10"/>
        <rFont val="Arial"/>
      </rPr>
      <t>MTWARA</t>
    </r>
  </si>
  <si>
    <r>
      <rPr>
        <sz val="10"/>
        <rFont val="Arial"/>
      </rPr>
      <t>MUNICH</t>
    </r>
  </si>
  <si>
    <r>
      <rPr>
        <sz val="10"/>
        <rFont val="Arial"/>
      </rPr>
      <t>MURCIA</t>
    </r>
  </si>
  <si>
    <r>
      <rPr>
        <sz val="10"/>
        <rFont val="Arial"/>
      </rPr>
      <t>MURMANSK</t>
    </r>
  </si>
  <si>
    <r>
      <rPr>
        <sz val="10"/>
        <rFont val="Arial"/>
      </rPr>
      <t>MUSCAT</t>
    </r>
  </si>
  <si>
    <r>
      <rPr>
        <sz val="10"/>
        <rFont val="Arial"/>
      </rPr>
      <t>NAGASAKI</t>
    </r>
  </si>
  <si>
    <r>
      <rPr>
        <sz val="10"/>
        <rFont val="Arial"/>
      </rPr>
      <t>NAGOYA</t>
    </r>
  </si>
  <si>
    <r>
      <rPr>
        <sz val="10"/>
        <rFont val="Arial"/>
      </rPr>
      <t>NAIN</t>
    </r>
  </si>
  <si>
    <r>
      <rPr>
        <sz val="10"/>
        <rFont val="Arial"/>
      </rPr>
      <t>NAIROBI</t>
    </r>
  </si>
  <si>
    <r>
      <rPr>
        <sz val="10"/>
        <rFont val="Arial"/>
      </rPr>
      <t>NAMIBE</t>
    </r>
  </si>
  <si>
    <r>
      <rPr>
        <sz val="10"/>
        <rFont val="Arial"/>
      </rPr>
      <t>NAMSOS</t>
    </r>
  </si>
  <si>
    <r>
      <rPr>
        <sz val="10"/>
        <rFont val="Arial"/>
      </rPr>
      <t>NANDI</t>
    </r>
  </si>
  <si>
    <r>
      <rPr>
        <sz val="10"/>
        <rFont val="Arial"/>
      </rPr>
      <t>NANTES</t>
    </r>
  </si>
  <si>
    <r>
      <rPr>
        <sz val="10"/>
        <rFont val="Arial"/>
      </rPr>
      <t>NAPIER/HASTINGS</t>
    </r>
  </si>
  <si>
    <r>
      <rPr>
        <sz val="10"/>
        <rFont val="Arial"/>
      </rPr>
      <t>NAPLES</t>
    </r>
  </si>
  <si>
    <r>
      <rPr>
        <sz val="10"/>
        <rFont val="Arial"/>
      </rPr>
      <t>NARITA</t>
    </r>
  </si>
  <si>
    <r>
      <rPr>
        <sz val="10"/>
        <rFont val="Arial"/>
      </rPr>
      <t>NARVIK</t>
    </r>
  </si>
  <si>
    <r>
      <rPr>
        <sz val="10"/>
        <rFont val="Arial"/>
      </rPr>
      <t>NASSAU</t>
    </r>
  </si>
  <si>
    <r>
      <rPr>
        <sz val="10"/>
        <rFont val="Arial"/>
      </rPr>
      <t>NATAL</t>
    </r>
  </si>
  <si>
    <r>
      <rPr>
        <sz val="10"/>
        <rFont val="Arial"/>
      </rPr>
      <t>NAURU</t>
    </r>
  </si>
  <si>
    <r>
      <rPr>
        <sz val="10"/>
        <rFont val="Arial"/>
      </rPr>
      <t>NAVEGANTES</t>
    </r>
  </si>
  <si>
    <r>
      <rPr>
        <sz val="10"/>
        <rFont val="Arial"/>
      </rPr>
      <t>NECOCHEA</t>
    </r>
  </si>
  <si>
    <r>
      <rPr>
        <sz val="10"/>
        <rFont val="Arial"/>
      </rPr>
      <t>NELSON</t>
    </r>
  </si>
  <si>
    <r>
      <rPr>
        <sz val="10"/>
        <rFont val="Arial"/>
      </rPr>
      <t>NEW BERN</t>
    </r>
  </si>
  <si>
    <r>
      <rPr>
        <sz val="10"/>
        <rFont val="Arial"/>
      </rPr>
      <t>NEW JERSY</t>
    </r>
  </si>
  <si>
    <r>
      <rPr>
        <sz val="10"/>
        <rFont val="Arial"/>
      </rPr>
      <t>NEW ORLEANS</t>
    </r>
  </si>
  <si>
    <r>
      <rPr>
        <sz val="10"/>
        <rFont val="Arial"/>
      </rPr>
      <t>NEW PLYMOUTH</t>
    </r>
  </si>
  <si>
    <r>
      <rPr>
        <sz val="10"/>
        <rFont val="Arial"/>
      </rPr>
      <t>NEW YORK</t>
    </r>
  </si>
  <si>
    <r>
      <rPr>
        <sz val="10"/>
        <rFont val="Arial"/>
      </rPr>
      <t>NEWCASTLE AU</t>
    </r>
  </si>
  <si>
    <r>
      <rPr>
        <sz val="10"/>
        <rFont val="Arial"/>
      </rPr>
      <t>NEWCASTLE GB</t>
    </r>
  </si>
  <si>
    <r>
      <rPr>
        <sz val="10"/>
        <rFont val="Arial"/>
      </rPr>
      <t>NEWQUAY</t>
    </r>
  </si>
  <si>
    <r>
      <rPr>
        <sz val="10"/>
        <rFont val="Arial"/>
      </rPr>
      <t>NICE</t>
    </r>
  </si>
  <si>
    <r>
      <rPr>
        <sz val="10"/>
        <rFont val="Arial"/>
      </rPr>
      <t>NIUAFO'OU</t>
    </r>
  </si>
  <si>
    <r>
      <rPr>
        <sz val="10"/>
        <rFont val="Arial"/>
      </rPr>
      <t>NORFOLK</t>
    </r>
  </si>
  <si>
    <r>
      <rPr>
        <sz val="10"/>
        <rFont val="Arial"/>
      </rPr>
      <t>NORRKOPING</t>
    </r>
  </si>
  <si>
    <r>
      <rPr>
        <sz val="10"/>
        <rFont val="Arial"/>
      </rPr>
      <t>NORTH BEND  OR.</t>
    </r>
  </si>
  <si>
    <r>
      <rPr>
        <sz val="10"/>
        <rFont val="Arial"/>
      </rPr>
      <t>NORWICH</t>
    </r>
  </si>
  <si>
    <r>
      <rPr>
        <sz val="10"/>
        <rFont val="Arial"/>
      </rPr>
      <t>NOUADHIBOU</t>
    </r>
  </si>
  <si>
    <r>
      <rPr>
        <sz val="10"/>
        <rFont val="Arial"/>
      </rPr>
      <t>NOUAKCHOTT</t>
    </r>
  </si>
  <si>
    <r>
      <rPr>
        <sz val="10"/>
        <rFont val="Arial"/>
      </rPr>
      <t>NOUMEA</t>
    </r>
  </si>
  <si>
    <r>
      <rPr>
        <sz val="10"/>
        <rFont val="Arial"/>
      </rPr>
      <t>NUREMBERG</t>
    </r>
  </si>
  <si>
    <r>
      <rPr>
        <sz val="10"/>
        <rFont val="Arial"/>
      </rPr>
      <t>OAKLAND CA</t>
    </r>
  </si>
  <si>
    <r>
      <rPr>
        <sz val="10"/>
        <rFont val="Arial"/>
      </rPr>
      <t>ODENSE</t>
    </r>
  </si>
  <si>
    <r>
      <rPr>
        <sz val="10"/>
        <rFont val="Arial"/>
      </rPr>
      <t>ODESSA</t>
    </r>
  </si>
  <si>
    <r>
      <rPr>
        <sz val="10"/>
        <rFont val="Arial"/>
      </rPr>
      <t>OITA</t>
    </r>
  </si>
  <si>
    <r>
      <rPr>
        <sz val="10"/>
        <rFont val="Arial"/>
      </rPr>
      <t>OKAYAMA</t>
    </r>
  </si>
  <si>
    <r>
      <rPr>
        <sz val="10"/>
        <rFont val="Arial"/>
      </rPr>
      <t>OKINAWA</t>
    </r>
  </si>
  <si>
    <r>
      <rPr>
        <sz val="10"/>
        <rFont val="Arial"/>
      </rPr>
      <t>OLBIA  SARDINIA</t>
    </r>
  </si>
  <si>
    <r>
      <rPr>
        <sz val="10"/>
        <rFont val="Arial"/>
      </rPr>
      <t>OMSK</t>
    </r>
  </si>
  <si>
    <r>
      <rPr>
        <sz val="10"/>
        <rFont val="Arial"/>
      </rPr>
      <t>OPORTO</t>
    </r>
  </si>
  <si>
    <r>
      <rPr>
        <sz val="10"/>
        <rFont val="Arial"/>
      </rPr>
      <t>ORAN</t>
    </r>
  </si>
  <si>
    <r>
      <rPr>
        <sz val="10"/>
        <rFont val="Arial"/>
      </rPr>
      <t>ORKNEY</t>
    </r>
  </si>
  <si>
    <r>
      <rPr>
        <sz val="10"/>
        <rFont val="Arial"/>
      </rPr>
      <t>ORLANDO</t>
    </r>
  </si>
  <si>
    <r>
      <rPr>
        <sz val="10"/>
        <rFont val="Arial"/>
      </rPr>
      <t>OSAKA</t>
    </r>
  </si>
  <si>
    <r>
      <rPr>
        <sz val="10"/>
        <rFont val="Arial"/>
      </rPr>
      <t>OSLO</t>
    </r>
  </si>
  <si>
    <r>
      <rPr>
        <sz val="10"/>
        <rFont val="Arial"/>
      </rPr>
      <t>OSTEND</t>
    </r>
  </si>
  <si>
    <r>
      <rPr>
        <sz val="10"/>
        <rFont val="Arial"/>
      </rPr>
      <t>OTTAWA</t>
    </r>
  </si>
  <si>
    <r>
      <rPr>
        <sz val="10"/>
        <rFont val="Arial"/>
      </rPr>
      <t>OUJDA</t>
    </r>
  </si>
  <si>
    <r>
      <rPr>
        <sz val="10"/>
        <rFont val="Arial"/>
      </rPr>
      <t>OULU</t>
    </r>
  </si>
  <si>
    <r>
      <rPr>
        <sz val="10"/>
        <rFont val="Arial"/>
      </rPr>
      <t>OWATONNA</t>
    </r>
  </si>
  <si>
    <r>
      <rPr>
        <sz val="10"/>
        <rFont val="Arial"/>
      </rPr>
      <t>OWENDO</t>
    </r>
  </si>
  <si>
    <r>
      <rPr>
        <sz val="10"/>
        <rFont val="Arial"/>
      </rPr>
      <t>PAGO PAGO</t>
    </r>
  </si>
  <si>
    <r>
      <rPr>
        <sz val="10"/>
        <rFont val="Arial"/>
      </rPr>
      <t>PALANGA</t>
    </r>
  </si>
  <si>
    <r>
      <rPr>
        <sz val="10"/>
        <rFont val="Arial"/>
      </rPr>
      <t>PALEMBANG</t>
    </r>
  </si>
  <si>
    <r>
      <rPr>
        <sz val="10"/>
        <rFont val="Arial"/>
      </rPr>
      <t>PALERMO</t>
    </r>
  </si>
  <si>
    <r>
      <rPr>
        <sz val="10"/>
        <rFont val="Arial"/>
      </rPr>
      <t>PALMA DE MALLORCA</t>
    </r>
  </si>
  <si>
    <r>
      <rPr>
        <sz val="10"/>
        <rFont val="Arial"/>
      </rPr>
      <t>PANAMA CITY</t>
    </r>
  </si>
  <si>
    <r>
      <rPr>
        <sz val="10"/>
        <rFont val="Arial"/>
      </rPr>
      <t>PANAMA CITY/BALBOA</t>
    </r>
  </si>
  <si>
    <r>
      <rPr>
        <sz val="10"/>
        <rFont val="Arial"/>
      </rPr>
      <t>PANGKALPINANG</t>
    </r>
  </si>
  <si>
    <r>
      <rPr>
        <sz val="10"/>
        <rFont val="Arial"/>
      </rPr>
      <t>PAPEETE</t>
    </r>
  </si>
  <si>
    <r>
      <rPr>
        <sz val="10"/>
        <rFont val="Arial"/>
      </rPr>
      <t>PAPHOS</t>
    </r>
  </si>
  <si>
    <r>
      <rPr>
        <sz val="10"/>
        <rFont val="Arial"/>
      </rPr>
      <t>PARAMARIBO</t>
    </r>
  </si>
  <si>
    <r>
      <rPr>
        <sz val="10"/>
        <rFont val="Arial"/>
      </rPr>
      <t>PARIS</t>
    </r>
  </si>
  <si>
    <r>
      <rPr>
        <sz val="10"/>
        <rFont val="Arial"/>
      </rPr>
      <t>PARIS - ORLY</t>
    </r>
  </si>
  <si>
    <r>
      <rPr>
        <sz val="10"/>
        <rFont val="Arial"/>
      </rPr>
      <t>PASCAGOULA</t>
    </r>
  </si>
  <si>
    <r>
      <rPr>
        <sz val="10"/>
        <rFont val="Arial"/>
      </rPr>
      <t>PASNI</t>
    </r>
  </si>
  <si>
    <r>
      <rPr>
        <sz val="10"/>
        <rFont val="Arial"/>
      </rPr>
      <t>PAU</t>
    </r>
  </si>
  <si>
    <r>
      <rPr>
        <sz val="10"/>
        <rFont val="Arial"/>
      </rPr>
      <t>PEMBA</t>
    </r>
  </si>
  <si>
    <r>
      <rPr>
        <sz val="10"/>
        <rFont val="Arial"/>
      </rPr>
      <t>PENANG</t>
    </r>
  </si>
  <si>
    <r>
      <rPr>
        <sz val="10"/>
        <rFont val="Arial"/>
      </rPr>
      <t>PENSACOLA FL</t>
    </r>
  </si>
  <si>
    <r>
      <rPr>
        <sz val="10"/>
        <rFont val="Arial"/>
      </rPr>
      <t>PERTH</t>
    </r>
  </si>
  <si>
    <r>
      <rPr>
        <sz val="10"/>
        <rFont val="Arial"/>
      </rPr>
      <t>PHILADELPHIA</t>
    </r>
  </si>
  <si>
    <r>
      <rPr>
        <sz val="10"/>
        <rFont val="Arial"/>
      </rPr>
      <t>PHNOM PHEN</t>
    </r>
  </si>
  <si>
    <r>
      <rPr>
        <sz val="10"/>
        <rFont val="Arial"/>
      </rPr>
      <t>PHOENIX</t>
    </r>
  </si>
  <si>
    <r>
      <rPr>
        <sz val="10"/>
        <rFont val="Arial"/>
      </rPr>
      <t>PHUKET</t>
    </r>
  </si>
  <si>
    <r>
      <rPr>
        <sz val="10"/>
        <rFont val="Arial"/>
      </rPr>
      <t>PIARCO</t>
    </r>
  </si>
  <si>
    <r>
      <rPr>
        <sz val="10"/>
        <rFont val="Arial"/>
      </rPr>
      <t>PISA</t>
    </r>
  </si>
  <si>
    <r>
      <rPr>
        <sz val="10"/>
        <rFont val="Arial"/>
      </rPr>
      <t>PIURA</t>
    </r>
  </si>
  <si>
    <r>
      <rPr>
        <sz val="10"/>
        <rFont val="Arial"/>
      </rPr>
      <t>PLYMOUTH</t>
    </r>
  </si>
  <si>
    <r>
      <rPr>
        <sz val="10"/>
        <rFont val="Arial"/>
      </rPr>
      <t>POINTE NOIRE</t>
    </r>
  </si>
  <si>
    <r>
      <rPr>
        <sz val="10"/>
        <rFont val="Arial"/>
      </rPr>
      <t>PONAPE</t>
    </r>
  </si>
  <si>
    <r>
      <rPr>
        <sz val="10"/>
        <rFont val="Arial"/>
      </rPr>
      <t>PONTA DELGADA</t>
    </r>
  </si>
  <si>
    <r>
      <rPr>
        <sz val="10"/>
        <rFont val="Arial"/>
      </rPr>
      <t>PORBANDAR</t>
    </r>
  </si>
  <si>
    <r>
      <rPr>
        <sz val="10"/>
        <rFont val="Arial"/>
      </rPr>
      <t>PORI</t>
    </r>
  </si>
  <si>
    <r>
      <rPr>
        <sz val="10"/>
        <rFont val="Arial"/>
      </rPr>
      <t>PORT AU PRINCE</t>
    </r>
  </si>
  <si>
    <r>
      <rPr>
        <sz val="10"/>
        <rFont val="Arial"/>
      </rPr>
      <t>PORT ELIZABETH</t>
    </r>
  </si>
  <si>
    <r>
      <rPr>
        <sz val="10"/>
        <rFont val="Arial"/>
      </rPr>
      <t>PORT GENTIL</t>
    </r>
  </si>
  <si>
    <r>
      <rPr>
        <sz val="10"/>
        <rFont val="Arial"/>
      </rPr>
      <t>PORT HARCOURT</t>
    </r>
  </si>
  <si>
    <r>
      <rPr>
        <sz val="10"/>
        <rFont val="Arial"/>
      </rPr>
      <t>PORT HEDLAND</t>
    </r>
  </si>
  <si>
    <r>
      <rPr>
        <sz val="10"/>
        <rFont val="Arial"/>
      </rPr>
      <t>PORT LINCOLN</t>
    </r>
  </si>
  <si>
    <r>
      <rPr>
        <sz val="10"/>
        <rFont val="Arial"/>
      </rPr>
      <t>PORT MACQUARIE</t>
    </r>
  </si>
  <si>
    <r>
      <rPr>
        <sz val="10"/>
        <rFont val="Arial"/>
      </rPr>
      <t>PORT MORESBY</t>
    </r>
  </si>
  <si>
    <r>
      <rPr>
        <sz val="10"/>
        <rFont val="Arial"/>
      </rPr>
      <t>PORT OF SPAIN</t>
    </r>
  </si>
  <si>
    <r>
      <rPr>
        <sz val="10"/>
        <rFont val="Arial"/>
      </rPr>
      <t>PORT SUDAN</t>
    </r>
  </si>
  <si>
    <r>
      <rPr>
        <sz val="10"/>
        <rFont val="Arial"/>
      </rPr>
      <t>PORT VILA</t>
    </r>
  </si>
  <si>
    <r>
      <rPr>
        <sz val="10"/>
        <rFont val="Arial"/>
      </rPr>
      <t>PORTLAND  VIC.</t>
    </r>
  </si>
  <si>
    <r>
      <rPr>
        <sz val="10"/>
        <rFont val="Arial"/>
      </rPr>
      <t>PORTLAND ME</t>
    </r>
  </si>
  <si>
    <r>
      <rPr>
        <sz val="10"/>
        <rFont val="Arial"/>
      </rPr>
      <t>PORTLAND OR</t>
    </r>
  </si>
  <si>
    <r>
      <rPr>
        <sz val="10"/>
        <rFont val="Arial"/>
      </rPr>
      <t>PORTO ALEGRE</t>
    </r>
  </si>
  <si>
    <r>
      <rPr>
        <sz val="10"/>
        <rFont val="Arial"/>
      </rPr>
      <t>PORTO AMBOIM</t>
    </r>
  </si>
  <si>
    <r>
      <rPr>
        <sz val="10"/>
        <rFont val="Arial"/>
      </rPr>
      <t>POZA RICA</t>
    </r>
  </si>
  <si>
    <r>
      <rPr>
        <sz val="10"/>
        <rFont val="Arial"/>
      </rPr>
      <t>POZNAN</t>
    </r>
  </si>
  <si>
    <r>
      <rPr>
        <sz val="10"/>
        <rFont val="Arial"/>
      </rPr>
      <t>PRAGUE</t>
    </r>
  </si>
  <si>
    <r>
      <rPr>
        <sz val="10"/>
        <rFont val="Arial"/>
      </rPr>
      <t>PRAIA</t>
    </r>
  </si>
  <si>
    <r>
      <rPr>
        <sz val="10"/>
        <rFont val="Arial"/>
      </rPr>
      <t>PRESTWICK</t>
    </r>
  </si>
  <si>
    <r>
      <rPr>
        <sz val="10"/>
        <rFont val="Arial"/>
      </rPr>
      <t>PRINCE RUPERT</t>
    </r>
  </si>
  <si>
    <r>
      <rPr>
        <sz val="10"/>
        <rFont val="Arial"/>
      </rPr>
      <t>PROSERPINE</t>
    </r>
  </si>
  <si>
    <r>
      <rPr>
        <sz val="10"/>
        <rFont val="Arial"/>
      </rPr>
      <t>PROVIDENCE</t>
    </r>
  </si>
  <si>
    <r>
      <rPr>
        <sz val="10"/>
        <rFont val="Arial"/>
      </rPr>
      <t>PUERTO CABELLO</t>
    </r>
  </si>
  <si>
    <r>
      <rPr>
        <sz val="10"/>
        <rFont val="Arial"/>
      </rPr>
      <t>PUERTO CABEZAS</t>
    </r>
  </si>
  <si>
    <r>
      <rPr>
        <sz val="10"/>
        <rFont val="Arial"/>
      </rPr>
      <t>PUERTO ESCONDIDO</t>
    </r>
  </si>
  <si>
    <r>
      <rPr>
        <sz val="10"/>
        <rFont val="Arial"/>
      </rPr>
      <t>PUERTO LIMON</t>
    </r>
  </si>
  <si>
    <r>
      <rPr>
        <sz val="10"/>
        <rFont val="Arial"/>
      </rPr>
      <t>PUERTO MONTT</t>
    </r>
  </si>
  <si>
    <r>
      <rPr>
        <sz val="10"/>
        <rFont val="Arial"/>
      </rPr>
      <t>PUERTO ORDAZ</t>
    </r>
  </si>
  <si>
    <r>
      <rPr>
        <sz val="10"/>
        <rFont val="Arial"/>
      </rPr>
      <t>PUERTO PLATA</t>
    </r>
  </si>
  <si>
    <r>
      <rPr>
        <sz val="10"/>
        <rFont val="Arial"/>
      </rPr>
      <t>PUERTO PRINCESA</t>
    </r>
  </si>
  <si>
    <r>
      <rPr>
        <sz val="10"/>
        <rFont val="Arial"/>
      </rPr>
      <t>PUERTO VALLARTA</t>
    </r>
  </si>
  <si>
    <r>
      <rPr>
        <sz val="10"/>
        <rFont val="Arial"/>
      </rPr>
      <t>PULA</t>
    </r>
  </si>
  <si>
    <r>
      <rPr>
        <sz val="10"/>
        <rFont val="Arial"/>
      </rPr>
      <t>PUNTA ARENAS</t>
    </r>
  </si>
  <si>
    <r>
      <rPr>
        <sz val="10"/>
        <rFont val="Arial"/>
      </rPr>
      <t>PUSAN</t>
    </r>
  </si>
  <si>
    <r>
      <rPr>
        <sz val="10"/>
        <rFont val="Arial"/>
      </rPr>
      <t>PYONG YANG</t>
    </r>
  </si>
  <si>
    <r>
      <rPr>
        <sz val="10"/>
        <rFont val="Arial"/>
      </rPr>
      <t>QINGDAO</t>
    </r>
  </si>
  <si>
    <r>
      <rPr>
        <sz val="10"/>
        <rFont val="Arial"/>
      </rPr>
      <t>QUEBEC</t>
    </r>
  </si>
  <si>
    <r>
      <rPr>
        <sz val="10"/>
        <rFont val="Arial"/>
      </rPr>
      <t>QUEENSTOWN</t>
    </r>
  </si>
  <si>
    <r>
      <rPr>
        <sz val="10"/>
        <rFont val="Arial"/>
      </rPr>
      <t>RABAT</t>
    </r>
  </si>
  <si>
    <r>
      <rPr>
        <sz val="10"/>
        <rFont val="Arial"/>
      </rPr>
      <t>RABAUL</t>
    </r>
  </si>
  <si>
    <r>
      <rPr>
        <sz val="10"/>
        <rFont val="Arial"/>
      </rPr>
      <t>RAROTONGA</t>
    </r>
  </si>
  <si>
    <r>
      <rPr>
        <sz val="10"/>
        <rFont val="Arial"/>
      </rPr>
      <t>REBIECHOWO</t>
    </r>
  </si>
  <si>
    <r>
      <rPr>
        <sz val="10"/>
        <rFont val="Arial"/>
      </rPr>
      <t>RECIFE</t>
    </r>
  </si>
  <si>
    <r>
      <rPr>
        <sz val="10"/>
        <rFont val="Arial"/>
      </rPr>
      <t>REGGIO CALABRIA</t>
    </r>
  </si>
  <si>
    <r>
      <rPr>
        <sz val="10"/>
        <rFont val="Arial"/>
      </rPr>
      <t>REKYJAVIK</t>
    </r>
  </si>
  <si>
    <r>
      <rPr>
        <sz val="10"/>
        <rFont val="Arial"/>
      </rPr>
      <t>RENNES (ST JACQUES)</t>
    </r>
  </si>
  <si>
    <r>
      <rPr>
        <sz val="10"/>
        <rFont val="Arial"/>
      </rPr>
      <t>RENO</t>
    </r>
  </si>
  <si>
    <r>
      <rPr>
        <sz val="10"/>
        <rFont val="Arial"/>
      </rPr>
      <t>REUNION ISLAND</t>
    </r>
  </si>
  <si>
    <r>
      <rPr>
        <sz val="10"/>
        <rFont val="Arial"/>
      </rPr>
      <t>REUS</t>
    </r>
  </si>
  <si>
    <r>
      <rPr>
        <sz val="10"/>
        <rFont val="Arial"/>
      </rPr>
      <t>RHODES</t>
    </r>
  </si>
  <si>
    <r>
      <rPr>
        <sz val="10"/>
        <rFont val="Arial"/>
      </rPr>
      <t>RICHARDS BAY</t>
    </r>
  </si>
  <si>
    <r>
      <rPr>
        <sz val="10"/>
        <rFont val="Arial"/>
      </rPr>
      <t>RICHMOND</t>
    </r>
  </si>
  <si>
    <r>
      <rPr>
        <sz val="10"/>
        <rFont val="Arial"/>
      </rPr>
      <t>RIGA</t>
    </r>
  </si>
  <si>
    <r>
      <rPr>
        <sz val="10"/>
        <rFont val="Arial"/>
      </rPr>
      <t>RIJEKA</t>
    </r>
  </si>
  <si>
    <r>
      <rPr>
        <sz val="10"/>
        <rFont val="Arial"/>
      </rPr>
      <t>RIMINI</t>
    </r>
  </si>
  <si>
    <r>
      <rPr>
        <sz val="10"/>
        <rFont val="Arial"/>
      </rPr>
      <t>RIO DE JANIERO</t>
    </r>
  </si>
  <si>
    <r>
      <rPr>
        <sz val="10"/>
        <rFont val="Arial"/>
      </rPr>
      <t>RIO GALLEGOS</t>
    </r>
  </si>
  <si>
    <r>
      <rPr>
        <sz val="10"/>
        <rFont val="Arial"/>
      </rPr>
      <t>RIO GRANDE DO SUL</t>
    </r>
  </si>
  <si>
    <r>
      <rPr>
        <sz val="10"/>
        <rFont val="Arial"/>
      </rPr>
      <t>RIYADH</t>
    </r>
  </si>
  <si>
    <r>
      <rPr>
        <sz val="10"/>
        <rFont val="Arial"/>
      </rPr>
      <t>ROCKHAMPTON</t>
    </r>
  </si>
  <si>
    <r>
      <rPr>
        <sz val="10"/>
        <rFont val="Arial"/>
      </rPr>
      <t>ROISSY</t>
    </r>
  </si>
  <si>
    <r>
      <rPr>
        <sz val="10"/>
        <rFont val="Arial"/>
      </rPr>
      <t>ROME</t>
    </r>
  </si>
  <si>
    <r>
      <rPr>
        <sz val="10"/>
        <rFont val="Arial"/>
      </rPr>
      <t>ROME GUIANA</t>
    </r>
  </si>
  <si>
    <r>
      <rPr>
        <sz val="10"/>
        <rFont val="Arial"/>
      </rPr>
      <t>RONNEBY</t>
    </r>
  </si>
  <si>
    <r>
      <rPr>
        <sz val="10"/>
        <rFont val="Arial"/>
      </rPr>
      <t>ROSARIO</t>
    </r>
  </si>
  <si>
    <r>
      <rPr>
        <sz val="10"/>
        <rFont val="Arial"/>
      </rPr>
      <t>ROSTOCK-LAAGE</t>
    </r>
  </si>
  <si>
    <r>
      <rPr>
        <sz val="10"/>
        <rFont val="Arial"/>
      </rPr>
      <t>ROSTOV</t>
    </r>
  </si>
  <si>
    <r>
      <rPr>
        <sz val="10"/>
        <rFont val="Arial"/>
      </rPr>
      <t>ROTTERDAM</t>
    </r>
  </si>
  <si>
    <r>
      <rPr>
        <sz val="10"/>
        <rFont val="Arial"/>
      </rPr>
      <t>ROXAS</t>
    </r>
  </si>
  <si>
    <r>
      <rPr>
        <sz val="10"/>
        <rFont val="Arial"/>
      </rPr>
      <t>RZESZOW</t>
    </r>
  </si>
  <si>
    <r>
      <rPr>
        <sz val="10"/>
        <rFont val="Arial"/>
      </rPr>
      <t>SAIPAN</t>
    </r>
  </si>
  <si>
    <r>
      <rPr>
        <sz val="10"/>
        <rFont val="Arial"/>
      </rPr>
      <t>SALALAH</t>
    </r>
  </si>
  <si>
    <r>
      <rPr>
        <sz val="10"/>
        <rFont val="Arial"/>
      </rPr>
      <t>SALISBURY</t>
    </r>
  </si>
  <si>
    <r>
      <rPr>
        <sz val="10"/>
        <rFont val="Arial"/>
      </rPr>
      <t>SALVADOR</t>
    </r>
  </si>
  <si>
    <r>
      <rPr>
        <sz val="10"/>
        <rFont val="Arial"/>
      </rPr>
      <t>SALZBURG</t>
    </r>
  </si>
  <si>
    <r>
      <rPr>
        <sz val="10"/>
        <rFont val="Arial"/>
      </rPr>
      <t>SAMARA</t>
    </r>
  </si>
  <si>
    <r>
      <rPr>
        <sz val="10"/>
        <rFont val="Arial"/>
      </rPr>
      <t>SAN DIEGO</t>
    </r>
  </si>
  <si>
    <r>
      <rPr>
        <sz val="10"/>
        <rFont val="Arial"/>
      </rPr>
      <t>SAN DOMINGO</t>
    </r>
  </si>
  <si>
    <r>
      <rPr>
        <sz val="10"/>
        <rFont val="Arial"/>
      </rPr>
      <t>SAN FRANCISCO</t>
    </r>
  </si>
  <si>
    <r>
      <rPr>
        <sz val="10"/>
        <rFont val="Arial"/>
      </rPr>
      <t>SAN JOSE</t>
    </r>
  </si>
  <si>
    <r>
      <rPr>
        <sz val="10"/>
        <rFont val="Arial"/>
      </rPr>
      <t>SAN JUAN PR</t>
    </r>
  </si>
  <si>
    <r>
      <rPr>
        <sz val="10"/>
        <rFont val="Arial"/>
      </rPr>
      <t>SAN PEDRO</t>
    </r>
  </si>
  <si>
    <r>
      <rPr>
        <sz val="10"/>
        <rFont val="Arial"/>
      </rPr>
      <t>SAN PEDRO SULA</t>
    </r>
  </si>
  <si>
    <r>
      <rPr>
        <sz val="10"/>
        <rFont val="Arial"/>
      </rPr>
      <t>SAN SALVADOR</t>
    </r>
  </si>
  <si>
    <r>
      <rPr>
        <sz val="10"/>
        <rFont val="Arial"/>
      </rPr>
      <t>SAN SEBASTIAN</t>
    </r>
  </si>
  <si>
    <r>
      <rPr>
        <sz val="10"/>
        <rFont val="Arial"/>
      </rPr>
      <t>SANAA</t>
    </r>
  </si>
  <si>
    <r>
      <rPr>
        <sz val="10"/>
        <rFont val="Arial"/>
      </rPr>
      <t>SANDAKAN</t>
    </r>
  </si>
  <si>
    <r>
      <rPr>
        <sz val="10"/>
        <rFont val="Arial"/>
      </rPr>
      <t>SANDE FJORD</t>
    </r>
  </si>
  <si>
    <r>
      <rPr>
        <sz val="10"/>
        <rFont val="Arial"/>
      </rPr>
      <t>SANTA FE</t>
    </r>
  </si>
  <si>
    <r>
      <rPr>
        <sz val="10"/>
        <rFont val="Arial"/>
      </rPr>
      <t>SANTA MARTA</t>
    </r>
  </si>
  <si>
    <r>
      <rPr>
        <sz val="10"/>
        <rFont val="Arial"/>
      </rPr>
      <t>SANTANDER</t>
    </r>
  </si>
  <si>
    <r>
      <rPr>
        <sz val="10"/>
        <rFont val="Arial"/>
      </rPr>
      <t>SANTIAGO</t>
    </r>
  </si>
  <si>
    <r>
      <rPr>
        <sz val="10"/>
        <rFont val="Arial"/>
      </rPr>
      <t>SANTIAGO DE COMPOSTE</t>
    </r>
  </si>
  <si>
    <r>
      <rPr>
        <sz val="10"/>
        <rFont val="Arial"/>
      </rPr>
      <t>SANTIAGO DE CUBA</t>
    </r>
  </si>
  <si>
    <r>
      <rPr>
        <sz val="10"/>
        <rFont val="Arial"/>
      </rPr>
      <t>SANTO DOMINGO</t>
    </r>
  </si>
  <si>
    <r>
      <rPr>
        <sz val="10"/>
        <rFont val="Arial"/>
      </rPr>
      <t>SANYA</t>
    </r>
  </si>
  <si>
    <r>
      <rPr>
        <sz val="10"/>
        <rFont val="Arial"/>
      </rPr>
      <t>SAO PAULO</t>
    </r>
  </si>
  <si>
    <r>
      <rPr>
        <sz val="10"/>
        <rFont val="Arial"/>
      </rPr>
      <t>SAO TOME</t>
    </r>
  </si>
  <si>
    <r>
      <rPr>
        <sz val="10"/>
        <rFont val="Arial"/>
      </rPr>
      <t>SAO VICENTE</t>
    </r>
  </si>
  <si>
    <r>
      <rPr>
        <sz val="10"/>
        <rFont val="Arial"/>
      </rPr>
      <t>SAPPORO</t>
    </r>
  </si>
  <si>
    <r>
      <rPr>
        <sz val="10"/>
        <rFont val="Arial"/>
      </rPr>
      <t>SAVANNAH GA</t>
    </r>
  </si>
  <si>
    <r>
      <rPr>
        <sz val="10"/>
        <rFont val="Arial"/>
      </rPr>
      <t>SEATTLE</t>
    </r>
  </si>
  <si>
    <r>
      <rPr>
        <sz val="10"/>
        <rFont val="Arial"/>
      </rPr>
      <t>SEMARANG</t>
    </r>
  </si>
  <si>
    <r>
      <rPr>
        <sz val="10"/>
        <rFont val="Arial"/>
      </rPr>
      <t>SENDAI</t>
    </r>
  </si>
  <si>
    <r>
      <rPr>
        <sz val="10"/>
        <rFont val="Arial"/>
      </rPr>
      <t>SENIPAH</t>
    </r>
  </si>
  <si>
    <r>
      <rPr>
        <sz val="10"/>
        <rFont val="Arial"/>
      </rPr>
      <t>SEOUL</t>
    </r>
  </si>
  <si>
    <r>
      <rPr>
        <sz val="10"/>
        <rFont val="Arial"/>
      </rPr>
      <t>SEPT ILES</t>
    </r>
  </si>
  <si>
    <r>
      <rPr>
        <sz val="10"/>
        <rFont val="Arial"/>
      </rPr>
      <t>SEVILLE</t>
    </r>
  </si>
  <si>
    <r>
      <rPr>
        <sz val="10"/>
        <rFont val="Arial"/>
      </rPr>
      <t>SFAX</t>
    </r>
  </si>
  <si>
    <r>
      <rPr>
        <sz val="10"/>
        <rFont val="Arial"/>
      </rPr>
      <t>SHANGHAI</t>
    </r>
  </si>
  <si>
    <r>
      <rPr>
        <sz val="10"/>
        <rFont val="Arial"/>
      </rPr>
      <t>SHANNON</t>
    </r>
  </si>
  <si>
    <r>
      <rPr>
        <sz val="10"/>
        <rFont val="Arial"/>
      </rPr>
      <t>SHANTOU</t>
    </r>
  </si>
  <si>
    <r>
      <rPr>
        <sz val="10"/>
        <rFont val="Arial"/>
      </rPr>
      <t>SHARJAH</t>
    </r>
  </si>
  <si>
    <r>
      <rPr>
        <sz val="10"/>
        <rFont val="Arial"/>
      </rPr>
      <t>SHENYANG</t>
    </r>
  </si>
  <si>
    <r>
      <rPr>
        <sz val="10"/>
        <rFont val="Arial"/>
      </rPr>
      <t>SHENZHEN</t>
    </r>
  </si>
  <si>
    <r>
      <rPr>
        <sz val="10"/>
        <rFont val="Arial"/>
      </rPr>
      <t>SHETLAND ISLANDS</t>
    </r>
  </si>
  <si>
    <r>
      <rPr>
        <sz val="10"/>
        <rFont val="Arial"/>
      </rPr>
      <t>SIMFEROPOL</t>
    </r>
  </si>
  <si>
    <r>
      <rPr>
        <sz val="10"/>
        <rFont val="Arial"/>
      </rPr>
      <t>SINES</t>
    </r>
  </si>
  <si>
    <r>
      <rPr>
        <sz val="10"/>
        <rFont val="Arial"/>
      </rPr>
      <t>SINGAPORE</t>
    </r>
  </si>
  <si>
    <r>
      <rPr>
        <sz val="10"/>
        <rFont val="Arial"/>
      </rPr>
      <t>SINOE</t>
    </r>
  </si>
  <si>
    <r>
      <rPr>
        <sz val="10"/>
        <rFont val="Arial"/>
      </rPr>
      <t>SKIEN</t>
    </r>
  </si>
  <si>
    <r>
      <rPr>
        <sz val="10"/>
        <rFont val="Arial"/>
      </rPr>
      <t>SOFIA</t>
    </r>
  </si>
  <si>
    <r>
      <rPr>
        <sz val="10"/>
        <rFont val="Arial"/>
      </rPr>
      <t>SONDERBORG</t>
    </r>
  </si>
  <si>
    <r>
      <rPr>
        <sz val="10"/>
        <rFont val="Arial"/>
      </rPr>
      <t>SOUDA</t>
    </r>
  </si>
  <si>
    <r>
      <rPr>
        <sz val="10"/>
        <rFont val="Arial"/>
      </rPr>
      <t>SOUTHAMPTON</t>
    </r>
  </si>
  <si>
    <r>
      <rPr>
        <sz val="10"/>
        <rFont val="Arial"/>
      </rPr>
      <t>SOYO</t>
    </r>
  </si>
  <si>
    <r>
      <rPr>
        <sz val="10"/>
        <rFont val="Arial"/>
      </rPr>
      <t>SPLIT</t>
    </r>
  </si>
  <si>
    <r>
      <rPr>
        <sz val="10"/>
        <rFont val="Arial"/>
      </rPr>
      <t>ST. CROIX</t>
    </r>
  </si>
  <si>
    <r>
      <rPr>
        <sz val="10"/>
        <rFont val="Arial"/>
      </rPr>
      <t>ST. EUSTATIUS</t>
    </r>
  </si>
  <si>
    <r>
      <rPr>
        <sz val="10"/>
        <rFont val="Arial"/>
      </rPr>
      <t>ST. JOHNS NB.</t>
    </r>
  </si>
  <si>
    <r>
      <rPr>
        <sz val="10"/>
        <rFont val="Arial"/>
      </rPr>
      <t>ST. JOHNS NEWFOUNDLA</t>
    </r>
  </si>
  <si>
    <r>
      <rPr>
        <sz val="10"/>
        <rFont val="Arial"/>
      </rPr>
      <t>ST. KITTS</t>
    </r>
  </si>
  <si>
    <r>
      <rPr>
        <sz val="10"/>
        <rFont val="Arial"/>
      </rPr>
      <t>ST. LUCIA</t>
    </r>
  </si>
  <si>
    <r>
      <rPr>
        <sz val="10"/>
        <rFont val="Arial"/>
      </rPr>
      <t>ST. MAARTEN</t>
    </r>
  </si>
  <si>
    <r>
      <rPr>
        <sz val="10"/>
        <rFont val="Arial"/>
      </rPr>
      <t>ST. NAZAIRE</t>
    </r>
  </si>
  <si>
    <r>
      <rPr>
        <sz val="10"/>
        <rFont val="Arial"/>
      </rPr>
      <t>ST. PETERSBURG</t>
    </r>
  </si>
  <si>
    <r>
      <rPr>
        <sz val="10"/>
        <rFont val="Arial"/>
      </rPr>
      <t>ST. PIERRE</t>
    </r>
  </si>
  <si>
    <r>
      <rPr>
        <sz val="10"/>
        <rFont val="Arial"/>
      </rPr>
      <t>ST. THOMAS</t>
    </r>
  </si>
  <si>
    <r>
      <rPr>
        <sz val="10"/>
        <rFont val="Arial"/>
      </rPr>
      <t>ST. VINCENT</t>
    </r>
  </si>
  <si>
    <r>
      <rPr>
        <sz val="10"/>
        <rFont val="Arial"/>
      </rPr>
      <t>STANSTEAD</t>
    </r>
  </si>
  <si>
    <r>
      <rPr>
        <sz val="10"/>
        <rFont val="Arial"/>
      </rPr>
      <t>STAVANGER</t>
    </r>
  </si>
  <si>
    <r>
      <rPr>
        <sz val="10"/>
        <rFont val="Arial"/>
      </rPr>
      <t>STEPHENVILLE</t>
    </r>
  </si>
  <si>
    <r>
      <rPr>
        <sz val="10"/>
        <rFont val="Arial"/>
      </rPr>
      <t>STOCKHOLM</t>
    </r>
  </si>
  <si>
    <r>
      <rPr>
        <sz val="10"/>
        <rFont val="Arial"/>
      </rPr>
      <t>STORNOWAY</t>
    </r>
  </si>
  <si>
    <r>
      <rPr>
        <sz val="10"/>
        <rFont val="Arial"/>
      </rPr>
      <t>STUTTGART</t>
    </r>
  </si>
  <si>
    <r>
      <rPr>
        <sz val="10"/>
        <rFont val="Arial"/>
      </rPr>
      <t>SUDBURY</t>
    </r>
  </si>
  <si>
    <r>
      <rPr>
        <sz val="10"/>
        <rFont val="Arial"/>
      </rPr>
      <t>SUNDSVALL</t>
    </r>
  </si>
  <si>
    <r>
      <rPr>
        <sz val="10"/>
        <rFont val="Arial"/>
      </rPr>
      <t>SURABAYA</t>
    </r>
  </si>
  <si>
    <r>
      <rPr>
        <sz val="10"/>
        <rFont val="Arial"/>
      </rPr>
      <t>SUVA</t>
    </r>
  </si>
  <si>
    <r>
      <rPr>
        <sz val="10"/>
        <rFont val="Arial"/>
      </rPr>
      <t>SYDNEY</t>
    </r>
  </si>
  <si>
    <r>
      <rPr>
        <sz val="10"/>
        <rFont val="Arial"/>
      </rPr>
      <t>SYDNEY  NOVA SCOTIA</t>
    </r>
  </si>
  <si>
    <r>
      <rPr>
        <sz val="10"/>
        <rFont val="Arial"/>
      </rPr>
      <t>SZCZECIN</t>
    </r>
  </si>
  <si>
    <r>
      <rPr>
        <sz val="10"/>
        <rFont val="Arial"/>
      </rPr>
      <t>TACLOBAN</t>
    </r>
  </si>
  <si>
    <r>
      <rPr>
        <sz val="10"/>
        <rFont val="Arial"/>
      </rPr>
      <t>TACNA</t>
    </r>
  </si>
  <si>
    <r>
      <rPr>
        <sz val="10"/>
        <rFont val="Arial"/>
      </rPr>
      <t>TAINAN</t>
    </r>
  </si>
  <si>
    <r>
      <rPr>
        <sz val="10"/>
        <rFont val="Arial"/>
      </rPr>
      <t>TAIPEI</t>
    </r>
  </si>
  <si>
    <r>
      <rPr>
        <sz val="10"/>
        <rFont val="Arial"/>
      </rPr>
      <t>TAITUNG</t>
    </r>
  </si>
  <si>
    <r>
      <rPr>
        <sz val="10"/>
        <rFont val="Arial"/>
      </rPr>
      <t>TAKAMATSU</t>
    </r>
  </si>
  <si>
    <r>
      <rPr>
        <sz val="10"/>
        <rFont val="Arial"/>
      </rPr>
      <t>TALARA</t>
    </r>
  </si>
  <si>
    <r>
      <rPr>
        <sz val="10"/>
        <rFont val="Arial"/>
      </rPr>
      <t>TALLINN</t>
    </r>
  </si>
  <si>
    <r>
      <rPr>
        <sz val="10"/>
        <rFont val="Arial"/>
      </rPr>
      <t>TAMATAVE</t>
    </r>
  </si>
  <si>
    <r>
      <rPr>
        <sz val="10"/>
        <rFont val="Arial"/>
      </rPr>
      <t>TAMPA</t>
    </r>
  </si>
  <si>
    <r>
      <rPr>
        <sz val="10"/>
        <rFont val="Arial"/>
      </rPr>
      <t>TAMPICO</t>
    </r>
  </si>
  <si>
    <r>
      <rPr>
        <sz val="10"/>
        <rFont val="Arial"/>
      </rPr>
      <t>TANGA</t>
    </r>
  </si>
  <si>
    <r>
      <rPr>
        <sz val="10"/>
        <rFont val="Arial"/>
      </rPr>
      <t>TANGIER</t>
    </r>
  </si>
  <si>
    <r>
      <rPr>
        <sz val="10"/>
        <rFont val="Arial"/>
      </rPr>
      <t>TANJUNG PENANG</t>
    </r>
  </si>
  <si>
    <r>
      <rPr>
        <sz val="10"/>
        <rFont val="Arial"/>
      </rPr>
      <t>TAPACHULA</t>
    </r>
  </si>
  <si>
    <r>
      <rPr>
        <sz val="10"/>
        <rFont val="Arial"/>
      </rPr>
      <t>TARAKAN</t>
    </r>
  </si>
  <si>
    <r>
      <rPr>
        <sz val="10"/>
        <rFont val="Arial"/>
      </rPr>
      <t>TARANTO</t>
    </r>
  </si>
  <si>
    <r>
      <rPr>
        <sz val="10"/>
        <rFont val="Arial"/>
      </rPr>
      <t>TARAWA</t>
    </r>
  </si>
  <si>
    <r>
      <rPr>
        <sz val="10"/>
        <rFont val="Arial"/>
      </rPr>
      <t>TASMANIA</t>
    </r>
  </si>
  <si>
    <r>
      <rPr>
        <sz val="10"/>
        <rFont val="Arial"/>
      </rPr>
      <t>TAURANGA</t>
    </r>
  </si>
  <si>
    <r>
      <rPr>
        <sz val="10"/>
        <rFont val="Arial"/>
      </rPr>
      <t>TBILISI</t>
    </r>
  </si>
  <si>
    <r>
      <rPr>
        <sz val="10"/>
        <rFont val="Arial"/>
      </rPr>
      <t>TEESIDE</t>
    </r>
  </si>
  <si>
    <r>
      <rPr>
        <sz val="10"/>
        <rFont val="Arial"/>
      </rPr>
      <t>TEGEL</t>
    </r>
  </si>
  <si>
    <r>
      <rPr>
        <sz val="10"/>
        <rFont val="Arial"/>
      </rPr>
      <t>TEGUCIGALPA</t>
    </r>
  </si>
  <si>
    <r>
      <rPr>
        <sz val="10"/>
        <rFont val="Arial"/>
      </rPr>
      <t>TEHRAN</t>
    </r>
  </si>
  <si>
    <r>
      <rPr>
        <sz val="10"/>
        <rFont val="Arial"/>
      </rPr>
      <t>TEL AVIV</t>
    </r>
  </si>
  <si>
    <r>
      <rPr>
        <sz val="10"/>
        <rFont val="Arial"/>
      </rPr>
      <t>TEMBAGAPURA</t>
    </r>
  </si>
  <si>
    <r>
      <rPr>
        <sz val="10"/>
        <rFont val="Arial"/>
      </rPr>
      <t>TENERIFE</t>
    </r>
  </si>
  <si>
    <r>
      <rPr>
        <sz val="10"/>
        <rFont val="Arial"/>
      </rPr>
      <t>TENERIFFE</t>
    </r>
  </si>
  <si>
    <r>
      <rPr>
        <sz val="10"/>
        <rFont val="Arial"/>
      </rPr>
      <t>TERCEIRA</t>
    </r>
  </si>
  <si>
    <r>
      <rPr>
        <sz val="10"/>
        <rFont val="Arial"/>
      </rPr>
      <t>TERRACE</t>
    </r>
  </si>
  <si>
    <r>
      <rPr>
        <sz val="10"/>
        <rFont val="Arial"/>
      </rPr>
      <t>THESSALONIKI</t>
    </r>
  </si>
  <si>
    <r>
      <rPr>
        <sz val="10"/>
        <rFont val="Arial"/>
      </rPr>
      <t>THUNDER BAY</t>
    </r>
  </si>
  <si>
    <r>
      <rPr>
        <sz val="10"/>
        <rFont val="Arial"/>
      </rPr>
      <t>TIANJIN</t>
    </r>
  </si>
  <si>
    <r>
      <rPr>
        <sz val="10"/>
        <rFont val="Arial"/>
      </rPr>
      <t>TIJUANA</t>
    </r>
  </si>
  <si>
    <r>
      <rPr>
        <sz val="10"/>
        <rFont val="Arial"/>
      </rPr>
      <t>TIMMINS</t>
    </r>
  </si>
  <si>
    <r>
      <rPr>
        <sz val="10"/>
        <rFont val="Arial"/>
      </rPr>
      <t>TIRANA</t>
    </r>
  </si>
  <si>
    <r>
      <rPr>
        <sz val="10"/>
        <rFont val="Arial"/>
      </rPr>
      <t>TIVAT</t>
    </r>
  </si>
  <si>
    <r>
      <rPr>
        <sz val="10"/>
        <rFont val="Arial"/>
      </rPr>
      <t>TOCUMEN</t>
    </r>
  </si>
  <si>
    <r>
      <rPr>
        <sz val="10"/>
        <rFont val="Arial"/>
      </rPr>
      <t>TOKYO</t>
    </r>
  </si>
  <si>
    <r>
      <rPr>
        <sz val="10"/>
        <rFont val="Arial"/>
      </rPr>
      <t>TORBAY</t>
    </r>
  </si>
  <si>
    <r>
      <rPr>
        <sz val="10"/>
        <rFont val="Arial"/>
      </rPr>
      <t>TORONTO</t>
    </r>
  </si>
  <si>
    <r>
      <rPr>
        <sz val="10"/>
        <rFont val="Arial"/>
      </rPr>
      <t>TORP</t>
    </r>
  </si>
  <si>
    <r>
      <rPr>
        <sz val="10"/>
        <rFont val="Arial"/>
      </rPr>
      <t>TORTOLA</t>
    </r>
  </si>
  <si>
    <r>
      <rPr>
        <sz val="10"/>
        <rFont val="Arial"/>
      </rPr>
      <t>TOWNSVILLE</t>
    </r>
  </si>
  <si>
    <r>
      <rPr>
        <sz val="10"/>
        <rFont val="Arial"/>
      </rPr>
      <t>TOYAMA</t>
    </r>
  </si>
  <si>
    <r>
      <rPr>
        <sz val="10"/>
        <rFont val="Arial"/>
      </rPr>
      <t>TRABZON</t>
    </r>
  </si>
  <si>
    <r>
      <rPr>
        <sz val="10"/>
        <rFont val="Arial"/>
      </rPr>
      <t>TRELEW</t>
    </r>
  </si>
  <si>
    <r>
      <rPr>
        <sz val="10"/>
        <rFont val="Arial"/>
      </rPr>
      <t>TRIESTE</t>
    </r>
  </si>
  <si>
    <r>
      <rPr>
        <sz val="10"/>
        <rFont val="Arial"/>
      </rPr>
      <t>TRIPOLI</t>
    </r>
  </si>
  <si>
    <r>
      <rPr>
        <sz val="10"/>
        <rFont val="Arial"/>
      </rPr>
      <t>TRIVANDRUM</t>
    </r>
  </si>
  <si>
    <r>
      <rPr>
        <sz val="10"/>
        <rFont val="Arial"/>
      </rPr>
      <t>TROMSO</t>
    </r>
  </si>
  <si>
    <r>
      <rPr>
        <sz val="10"/>
        <rFont val="Arial"/>
      </rPr>
      <t>TRONDHEIM</t>
    </r>
  </si>
  <si>
    <r>
      <rPr>
        <sz val="10"/>
        <rFont val="Arial"/>
      </rPr>
      <t>TRUJILLO</t>
    </r>
  </si>
  <si>
    <r>
      <rPr>
        <sz val="10"/>
        <rFont val="Arial"/>
      </rPr>
      <t>TULCEA</t>
    </r>
  </si>
  <si>
    <r>
      <rPr>
        <sz val="10"/>
        <rFont val="Arial"/>
      </rPr>
      <t>TULEAR</t>
    </r>
  </si>
  <si>
    <r>
      <rPr>
        <sz val="10"/>
        <rFont val="Arial"/>
      </rPr>
      <t>TUMBES</t>
    </r>
  </si>
  <si>
    <r>
      <rPr>
        <sz val="10"/>
        <rFont val="Arial"/>
      </rPr>
      <t>TUNIS</t>
    </r>
  </si>
  <si>
    <r>
      <rPr>
        <sz val="10"/>
        <rFont val="Arial"/>
      </rPr>
      <t>TURKU</t>
    </r>
  </si>
  <si>
    <r>
      <rPr>
        <sz val="10"/>
        <rFont val="Arial"/>
      </rPr>
      <t>UJUNG PANDANG</t>
    </r>
  </si>
  <si>
    <r>
      <rPr>
        <sz val="10"/>
        <rFont val="Arial"/>
      </rPr>
      <t>ULSAN</t>
    </r>
  </si>
  <si>
    <r>
      <rPr>
        <sz val="10"/>
        <rFont val="Arial"/>
      </rPr>
      <t>UNKNOWN/NO AIRPORT</t>
    </r>
  </si>
  <si>
    <r>
      <rPr>
        <sz val="10"/>
        <rFont val="Arial"/>
      </rPr>
      <t>USHUAIA</t>
    </r>
  </si>
  <si>
    <r>
      <rPr>
        <sz val="10"/>
        <rFont val="Arial"/>
      </rPr>
      <t>VAASA</t>
    </r>
  </si>
  <si>
    <r>
      <rPr>
        <sz val="10"/>
        <rFont val="Arial"/>
      </rPr>
      <t>VALENCIA</t>
    </r>
  </si>
  <si>
    <r>
      <rPr>
        <sz val="10"/>
        <rFont val="Arial"/>
      </rPr>
      <t>VALENCIA- VENEZUELA</t>
    </r>
  </si>
  <si>
    <r>
      <rPr>
        <sz val="10"/>
        <rFont val="Arial"/>
      </rPr>
      <t>VALLENAR</t>
    </r>
  </si>
  <si>
    <r>
      <rPr>
        <sz val="10"/>
        <rFont val="Arial"/>
      </rPr>
      <t>VANCOUVER</t>
    </r>
  </si>
  <si>
    <r>
      <rPr>
        <sz val="10"/>
        <rFont val="Arial"/>
      </rPr>
      <t>VARANASI</t>
    </r>
  </si>
  <si>
    <r>
      <rPr>
        <sz val="10"/>
        <rFont val="Arial"/>
      </rPr>
      <t>VARNA</t>
    </r>
  </si>
  <si>
    <r>
      <rPr>
        <sz val="10"/>
        <rFont val="Arial"/>
      </rPr>
      <t>VENICE</t>
    </r>
  </si>
  <si>
    <r>
      <rPr>
        <sz val="10"/>
        <rFont val="Arial"/>
      </rPr>
      <t>VERA CRUZ</t>
    </r>
  </si>
  <si>
    <r>
      <rPr>
        <sz val="10"/>
        <rFont val="Arial"/>
      </rPr>
      <t>VICTORIA</t>
    </r>
  </si>
  <si>
    <r>
      <rPr>
        <sz val="10"/>
        <rFont val="Arial"/>
      </rPr>
      <t>VIENNA</t>
    </r>
  </si>
  <si>
    <r>
      <rPr>
        <sz val="10"/>
        <rFont val="Arial"/>
      </rPr>
      <t>VIGO</t>
    </r>
  </si>
  <si>
    <r>
      <rPr>
        <sz val="10"/>
        <rFont val="Arial"/>
      </rPr>
      <t>VILNIUS</t>
    </r>
  </si>
  <si>
    <r>
      <rPr>
        <sz val="10"/>
        <rFont val="Arial"/>
      </rPr>
      <t>VISHAKHAPATNAM</t>
    </r>
  </si>
  <si>
    <r>
      <rPr>
        <sz val="10"/>
        <rFont val="Arial"/>
      </rPr>
      <t>VITORIA</t>
    </r>
  </si>
  <si>
    <r>
      <rPr>
        <sz val="10"/>
        <rFont val="Arial"/>
      </rPr>
      <t>VITTORIA</t>
    </r>
  </si>
  <si>
    <r>
      <rPr>
        <sz val="10"/>
        <rFont val="Arial"/>
      </rPr>
      <t>VLADIVOSTOCK</t>
    </r>
  </si>
  <si>
    <r>
      <rPr>
        <sz val="10"/>
        <rFont val="Arial"/>
      </rPr>
      <t>VORONEZH</t>
    </r>
  </si>
  <si>
    <r>
      <rPr>
        <sz val="10"/>
        <rFont val="Arial"/>
      </rPr>
      <t>WALVIS BAY</t>
    </r>
  </si>
  <si>
    <r>
      <rPr>
        <sz val="10"/>
        <rFont val="Arial"/>
      </rPr>
      <t>WARRI</t>
    </r>
  </si>
  <si>
    <r>
      <rPr>
        <sz val="10"/>
        <rFont val="Arial"/>
      </rPr>
      <t>WARSAW</t>
    </r>
  </si>
  <si>
    <r>
      <rPr>
        <sz val="10"/>
        <rFont val="Arial"/>
      </rPr>
      <t>WASHINGTON DC</t>
    </r>
  </si>
  <si>
    <r>
      <rPr>
        <sz val="10"/>
        <rFont val="Arial"/>
      </rPr>
      <t>WELLINGTON</t>
    </r>
  </si>
  <si>
    <r>
      <rPr>
        <sz val="10"/>
        <rFont val="Arial"/>
      </rPr>
      <t>WENZHOU</t>
    </r>
  </si>
  <si>
    <r>
      <rPr>
        <sz val="10"/>
        <rFont val="Arial"/>
      </rPr>
      <t>WEST PALM BEACH</t>
    </r>
  </si>
  <si>
    <r>
      <rPr>
        <sz val="10"/>
        <rFont val="Arial"/>
      </rPr>
      <t>WEWAK</t>
    </r>
  </si>
  <si>
    <r>
      <rPr>
        <sz val="10"/>
        <rFont val="Arial"/>
      </rPr>
      <t>WHANGAREI</t>
    </r>
  </si>
  <si>
    <r>
      <rPr>
        <sz val="10"/>
        <rFont val="Arial"/>
      </rPr>
      <t>WHYALLA</t>
    </r>
  </si>
  <si>
    <r>
      <rPr>
        <sz val="10"/>
        <rFont val="Arial"/>
      </rPr>
      <t>WICK</t>
    </r>
  </si>
  <si>
    <r>
      <rPr>
        <sz val="10"/>
        <rFont val="Arial"/>
      </rPr>
      <t>WILMINGTON NC</t>
    </r>
  </si>
  <si>
    <r>
      <rPr>
        <sz val="10"/>
        <rFont val="Arial"/>
      </rPr>
      <t>WINDHOEK</t>
    </r>
  </si>
  <si>
    <r>
      <rPr>
        <sz val="10"/>
        <rFont val="Arial"/>
      </rPr>
      <t>WINDSOR  ONT.</t>
    </r>
  </si>
  <si>
    <r>
      <rPr>
        <sz val="10"/>
        <rFont val="Arial"/>
      </rPr>
      <t>WROCLAW</t>
    </r>
  </si>
  <si>
    <r>
      <rPr>
        <sz val="10"/>
        <rFont val="Arial"/>
      </rPr>
      <t>WYNYARD</t>
    </r>
  </si>
  <si>
    <r>
      <rPr>
        <sz val="10"/>
        <rFont val="Arial"/>
      </rPr>
      <t>XIAMEN</t>
    </r>
  </si>
  <si>
    <r>
      <rPr>
        <sz val="10"/>
        <rFont val="Arial"/>
      </rPr>
      <t>YAMAGATA</t>
    </r>
  </si>
  <si>
    <r>
      <rPr>
        <sz val="10"/>
        <rFont val="Arial"/>
      </rPr>
      <t>YANBU</t>
    </r>
  </si>
  <si>
    <r>
      <rPr>
        <sz val="10"/>
        <rFont val="Arial"/>
      </rPr>
      <t>YANGON</t>
    </r>
  </si>
  <si>
    <r>
      <rPr>
        <sz val="10"/>
        <rFont val="Arial"/>
      </rPr>
      <t>YANTAI</t>
    </r>
  </si>
  <si>
    <r>
      <rPr>
        <sz val="10"/>
        <rFont val="Arial"/>
      </rPr>
      <t>YAP ISLAND</t>
    </r>
  </si>
  <si>
    <r>
      <rPr>
        <sz val="10"/>
        <rFont val="Arial"/>
      </rPr>
      <t>YOSU</t>
    </r>
  </si>
  <si>
    <r>
      <rPr>
        <sz val="10"/>
        <rFont val="Arial"/>
      </rPr>
      <t>ZADAR</t>
    </r>
  </si>
  <si>
    <r>
      <rPr>
        <sz val="10"/>
        <rFont val="Arial"/>
      </rPr>
      <t>ZAGREB</t>
    </r>
  </si>
  <si>
    <r>
      <rPr>
        <sz val="10"/>
        <rFont val="Arial"/>
      </rPr>
      <t>ZAMBOANGA</t>
    </r>
  </si>
  <si>
    <r>
      <rPr>
        <sz val="10"/>
        <rFont val="Arial"/>
      </rPr>
      <t>ZANZIBAR</t>
    </r>
  </si>
  <si>
    <r>
      <rPr>
        <sz val="10"/>
        <rFont val="Arial"/>
      </rPr>
      <t>ZHUHAI</t>
    </r>
  </si>
  <si>
    <r>
      <rPr>
        <sz val="10"/>
        <rFont val="Arial"/>
      </rPr>
      <t>ZURICH</t>
    </r>
  </si>
  <si>
    <r>
      <rPr>
        <sz val="10"/>
        <rFont val="Arial"/>
      </rPr>
      <t>$AH$2:$AH$195</t>
    </r>
  </si>
  <si>
    <r>
      <rPr>
        <sz val="10"/>
        <rFont val="Arial"/>
      </rPr>
      <t>ALBANIAN</t>
    </r>
  </si>
  <si>
    <r>
      <rPr>
        <sz val="10"/>
        <rFont val="Arial"/>
      </rPr>
      <t>ALGERIA</t>
    </r>
  </si>
  <si>
    <r>
      <rPr>
        <sz val="10"/>
        <rFont val="Arial"/>
      </rPr>
      <t>AMERICAN SAMOA</t>
    </r>
  </si>
  <si>
    <r>
      <rPr>
        <sz val="10"/>
        <rFont val="Arial"/>
      </rPr>
      <t>ANDORRA</t>
    </r>
  </si>
  <si>
    <r>
      <rPr>
        <sz val="10"/>
        <rFont val="Arial"/>
      </rPr>
      <t>ANGOLA</t>
    </r>
  </si>
  <si>
    <r>
      <rPr>
        <sz val="10"/>
        <rFont val="Arial"/>
      </rPr>
      <t>ANTIGUA / BARBUDA</t>
    </r>
  </si>
  <si>
    <r>
      <rPr>
        <sz val="10"/>
        <rFont val="Arial"/>
      </rPr>
      <t>ARGENTINIAN</t>
    </r>
  </si>
  <si>
    <r>
      <rPr>
        <sz val="10"/>
        <rFont val="Arial"/>
      </rPr>
      <t>ARMENIAN</t>
    </r>
  </si>
  <si>
    <r>
      <rPr>
        <sz val="10"/>
        <rFont val="Arial"/>
      </rPr>
      <t>ASCENSION</t>
    </r>
  </si>
  <si>
    <r>
      <rPr>
        <sz val="10"/>
        <rFont val="Arial"/>
      </rPr>
      <t>AUSTRALIAN</t>
    </r>
  </si>
  <si>
    <r>
      <rPr>
        <sz val="10"/>
        <rFont val="Arial"/>
      </rPr>
      <t>AUSTRIAN</t>
    </r>
  </si>
  <si>
    <r>
      <rPr>
        <sz val="10"/>
        <rFont val="Arial"/>
      </rPr>
      <t>AZERBAIJAN</t>
    </r>
  </si>
  <si>
    <r>
      <rPr>
        <sz val="10"/>
        <rFont val="Arial"/>
      </rPr>
      <t>AZORES</t>
    </r>
  </si>
  <si>
    <r>
      <rPr>
        <sz val="10"/>
        <rFont val="Arial"/>
      </rPr>
      <t>BAHAMIAN</t>
    </r>
  </si>
  <si>
    <r>
      <rPr>
        <sz val="10"/>
        <rFont val="Arial"/>
      </rPr>
      <t>BANGLADESH</t>
    </r>
  </si>
  <si>
    <r>
      <rPr>
        <sz val="10"/>
        <rFont val="Arial"/>
      </rPr>
      <t>BELGIAN</t>
    </r>
  </si>
  <si>
    <r>
      <rPr>
        <sz val="10"/>
        <rFont val="Arial"/>
      </rPr>
      <t>BELORUSSIAN</t>
    </r>
  </si>
  <si>
    <r>
      <rPr>
        <sz val="10"/>
        <rFont val="Arial"/>
      </rPr>
      <t>BENIN</t>
    </r>
  </si>
  <si>
    <r>
      <rPr>
        <sz val="10"/>
        <rFont val="Arial"/>
      </rPr>
      <t>BERMUDIAN</t>
    </r>
  </si>
  <si>
    <r>
      <rPr>
        <sz val="10"/>
        <rFont val="Arial"/>
      </rPr>
      <t>BRAZILIAN</t>
    </r>
  </si>
  <si>
    <r>
      <rPr>
        <sz val="10"/>
        <rFont val="Arial"/>
      </rPr>
      <t>BRITISH</t>
    </r>
  </si>
  <si>
    <r>
      <rPr>
        <sz val="10"/>
        <rFont val="Arial"/>
      </rPr>
      <t>BRUNEI</t>
    </r>
  </si>
  <si>
    <r>
      <rPr>
        <sz val="10"/>
        <rFont val="Arial"/>
      </rPr>
      <t>BULGARIAN</t>
    </r>
  </si>
  <si>
    <r>
      <rPr>
        <sz val="10"/>
        <rFont val="Arial"/>
      </rPr>
      <t>CAMBODIAN</t>
    </r>
  </si>
  <si>
    <r>
      <rPr>
        <sz val="10"/>
        <rFont val="Arial"/>
      </rPr>
      <t>CAMEROON</t>
    </r>
  </si>
  <si>
    <r>
      <rPr>
        <sz val="10"/>
        <rFont val="Arial"/>
      </rPr>
      <t>CANADIAN</t>
    </r>
  </si>
  <si>
    <r>
      <rPr>
        <sz val="10"/>
        <rFont val="Arial"/>
      </rPr>
      <t>CAYMAN ISLANDS</t>
    </r>
  </si>
  <si>
    <r>
      <rPr>
        <sz val="10"/>
        <rFont val="Arial"/>
      </rPr>
      <t>CHILEAN</t>
    </r>
  </si>
  <si>
    <r>
      <rPr>
        <sz val="10"/>
        <rFont val="Arial"/>
      </rPr>
      <t>CHINESE</t>
    </r>
  </si>
  <si>
    <r>
      <rPr>
        <sz val="10"/>
        <rFont val="Arial"/>
      </rPr>
      <t>COLOMBIAN</t>
    </r>
  </si>
  <si>
    <r>
      <rPr>
        <sz val="10"/>
        <rFont val="Arial"/>
      </rPr>
      <t>COMORES</t>
    </r>
  </si>
  <si>
    <r>
      <rPr>
        <sz val="10"/>
        <rFont val="Arial"/>
      </rPr>
      <t>CONGO</t>
    </r>
  </si>
  <si>
    <r>
      <rPr>
        <sz val="10"/>
        <rFont val="Arial"/>
      </rPr>
      <t>COOK ISLANDS</t>
    </r>
  </si>
  <si>
    <r>
      <rPr>
        <sz val="10"/>
        <rFont val="Arial"/>
      </rPr>
      <t>COSTA RICAN</t>
    </r>
  </si>
  <si>
    <r>
      <rPr>
        <sz val="10"/>
        <rFont val="Arial"/>
      </rPr>
      <t>CROATIAN</t>
    </r>
  </si>
  <si>
    <r>
      <rPr>
        <sz val="10"/>
        <rFont val="Arial"/>
      </rPr>
      <t>CUBAN</t>
    </r>
  </si>
  <si>
    <r>
      <rPr>
        <sz val="10"/>
        <rFont val="Arial"/>
      </rPr>
      <t>CYPRIOT</t>
    </r>
  </si>
  <si>
    <r>
      <rPr>
        <sz val="10"/>
        <rFont val="Arial"/>
      </rPr>
      <t>CZECH</t>
    </r>
  </si>
  <si>
    <r>
      <rPr>
        <sz val="10"/>
        <rFont val="Arial"/>
      </rPr>
      <t>DANISH</t>
    </r>
  </si>
  <si>
    <r>
      <rPr>
        <sz val="10"/>
        <rFont val="Arial"/>
      </rPr>
      <t>DJOUBOUTI</t>
    </r>
  </si>
  <si>
    <r>
      <rPr>
        <sz val="10"/>
        <rFont val="Arial"/>
      </rPr>
      <t>DOMINICAN</t>
    </r>
  </si>
  <si>
    <r>
      <rPr>
        <sz val="10"/>
        <rFont val="Arial"/>
      </rPr>
      <t>ECUADORIAN</t>
    </r>
  </si>
  <si>
    <r>
      <rPr>
        <sz val="10"/>
        <rFont val="Arial"/>
      </rPr>
      <t>EGYPTIAN</t>
    </r>
  </si>
  <si>
    <r>
      <rPr>
        <sz val="10"/>
        <rFont val="Arial"/>
      </rPr>
      <t>EQUATORIAL GUINEAN</t>
    </r>
  </si>
  <si>
    <r>
      <rPr>
        <sz val="10"/>
        <rFont val="Arial"/>
      </rPr>
      <t>ESTONIAN</t>
    </r>
  </si>
  <si>
    <r>
      <rPr>
        <sz val="10"/>
        <rFont val="Arial"/>
      </rPr>
      <t>ETHIOPIAN</t>
    </r>
  </si>
  <si>
    <r>
      <rPr>
        <sz val="10"/>
        <rFont val="Arial"/>
      </rPr>
      <t>FAEROES ISLANDS</t>
    </r>
  </si>
  <si>
    <r>
      <rPr>
        <sz val="10"/>
        <rFont val="Arial"/>
      </rPr>
      <t>FALKLAND ISLANDS</t>
    </r>
  </si>
  <si>
    <r>
      <rPr>
        <sz val="10"/>
        <rFont val="Arial"/>
      </rPr>
      <t>FIJI</t>
    </r>
  </si>
  <si>
    <r>
      <rPr>
        <sz val="10"/>
        <rFont val="Arial"/>
      </rPr>
      <t>FILIPINO</t>
    </r>
  </si>
  <si>
    <r>
      <rPr>
        <sz val="10"/>
        <rFont val="Arial"/>
      </rPr>
      <t>FINNISH</t>
    </r>
  </si>
  <si>
    <r>
      <rPr>
        <sz val="10"/>
        <rFont val="Arial"/>
      </rPr>
      <t>FRENCH</t>
    </r>
  </si>
  <si>
    <r>
      <rPr>
        <sz val="10"/>
        <rFont val="Arial"/>
      </rPr>
      <t>FRENCH POLYNESIAN</t>
    </r>
  </si>
  <si>
    <r>
      <rPr>
        <sz val="10"/>
        <rFont val="Arial"/>
      </rPr>
      <t>GABON</t>
    </r>
  </si>
  <si>
    <r>
      <rPr>
        <sz val="10"/>
        <rFont val="Arial"/>
      </rPr>
      <t>GAMBIAN</t>
    </r>
  </si>
  <si>
    <r>
      <rPr>
        <sz val="10"/>
        <rFont val="Arial"/>
      </rPr>
      <t>GEORGIAN</t>
    </r>
  </si>
  <si>
    <r>
      <rPr>
        <sz val="10"/>
        <rFont val="Arial"/>
      </rPr>
      <t>GERMAN</t>
    </r>
  </si>
  <si>
    <r>
      <rPr>
        <sz val="10"/>
        <rFont val="Arial"/>
      </rPr>
      <t>GERMAN ISR</t>
    </r>
  </si>
  <si>
    <r>
      <rPr>
        <sz val="10"/>
        <rFont val="Arial"/>
      </rPr>
      <t>GHANEAN</t>
    </r>
  </si>
  <si>
    <r>
      <rPr>
        <sz val="10"/>
        <rFont val="Arial"/>
      </rPr>
      <t>GREEK</t>
    </r>
  </si>
  <si>
    <r>
      <rPr>
        <sz val="10"/>
        <rFont val="Arial"/>
      </rPr>
      <t>GREENLAND</t>
    </r>
  </si>
  <si>
    <r>
      <rPr>
        <sz val="10"/>
        <rFont val="Arial"/>
      </rPr>
      <t>GRENADAN</t>
    </r>
  </si>
  <si>
    <r>
      <rPr>
        <sz val="10"/>
        <rFont val="Arial"/>
      </rPr>
      <t>GUADELOUPE</t>
    </r>
  </si>
  <si>
    <r>
      <rPr>
        <sz val="10"/>
        <rFont val="Arial"/>
      </rPr>
      <t>GUATEMALAN</t>
    </r>
  </si>
  <si>
    <r>
      <rPr>
        <sz val="10"/>
        <rFont val="Arial"/>
      </rPr>
      <t>GUINEA BISSAU</t>
    </r>
  </si>
  <si>
    <r>
      <rPr>
        <sz val="10"/>
        <rFont val="Arial"/>
      </rPr>
      <t>GUINEAN</t>
    </r>
  </si>
  <si>
    <r>
      <rPr>
        <sz val="10"/>
        <rFont val="Arial"/>
      </rPr>
      <t>GUYANAN</t>
    </r>
  </si>
  <si>
    <r>
      <rPr>
        <sz val="10"/>
        <rFont val="Arial"/>
      </rPr>
      <t>GUYANEAN</t>
    </r>
  </si>
  <si>
    <r>
      <rPr>
        <sz val="10"/>
        <rFont val="Arial"/>
      </rPr>
      <t>HAITI</t>
    </r>
  </si>
  <si>
    <r>
      <rPr>
        <sz val="10"/>
        <rFont val="Arial"/>
      </rPr>
      <t>HOLLAND</t>
    </r>
  </si>
  <si>
    <r>
      <rPr>
        <sz val="10"/>
        <rFont val="Arial"/>
      </rPr>
      <t>HONDURAS</t>
    </r>
  </si>
  <si>
    <r>
      <rPr>
        <sz val="10"/>
        <rFont val="Arial"/>
      </rPr>
      <t>HONG KONG</t>
    </r>
  </si>
  <si>
    <r>
      <rPr>
        <sz val="10"/>
        <rFont val="Arial"/>
      </rPr>
      <t>HUNGARIAN</t>
    </r>
  </si>
  <si>
    <r>
      <rPr>
        <sz val="10"/>
        <rFont val="Arial"/>
      </rPr>
      <t>ICELANDIC</t>
    </r>
  </si>
  <si>
    <r>
      <rPr>
        <sz val="10"/>
        <rFont val="Arial"/>
      </rPr>
      <t>INDIAN</t>
    </r>
  </si>
  <si>
    <r>
      <rPr>
        <sz val="10"/>
        <rFont val="Arial"/>
      </rPr>
      <t>INDONESIAN</t>
    </r>
  </si>
  <si>
    <r>
      <rPr>
        <sz val="10"/>
        <rFont val="Arial"/>
      </rPr>
      <t>IRANIAN</t>
    </r>
  </si>
  <si>
    <r>
      <rPr>
        <sz val="10"/>
        <rFont val="Arial"/>
      </rPr>
      <t>IRISH</t>
    </r>
  </si>
  <si>
    <r>
      <rPr>
        <sz val="10"/>
        <rFont val="Arial"/>
      </rPr>
      <t>ISRAELI</t>
    </r>
  </si>
  <si>
    <r>
      <rPr>
        <sz val="10"/>
        <rFont val="Arial"/>
      </rPr>
      <t>ITALIAN</t>
    </r>
  </si>
  <si>
    <r>
      <rPr>
        <sz val="10"/>
        <rFont val="Arial"/>
      </rPr>
      <t>IVORY COAST</t>
    </r>
  </si>
  <si>
    <r>
      <rPr>
        <sz val="10"/>
        <rFont val="Arial"/>
      </rPr>
      <t>JAMAICAN</t>
    </r>
  </si>
  <si>
    <r>
      <rPr>
        <sz val="10"/>
        <rFont val="Arial"/>
      </rPr>
      <t>JAPANESE</t>
    </r>
  </si>
  <si>
    <r>
      <rPr>
        <sz val="10"/>
        <rFont val="Arial"/>
      </rPr>
      <t>JORDANIAN</t>
    </r>
  </si>
  <si>
    <r>
      <rPr>
        <sz val="10"/>
        <rFont val="Arial"/>
      </rPr>
      <t>KERGUELEN</t>
    </r>
  </si>
  <si>
    <r>
      <rPr>
        <sz val="10"/>
        <rFont val="Arial"/>
      </rPr>
      <t>KIRIBATI</t>
    </r>
  </si>
  <si>
    <r>
      <rPr>
        <sz val="10"/>
        <rFont val="Arial"/>
      </rPr>
      <t>LATVIAN</t>
    </r>
  </si>
  <si>
    <r>
      <rPr>
        <sz val="10"/>
        <rFont val="Arial"/>
      </rPr>
      <t>LATVIA-RIETUMU</t>
    </r>
  </si>
  <si>
    <r>
      <rPr>
        <sz val="10"/>
        <rFont val="Arial"/>
      </rPr>
      <t>LEBANESE</t>
    </r>
  </si>
  <si>
    <r>
      <rPr>
        <sz val="10"/>
        <rFont val="Arial"/>
      </rPr>
      <t>LIBERIAN</t>
    </r>
  </si>
  <si>
    <r>
      <rPr>
        <sz val="10"/>
        <rFont val="Arial"/>
      </rPr>
      <t>LIBYAN</t>
    </r>
  </si>
  <si>
    <r>
      <rPr>
        <sz val="10"/>
        <rFont val="Arial"/>
      </rPr>
      <t>LITHUANIAN</t>
    </r>
  </si>
  <si>
    <r>
      <rPr>
        <sz val="10"/>
        <rFont val="Arial"/>
      </rPr>
      <t>MADAGASCAR</t>
    </r>
  </si>
  <si>
    <r>
      <rPr>
        <sz val="10"/>
        <rFont val="Arial"/>
      </rPr>
      <t>MADEIRA</t>
    </r>
  </si>
  <si>
    <r>
      <rPr>
        <sz val="10"/>
        <rFont val="Arial"/>
      </rPr>
      <t>MALAGASY</t>
    </r>
  </si>
  <si>
    <r>
      <rPr>
        <sz val="10"/>
        <rFont val="Arial"/>
      </rPr>
      <t>MALAYSIAN</t>
    </r>
  </si>
  <si>
    <r>
      <rPr>
        <sz val="10"/>
        <rFont val="Arial"/>
      </rPr>
      <t>MALDIVES</t>
    </r>
  </si>
  <si>
    <r>
      <rPr>
        <sz val="10"/>
        <rFont val="Arial"/>
      </rPr>
      <t>MALTESE</t>
    </r>
  </si>
  <si>
    <r>
      <rPr>
        <sz val="10"/>
        <rFont val="Arial"/>
      </rPr>
      <t>MARSHALL ISLANDS</t>
    </r>
  </si>
  <si>
    <r>
      <rPr>
        <sz val="10"/>
        <rFont val="Arial"/>
      </rPr>
      <t>MARTINIQUE</t>
    </r>
  </si>
  <si>
    <r>
      <rPr>
        <sz val="10"/>
        <rFont val="Arial"/>
      </rPr>
      <t>MAURITANIAN</t>
    </r>
  </si>
  <si>
    <r>
      <rPr>
        <sz val="10"/>
        <rFont val="Arial"/>
      </rPr>
      <t>MEXICAN</t>
    </r>
  </si>
  <si>
    <r>
      <rPr>
        <sz val="10"/>
        <rFont val="Arial"/>
      </rPr>
      <t>MICRONESIAN</t>
    </r>
  </si>
  <si>
    <r>
      <rPr>
        <sz val="10"/>
        <rFont val="Arial"/>
      </rPr>
      <t>MOLDOVIAN</t>
    </r>
  </si>
  <si>
    <r>
      <rPr>
        <sz val="10"/>
        <rFont val="Arial"/>
      </rPr>
      <t>MONACO</t>
    </r>
  </si>
  <si>
    <r>
      <rPr>
        <sz val="10"/>
        <rFont val="Arial"/>
      </rPr>
      <t>MOZAMBIQUE</t>
    </r>
  </si>
  <si>
    <r>
      <rPr>
        <sz val="10"/>
        <rFont val="Arial"/>
      </rPr>
      <t>MYANMAR</t>
    </r>
  </si>
  <si>
    <r>
      <rPr>
        <sz val="10"/>
        <rFont val="Arial"/>
      </rPr>
      <t>NAMIBIAN</t>
    </r>
  </si>
  <si>
    <r>
      <rPr>
        <sz val="10"/>
        <rFont val="Arial"/>
      </rPr>
      <t>NETHERLANDS</t>
    </r>
  </si>
  <si>
    <r>
      <rPr>
        <sz val="10"/>
        <rFont val="Arial"/>
      </rPr>
      <t>NETHERLANDS ANTILLES</t>
    </r>
  </si>
  <si>
    <r>
      <rPr>
        <sz val="10"/>
        <rFont val="Arial"/>
      </rPr>
      <t>NEW CALEDONIAN</t>
    </r>
  </si>
  <si>
    <r>
      <rPr>
        <sz val="10"/>
        <rFont val="Arial"/>
      </rPr>
      <t>NEW ZEALANDER</t>
    </r>
  </si>
  <si>
    <r>
      <rPr>
        <sz val="10"/>
        <rFont val="Arial"/>
      </rPr>
      <t>NICARAGUAN</t>
    </r>
  </si>
  <si>
    <r>
      <rPr>
        <sz val="10"/>
        <rFont val="Arial"/>
      </rPr>
      <t>NIGERIAN</t>
    </r>
  </si>
  <si>
    <r>
      <rPr>
        <sz val="10"/>
        <rFont val="Arial"/>
      </rPr>
      <t>NONE</t>
    </r>
  </si>
  <si>
    <r>
      <rPr>
        <sz val="10"/>
        <rFont val="Arial"/>
      </rPr>
      <t>NORTH KOREAN</t>
    </r>
  </si>
  <si>
    <r>
      <rPr>
        <sz val="10"/>
        <rFont val="Arial"/>
      </rPr>
      <t>NORWEGIAN</t>
    </r>
  </si>
  <si>
    <r>
      <rPr>
        <sz val="10"/>
        <rFont val="Arial"/>
      </rPr>
      <t>NORWEGIAN ISR</t>
    </r>
  </si>
  <si>
    <r>
      <rPr>
        <sz val="10"/>
        <rFont val="Arial"/>
      </rPr>
      <t>PAKISTANI</t>
    </r>
  </si>
  <si>
    <r>
      <rPr>
        <sz val="10"/>
        <rFont val="Arial"/>
      </rPr>
      <t>PALAU</t>
    </r>
  </si>
  <si>
    <r>
      <rPr>
        <sz val="10"/>
        <rFont val="Arial"/>
      </rPr>
      <t>PANAMANIAN</t>
    </r>
  </si>
  <si>
    <r>
      <rPr>
        <sz val="10"/>
        <rFont val="Arial"/>
      </rPr>
      <t>PAPUA NEW GUINEAN</t>
    </r>
  </si>
  <si>
    <r>
      <rPr>
        <sz val="10"/>
        <rFont val="Arial"/>
      </rPr>
      <t>PARAGUAYAN</t>
    </r>
  </si>
  <si>
    <r>
      <rPr>
        <sz val="10"/>
        <rFont val="Arial"/>
      </rPr>
      <t>PERUVIAN</t>
    </r>
  </si>
  <si>
    <r>
      <rPr>
        <sz val="10"/>
        <rFont val="Arial"/>
      </rPr>
      <t>POLISH</t>
    </r>
  </si>
  <si>
    <r>
      <rPr>
        <sz val="10"/>
        <rFont val="Arial"/>
      </rPr>
      <t>PORTUGESE</t>
    </r>
  </si>
  <si>
    <r>
      <rPr>
        <sz val="10"/>
        <rFont val="Arial"/>
      </rPr>
      <t>PUERTO RICAN</t>
    </r>
  </si>
  <si>
    <r>
      <rPr>
        <sz val="10"/>
        <rFont val="Arial"/>
      </rPr>
      <t>REPUBLIC OF MOLDOVA</t>
    </r>
  </si>
  <si>
    <r>
      <rPr>
        <sz val="10"/>
        <rFont val="Arial"/>
      </rPr>
      <t>REUNION</t>
    </r>
  </si>
  <si>
    <r>
      <rPr>
        <sz val="10"/>
        <rFont val="Arial"/>
      </rPr>
      <t>ROMANIAN</t>
    </r>
  </si>
  <si>
    <r>
      <rPr>
        <sz val="10"/>
        <rFont val="Arial"/>
      </rPr>
      <t>RUSSIAN</t>
    </r>
  </si>
  <si>
    <r>
      <rPr>
        <sz val="10"/>
        <rFont val="Arial"/>
      </rPr>
      <t>SALVADORIAN</t>
    </r>
  </si>
  <si>
    <r>
      <rPr>
        <sz val="10"/>
        <rFont val="Arial"/>
      </rPr>
      <t>SAMOAN</t>
    </r>
  </si>
  <si>
    <r>
      <rPr>
        <sz val="10"/>
        <rFont val="Arial"/>
      </rPr>
      <t>SAN PIERRE &amp; MIQUELON</t>
    </r>
  </si>
  <si>
    <r>
      <rPr>
        <sz val="10"/>
        <rFont val="Arial"/>
      </rPr>
      <t>SAN TOME &amp; PRINCIPE</t>
    </r>
  </si>
  <si>
    <r>
      <rPr>
        <sz val="10"/>
        <rFont val="Arial"/>
      </rPr>
      <t>SAUDI ARABIAN</t>
    </r>
  </si>
  <si>
    <r>
      <rPr>
        <sz val="10"/>
        <rFont val="Arial"/>
      </rPr>
      <t>SENEGALESE</t>
    </r>
  </si>
  <si>
    <r>
      <rPr>
        <sz val="10"/>
        <rFont val="Arial"/>
      </rPr>
      <t>SEYCHELLES</t>
    </r>
  </si>
  <si>
    <r>
      <rPr>
        <sz val="10"/>
        <rFont val="Arial"/>
      </rPr>
      <t>SIERRA LEONE</t>
    </r>
  </si>
  <si>
    <r>
      <rPr>
        <sz val="10"/>
        <rFont val="Arial"/>
      </rPr>
      <t>SINGAPOREAN</t>
    </r>
  </si>
  <si>
    <r>
      <rPr>
        <sz val="10"/>
        <rFont val="Arial"/>
      </rPr>
      <t>SLOVAKIAN</t>
    </r>
  </si>
  <si>
    <r>
      <rPr>
        <sz val="10"/>
        <rFont val="Arial"/>
      </rPr>
      <t>SLOVENIAN</t>
    </r>
  </si>
  <si>
    <r>
      <rPr>
        <sz val="10"/>
        <rFont val="Arial"/>
      </rPr>
      <t>SOLOMON ISLANDS</t>
    </r>
  </si>
  <si>
    <r>
      <rPr>
        <sz val="10"/>
        <rFont val="Arial"/>
      </rPr>
      <t>SOMALIAN</t>
    </r>
  </si>
  <si>
    <r>
      <rPr>
        <sz val="10"/>
        <rFont val="Arial"/>
      </rPr>
      <t>SOUTH AFRICAN</t>
    </r>
  </si>
  <si>
    <r>
      <rPr>
        <sz val="10"/>
        <rFont val="Arial"/>
      </rPr>
      <t>SOUTH KOREAN</t>
    </r>
  </si>
  <si>
    <r>
      <rPr>
        <sz val="10"/>
        <rFont val="Arial"/>
      </rPr>
      <t>SPAIN CANARY ISLANDS</t>
    </r>
  </si>
  <si>
    <r>
      <rPr>
        <sz val="10"/>
        <rFont val="Arial"/>
      </rPr>
      <t>SPANISH</t>
    </r>
  </si>
  <si>
    <r>
      <rPr>
        <sz val="10"/>
        <rFont val="Arial"/>
      </rPr>
      <t>SRI LANKAN</t>
    </r>
  </si>
  <si>
    <r>
      <rPr>
        <sz val="10"/>
        <rFont val="Arial"/>
      </rPr>
      <t>ST. HELENA</t>
    </r>
  </si>
  <si>
    <r>
      <rPr>
        <sz val="10"/>
        <rFont val="Arial"/>
      </rPr>
      <t>ST. VINCENT &amp; GRENADINES</t>
    </r>
  </si>
  <si>
    <r>
      <rPr>
        <sz val="10"/>
        <rFont val="Arial"/>
      </rPr>
      <t>SUDANESE</t>
    </r>
  </si>
  <si>
    <r>
      <rPr>
        <sz val="10"/>
        <rFont val="Arial"/>
      </rPr>
      <t>SURINAME</t>
    </r>
  </si>
  <si>
    <r>
      <rPr>
        <sz val="10"/>
        <rFont val="Arial"/>
      </rPr>
      <t>SWEDISH</t>
    </r>
  </si>
  <si>
    <r>
      <rPr>
        <sz val="10"/>
        <rFont val="Arial"/>
      </rPr>
      <t>SWISS</t>
    </r>
  </si>
  <si>
    <r>
      <rPr>
        <sz val="10"/>
        <rFont val="Arial"/>
      </rPr>
      <t>SYRIAN</t>
    </r>
  </si>
  <si>
    <r>
      <rPr>
        <sz val="10"/>
        <rFont val="Arial"/>
      </rPr>
      <t>TAIWANESE</t>
    </r>
  </si>
  <si>
    <r>
      <rPr>
        <sz val="10"/>
        <rFont val="Arial"/>
      </rPr>
      <t>TANZANIAN</t>
    </r>
  </si>
  <si>
    <r>
      <rPr>
        <sz val="10"/>
        <rFont val="Arial"/>
      </rPr>
      <t>THAI</t>
    </r>
  </si>
  <si>
    <r>
      <rPr>
        <sz val="10"/>
        <rFont val="Arial"/>
      </rPr>
      <t>TOGO</t>
    </r>
  </si>
  <si>
    <r>
      <rPr>
        <sz val="10"/>
        <rFont val="Arial"/>
      </rPr>
      <t>TONGA</t>
    </r>
  </si>
  <si>
    <r>
      <rPr>
        <sz val="10"/>
        <rFont val="Arial"/>
      </rPr>
      <t>TRINIDAD</t>
    </r>
  </si>
  <si>
    <r>
      <rPr>
        <sz val="10"/>
        <rFont val="Arial"/>
      </rPr>
      <t>TUNISIAN</t>
    </r>
  </si>
  <si>
    <r>
      <rPr>
        <sz val="10"/>
        <rFont val="Arial"/>
      </rPr>
      <t>TURKISH</t>
    </r>
  </si>
  <si>
    <r>
      <rPr>
        <sz val="10"/>
        <rFont val="Arial"/>
      </rPr>
      <t>TURKMENISTAN</t>
    </r>
  </si>
  <si>
    <r>
      <rPr>
        <sz val="10"/>
        <rFont val="Arial"/>
      </rPr>
      <t>TURKS &amp; CAICOS</t>
    </r>
  </si>
  <si>
    <r>
      <rPr>
        <sz val="10"/>
        <rFont val="Arial"/>
      </rPr>
      <t>TUVALU</t>
    </r>
  </si>
  <si>
    <r>
      <rPr>
        <sz val="10"/>
        <rFont val="Arial"/>
      </rPr>
      <t>UKRAINIAN</t>
    </r>
  </si>
  <si>
    <r>
      <rPr>
        <sz val="10"/>
        <rFont val="Arial"/>
      </rPr>
      <t>UNITED ARAB EMIRATES</t>
    </r>
  </si>
  <si>
    <r>
      <rPr>
        <sz val="10"/>
        <rFont val="Arial"/>
      </rPr>
      <t>UNITED STATES OF AMERICA</t>
    </r>
  </si>
  <si>
    <r>
      <rPr>
        <sz val="10"/>
        <rFont val="Arial"/>
      </rPr>
      <t>UZBEKISTAN</t>
    </r>
  </si>
  <si>
    <r>
      <rPr>
        <sz val="10"/>
        <rFont val="Arial"/>
      </rPr>
      <t>VANUATU</t>
    </r>
  </si>
  <si>
    <r>
      <rPr>
        <sz val="10"/>
        <rFont val="Arial"/>
      </rPr>
      <t>VENEZUELAN</t>
    </r>
  </si>
  <si>
    <r>
      <rPr>
        <sz val="10"/>
        <rFont val="Arial"/>
      </rPr>
      <t>VIETNAMESE</t>
    </r>
  </si>
  <si>
    <r>
      <rPr>
        <sz val="10"/>
        <rFont val="Arial"/>
      </rPr>
      <t>VIRGIN ISLANDS</t>
    </r>
  </si>
  <si>
    <r>
      <rPr>
        <sz val="10"/>
        <rFont val="Arial"/>
      </rPr>
      <t>WESTERN SAMOA</t>
    </r>
  </si>
  <si>
    <r>
      <rPr>
        <sz val="10"/>
        <rFont val="Arial"/>
      </rPr>
      <t>YUGOSLAVIAN</t>
    </r>
  </si>
  <si>
    <r>
      <rPr>
        <sz val="10"/>
        <rFont val="Arial"/>
      </rPr>
      <t>ZAIRE</t>
    </r>
  </si>
  <si>
    <r>
      <rPr>
        <sz val="10"/>
        <rFont val="Arial"/>
      </rPr>
      <t>ZIMBABIAN</t>
    </r>
  </si>
  <si>
    <r>
      <rPr>
        <sz val="10"/>
        <rFont val="Arial"/>
      </rPr>
      <t>$AI$2:$AI$208</t>
    </r>
  </si>
  <si>
    <r>
      <rPr>
        <sz val="10"/>
        <rFont val="Arial"/>
      </rPr>
      <t>BOLIVIA</t>
    </r>
  </si>
  <si>
    <r>
      <rPr>
        <sz val="10"/>
        <rFont val="Arial"/>
      </rPr>
      <t>CANARY ISLANDS</t>
    </r>
  </si>
  <si>
    <r>
      <rPr>
        <sz val="10"/>
        <rFont val="Arial"/>
      </rPr>
      <t>CAPE VERDE</t>
    </r>
  </si>
  <si>
    <r>
      <rPr>
        <sz val="10"/>
        <rFont val="Arial"/>
      </rPr>
      <t>DUTCH ANT.</t>
    </r>
  </si>
  <si>
    <r>
      <rPr>
        <sz val="10"/>
        <rFont val="Arial"/>
      </rPr>
      <t>FINLAND</t>
    </r>
  </si>
  <si>
    <r>
      <rPr>
        <sz val="10"/>
        <rFont val="Arial"/>
      </rPr>
      <t>G.BRITISH</t>
    </r>
  </si>
  <si>
    <r>
      <rPr>
        <sz val="10"/>
        <rFont val="Arial"/>
      </rPr>
      <t>GIS</t>
    </r>
  </si>
  <si>
    <r>
      <rPr>
        <sz val="10"/>
        <rFont val="Arial"/>
      </rPr>
      <t>IRAQI</t>
    </r>
  </si>
  <si>
    <r>
      <rPr>
        <sz val="10"/>
        <rFont val="Arial"/>
      </rPr>
      <t>KENYAN</t>
    </r>
  </si>
  <si>
    <r>
      <rPr>
        <sz val="10"/>
        <rFont val="Arial"/>
      </rPr>
      <t>KOREA (NORTH)</t>
    </r>
  </si>
  <si>
    <r>
      <rPr>
        <sz val="10"/>
        <rFont val="Arial"/>
      </rPr>
      <t>KOREA (SOUTH)</t>
    </r>
  </si>
  <si>
    <r>
      <rPr>
        <sz val="10"/>
        <rFont val="Arial"/>
      </rPr>
      <t>KUWAITI</t>
    </r>
  </si>
  <si>
    <r>
      <rPr>
        <sz val="10"/>
        <rFont val="Arial"/>
      </rPr>
      <t>MOROCCAN</t>
    </r>
  </si>
  <si>
    <r>
      <rPr>
        <sz val="10"/>
        <rFont val="Arial"/>
      </rPr>
      <t>MOROCCO</t>
    </r>
  </si>
  <si>
    <r>
      <rPr>
        <sz val="10"/>
        <rFont val="Arial"/>
      </rPr>
      <t>OMAN</t>
    </r>
  </si>
  <si>
    <r>
      <rPr>
        <sz val="10"/>
        <rFont val="Arial"/>
      </rPr>
      <t>OMANI</t>
    </r>
  </si>
  <si>
    <r>
      <rPr>
        <sz val="10"/>
        <rFont val="Arial"/>
      </rPr>
      <t>OTHERS</t>
    </r>
  </si>
  <si>
    <r>
      <rPr>
        <sz val="10"/>
        <rFont val="Arial"/>
      </rPr>
      <t>PARAGUAY</t>
    </r>
  </si>
  <si>
    <r>
      <rPr>
        <sz val="10"/>
        <rFont val="Arial"/>
      </rPr>
      <t>QATAR</t>
    </r>
  </si>
  <si>
    <r>
      <rPr>
        <sz val="10"/>
        <rFont val="Arial"/>
      </rPr>
      <t>QATARI</t>
    </r>
  </si>
  <si>
    <r>
      <rPr>
        <sz val="10"/>
        <rFont val="Arial"/>
      </rPr>
      <t>SERBIAN</t>
    </r>
  </si>
  <si>
    <r>
      <rPr>
        <sz val="10"/>
        <rFont val="Arial"/>
      </rPr>
      <t>UNITED KINGDOM</t>
    </r>
  </si>
  <si>
    <r>
      <rPr>
        <sz val="10"/>
        <rFont val="Arial"/>
      </rPr>
      <t>UNKNOWN</t>
    </r>
  </si>
  <si>
    <r>
      <rPr>
        <sz val="10"/>
        <rFont val="Arial"/>
      </rPr>
      <t>URUGUAYAN</t>
    </r>
  </si>
  <si>
    <r>
      <rPr>
        <sz val="10"/>
        <rFont val="Arial"/>
      </rPr>
      <t>WALLIS &amp; FUTUNA IS.</t>
    </r>
  </si>
  <si>
    <r>
      <rPr>
        <sz val="10"/>
        <rFont val="Arial"/>
      </rPr>
      <t>YEMEN</t>
    </r>
  </si>
  <si>
    <r>
      <rPr>
        <sz val="10"/>
        <rFont val="Arial"/>
      </rPr>
      <t>$AJ$2:$AJ$19</t>
    </r>
  </si>
  <si>
    <r>
      <rPr>
        <sz val="10"/>
        <rFont val="Arial"/>
      </rPr>
      <t>AGL</t>
    </r>
  </si>
  <si>
    <r>
      <rPr>
        <sz val="10"/>
        <rFont val="Arial"/>
      </rPr>
      <t>AGLIPAY</t>
    </r>
  </si>
  <si>
    <r>
      <rPr>
        <sz val="10"/>
        <rFont val="Arial"/>
      </rPr>
      <t>BAPTIST</t>
    </r>
  </si>
  <si>
    <r>
      <rPr>
        <sz val="10"/>
        <rFont val="Arial"/>
      </rPr>
      <t>BORN AGAIN</t>
    </r>
  </si>
  <si>
    <r>
      <rPr>
        <sz val="10"/>
        <rFont val="Arial"/>
      </rPr>
      <t>BUDDHIST</t>
    </r>
  </si>
  <si>
    <r>
      <rPr>
        <sz val="10"/>
        <rFont val="Arial"/>
      </rPr>
      <t>CHRISTIAN</t>
    </r>
  </si>
  <si>
    <r>
      <rPr>
        <sz val="10"/>
        <rFont val="Arial"/>
      </rPr>
      <t>HINDU</t>
    </r>
  </si>
  <si>
    <r>
      <rPr>
        <sz val="10"/>
        <rFont val="Arial"/>
      </rPr>
      <t>JAIN-HINDU</t>
    </r>
  </si>
  <si>
    <r>
      <rPr>
        <sz val="10"/>
        <rFont val="Arial"/>
      </rPr>
      <t>JAINISM</t>
    </r>
  </si>
  <si>
    <r>
      <rPr>
        <sz val="10"/>
        <rFont val="Arial"/>
      </rPr>
      <t>MOSLEM</t>
    </r>
  </si>
  <si>
    <r>
      <rPr>
        <sz val="10"/>
        <rFont val="Arial"/>
      </rPr>
      <t>ORTHODOX</t>
    </r>
  </si>
  <si>
    <r>
      <rPr>
        <sz val="10"/>
        <rFont val="Arial"/>
      </rPr>
      <t>PARSEE</t>
    </r>
  </si>
  <si>
    <r>
      <rPr>
        <sz val="10"/>
        <rFont val="Arial"/>
      </rPr>
      <t>RAJPUT</t>
    </r>
  </si>
  <si>
    <r>
      <rPr>
        <sz val="10"/>
        <rFont val="Arial"/>
      </rPr>
      <t>ROMAN CATHOLIC</t>
    </r>
  </si>
  <si>
    <r>
      <rPr>
        <sz val="10"/>
        <rFont val="Arial"/>
      </rPr>
      <t>SETHINDU</t>
    </r>
  </si>
  <si>
    <r>
      <rPr>
        <sz val="10"/>
        <rFont val="Arial"/>
      </rPr>
      <t>SIKH</t>
    </r>
  </si>
  <si>
    <r>
      <rPr>
        <sz val="10"/>
        <rFont val="Arial"/>
      </rPr>
      <t>ZORASTRIAN</t>
    </r>
  </si>
  <si>
    <r>
      <rPr>
        <sz val="10"/>
        <rFont val="Arial"/>
      </rPr>
      <t>$AK$2:$AK$10</t>
    </r>
  </si>
  <si>
    <r>
      <rPr>
        <sz val="10"/>
        <rFont val="Arial"/>
      </rPr>
      <t>COMPANION</t>
    </r>
  </si>
  <si>
    <r>
      <rPr>
        <sz val="10"/>
        <rFont val="Arial"/>
      </rPr>
      <t>DIVORCED</t>
    </r>
  </si>
  <si>
    <r>
      <rPr>
        <sz val="10"/>
        <rFont val="Arial"/>
      </rPr>
      <t>LIVES WITH PARTNER</t>
    </r>
  </si>
  <si>
    <r>
      <rPr>
        <sz val="10"/>
        <rFont val="Arial"/>
      </rPr>
      <t>MARRIED</t>
    </r>
  </si>
  <si>
    <r>
      <rPr>
        <sz val="10"/>
        <rFont val="Arial"/>
      </rPr>
      <t>NOT KNOWN</t>
    </r>
  </si>
  <si>
    <r>
      <rPr>
        <sz val="10"/>
        <rFont val="Arial"/>
      </rPr>
      <t>SEPARATED</t>
    </r>
  </si>
  <si>
    <r>
      <rPr>
        <sz val="10"/>
        <rFont val="Arial"/>
      </rPr>
      <t>SINGLE</t>
    </r>
  </si>
  <si>
    <r>
      <rPr>
        <sz val="10"/>
        <rFont val="Arial"/>
      </rPr>
      <t>WIDOWED</t>
    </r>
  </si>
  <si>
    <r>
      <rPr>
        <sz val="10"/>
        <rFont val="Arial"/>
      </rPr>
      <t>WIFE</t>
    </r>
  </si>
  <si>
    <r>
      <rPr>
        <sz val="10"/>
        <rFont val="Arial"/>
      </rPr>
      <t>$AL$2:$AL$63</t>
    </r>
  </si>
  <si>
    <r>
      <rPr>
        <sz val="10"/>
        <rFont val="Arial"/>
      </rPr>
      <t>AKASAKA</t>
    </r>
  </si>
  <si>
    <r>
      <rPr>
        <sz val="10"/>
        <rFont val="Arial"/>
      </rPr>
      <t>ALLEN</t>
    </r>
  </si>
  <si>
    <r>
      <rPr>
        <sz val="10"/>
        <rFont val="Arial"/>
      </rPr>
      <t>ALPHA</t>
    </r>
  </si>
  <si>
    <r>
      <rPr>
        <sz val="10"/>
        <rFont val="Arial"/>
      </rPr>
      <t>ANGLO BELGIAN CORP</t>
    </r>
  </si>
  <si>
    <r>
      <rPr>
        <sz val="10"/>
        <rFont val="Arial"/>
      </rPr>
      <t>BERGE</t>
    </r>
  </si>
  <si>
    <r>
      <rPr>
        <sz val="10"/>
        <rFont val="Arial"/>
      </rPr>
      <t>BERGEN DIESEL</t>
    </r>
  </si>
  <si>
    <r>
      <rPr>
        <sz val="10"/>
        <rFont val="Arial"/>
      </rPr>
      <t>BOLNES</t>
    </r>
  </si>
  <si>
    <r>
      <rPr>
        <sz val="10"/>
        <rFont val="Arial"/>
      </rPr>
      <t>BURMEISTER &amp; WAIN</t>
    </r>
  </si>
  <si>
    <r>
      <rPr>
        <sz val="10"/>
        <rFont val="Arial"/>
      </rPr>
      <t>CALLESEN</t>
    </r>
  </si>
  <si>
    <r>
      <rPr>
        <sz val="10"/>
        <rFont val="Arial"/>
      </rPr>
      <t>CATERPILLAR</t>
    </r>
  </si>
  <si>
    <r>
      <rPr>
        <sz val="10"/>
        <rFont val="Arial"/>
      </rPr>
      <t>CEGIELSKI</t>
    </r>
  </si>
  <si>
    <r>
      <rPr>
        <sz val="10"/>
        <rFont val="Arial"/>
      </rPr>
      <t>CROSSLEY</t>
    </r>
  </si>
  <si>
    <r>
      <rPr>
        <sz val="10"/>
        <rFont val="Arial"/>
      </rPr>
      <t>DAIHATSU</t>
    </r>
  </si>
  <si>
    <r>
      <rPr>
        <sz val="10"/>
        <rFont val="Arial"/>
      </rPr>
      <t>DE LAVAL</t>
    </r>
  </si>
  <si>
    <r>
      <rPr>
        <sz val="10"/>
        <rFont val="Arial"/>
      </rPr>
      <t>DEUTZ</t>
    </r>
  </si>
  <si>
    <r>
      <rPr>
        <sz val="10"/>
        <rFont val="Arial"/>
      </rPr>
      <t>DIESEL</t>
    </r>
  </si>
  <si>
    <r>
      <rPr>
        <sz val="10"/>
        <rFont val="Arial"/>
      </rPr>
      <t>DOXFORD</t>
    </r>
  </si>
  <si>
    <r>
      <rPr>
        <sz val="10"/>
        <rFont val="Arial"/>
      </rPr>
      <t>ENGLISH ELECTRIC</t>
    </r>
  </si>
  <si>
    <r>
      <rPr>
        <sz val="10"/>
        <rFont val="Arial"/>
      </rPr>
      <t>FIAT</t>
    </r>
  </si>
  <si>
    <r>
      <rPr>
        <sz val="10"/>
        <rFont val="Arial"/>
      </rPr>
      <t>FIAT BORSIG</t>
    </r>
  </si>
  <si>
    <r>
      <rPr>
        <sz val="10"/>
        <rFont val="Arial"/>
      </rPr>
      <t>GAS TURBINE</t>
    </r>
  </si>
  <si>
    <r>
      <rPr>
        <sz val="10"/>
        <rFont val="Arial"/>
      </rPr>
      <t>GENERAL MOTORS</t>
    </r>
  </si>
  <si>
    <r>
      <rPr>
        <sz val="10"/>
        <rFont val="Arial"/>
      </rPr>
      <t>GOTAVERKEN</t>
    </r>
  </si>
  <si>
    <r>
      <rPr>
        <sz val="10"/>
        <rFont val="Arial"/>
      </rPr>
      <t>GRANDE MOTORI TRIEST</t>
    </r>
  </si>
  <si>
    <r>
      <rPr>
        <sz val="10"/>
        <rFont val="Arial"/>
      </rPr>
      <t>HANSHIN</t>
    </r>
  </si>
  <si>
    <r>
      <rPr>
        <sz val="10"/>
        <rFont val="Arial"/>
      </rPr>
      <t>HITACHI</t>
    </r>
  </si>
  <si>
    <r>
      <rPr>
        <sz val="10"/>
        <rFont val="Arial"/>
      </rPr>
      <t>HUYNDAI</t>
    </r>
  </si>
  <si>
    <r>
      <rPr>
        <sz val="10"/>
        <rFont val="Arial"/>
      </rPr>
      <t>ICHITA</t>
    </r>
  </si>
  <si>
    <r>
      <rPr>
        <sz val="10"/>
        <rFont val="Arial"/>
      </rPr>
      <t>ITO DIESEL</t>
    </r>
  </si>
  <si>
    <r>
      <rPr>
        <sz val="10"/>
        <rFont val="Arial"/>
      </rPr>
      <t>KAWASAKI</t>
    </r>
  </si>
  <si>
    <r>
      <rPr>
        <sz val="10"/>
        <rFont val="Arial"/>
      </rPr>
      <t>KELVIN DIESEL</t>
    </r>
  </si>
  <si>
    <r>
      <rPr>
        <sz val="10"/>
        <rFont val="Arial"/>
      </rPr>
      <t>KLOECKNER HUMBOLDT D</t>
    </r>
  </si>
  <si>
    <r>
      <rPr>
        <sz val="10"/>
        <rFont val="Arial"/>
      </rPr>
      <t>LIEBKNECHT</t>
    </r>
  </si>
  <si>
    <r>
      <rPr>
        <sz val="10"/>
        <rFont val="Arial"/>
      </rPr>
      <t>M.A.K.</t>
    </r>
  </si>
  <si>
    <r>
      <rPr>
        <sz val="10"/>
        <rFont val="Arial"/>
      </rPr>
      <t>M.A.N.</t>
    </r>
  </si>
  <si>
    <r>
      <rPr>
        <sz val="10"/>
        <rFont val="Arial"/>
      </rPr>
      <t>M.W.M.</t>
    </r>
  </si>
  <si>
    <r>
      <rPr>
        <sz val="10"/>
        <rFont val="Arial"/>
      </rPr>
      <t>MAKITA DIESEL</t>
    </r>
  </si>
  <si>
    <r>
      <rPr>
        <sz val="10"/>
        <rFont val="Arial"/>
      </rPr>
      <t>MAN B&amp;W</t>
    </r>
  </si>
  <si>
    <r>
      <rPr>
        <sz val="10"/>
        <rFont val="Arial"/>
      </rPr>
      <t>MIRRLEES BLACKSTONE</t>
    </r>
  </si>
  <si>
    <r>
      <rPr>
        <sz val="10"/>
        <rFont val="Arial"/>
      </rPr>
      <t>MITSUBISHI</t>
    </r>
  </si>
  <si>
    <r>
      <rPr>
        <sz val="10"/>
        <rFont val="Arial"/>
      </rPr>
      <t>MITSUI DIESEL</t>
    </r>
  </si>
  <si>
    <r>
      <rPr>
        <sz val="10"/>
        <rFont val="Arial"/>
      </rPr>
      <t>NIIGATA</t>
    </r>
  </si>
  <si>
    <r>
      <rPr>
        <sz val="10"/>
        <rFont val="Arial"/>
      </rPr>
      <t>NIPATZU</t>
    </r>
  </si>
  <si>
    <r>
      <rPr>
        <sz val="10"/>
        <rFont val="Arial"/>
      </rPr>
      <t>NOHAP POLAR</t>
    </r>
  </si>
  <si>
    <r>
      <rPr>
        <sz val="10"/>
        <rFont val="Arial"/>
      </rPr>
      <t>NORMO DIESEL</t>
    </r>
  </si>
  <si>
    <r>
      <rPr>
        <sz val="10"/>
        <rFont val="Arial"/>
      </rPr>
      <t>PIELSTICK</t>
    </r>
  </si>
  <si>
    <r>
      <rPr>
        <sz val="10"/>
        <rFont val="Arial"/>
      </rPr>
      <t>POLAR</t>
    </r>
  </si>
  <si>
    <r>
      <rPr>
        <sz val="10"/>
        <rFont val="Arial"/>
      </rPr>
      <t>SHIKAWAJIMA HARIMA</t>
    </r>
  </si>
  <si>
    <r>
      <rPr>
        <sz val="10"/>
        <rFont val="Arial"/>
      </rPr>
      <t>STAL LAVAL</t>
    </r>
  </si>
  <si>
    <r>
      <rPr>
        <sz val="10"/>
        <rFont val="Arial"/>
      </rPr>
      <t>STEAM TURBINE</t>
    </r>
  </si>
  <si>
    <r>
      <rPr>
        <sz val="10"/>
        <rFont val="Arial"/>
      </rPr>
      <t>STORK WERKSPOOR</t>
    </r>
  </si>
  <si>
    <r>
      <rPr>
        <sz val="10"/>
        <rFont val="Arial"/>
      </rPr>
      <t>SULZER</t>
    </r>
  </si>
  <si>
    <r>
      <rPr>
        <sz val="10"/>
        <rFont val="Arial"/>
      </rPr>
      <t>TOYOTA</t>
    </r>
  </si>
  <si>
    <r>
      <rPr>
        <sz val="10"/>
        <rFont val="Arial"/>
      </rPr>
      <t>VOLVO</t>
    </r>
  </si>
  <si>
    <r>
      <rPr>
        <sz val="10"/>
        <rFont val="Arial"/>
      </rPr>
      <t>WARTSILA</t>
    </r>
  </si>
  <si>
    <r>
      <rPr>
        <sz val="10"/>
        <rFont val="Arial"/>
      </rPr>
      <t>WICHANN DIESEL</t>
    </r>
  </si>
  <si>
    <r>
      <rPr>
        <sz val="10"/>
        <rFont val="Arial"/>
      </rPr>
      <t>WICKMANN</t>
    </r>
  </si>
  <si>
    <r>
      <rPr>
        <sz val="10"/>
        <rFont val="Arial"/>
      </rPr>
      <t>WIZEMAN DIESEL</t>
    </r>
  </si>
  <si>
    <r>
      <rPr>
        <sz val="10"/>
        <rFont val="Arial"/>
      </rPr>
      <t>YANMAR</t>
    </r>
  </si>
  <si>
    <r>
      <rPr>
        <sz val="10"/>
        <rFont val="Arial"/>
      </rPr>
      <t>ZGODA</t>
    </r>
  </si>
  <si>
    <r>
      <rPr>
        <sz val="10"/>
        <rFont val="Arial"/>
      </rPr>
      <t>$AM$2:$AM$45</t>
    </r>
  </si>
  <si>
    <r>
      <rPr>
        <sz val="10"/>
        <rFont val="Arial"/>
      </rPr>
      <t>ANCHOR HANDLING TUG SUPPL</t>
    </r>
  </si>
  <si>
    <r>
      <rPr>
        <sz val="10"/>
        <rFont val="Arial"/>
      </rPr>
      <t>ASD TUG</t>
    </r>
  </si>
  <si>
    <r>
      <rPr>
        <sz val="10"/>
        <rFont val="Arial"/>
      </rPr>
      <t>BARGE CARRIER</t>
    </r>
  </si>
  <si>
    <r>
      <rPr>
        <sz val="10"/>
        <rFont val="Arial"/>
      </rPr>
      <t>BULK CARRIER</t>
    </r>
  </si>
  <si>
    <r>
      <rPr>
        <sz val="10"/>
        <rFont val="Arial"/>
      </rPr>
      <t>BUNKER VSL</t>
    </r>
  </si>
  <si>
    <r>
      <rPr>
        <sz val="10"/>
        <rFont val="Arial"/>
      </rPr>
      <t>CABLE LAYING VSL</t>
    </r>
  </si>
  <si>
    <r>
      <rPr>
        <sz val="10"/>
        <rFont val="Arial"/>
      </rPr>
      <t>CAR CARRIER</t>
    </r>
  </si>
  <si>
    <r>
      <rPr>
        <sz val="10"/>
        <rFont val="Arial"/>
      </rPr>
      <t>CARGO VESSEL</t>
    </r>
  </si>
  <si>
    <r>
      <rPr>
        <sz val="10"/>
        <rFont val="Arial"/>
      </rPr>
      <t>CHEMICAL</t>
    </r>
  </si>
  <si>
    <r>
      <rPr>
        <sz val="10"/>
        <rFont val="Arial"/>
      </rPr>
      <t>CHEMICAL PRODUCT</t>
    </r>
  </si>
  <si>
    <r>
      <rPr>
        <sz val="10"/>
        <rFont val="Arial"/>
      </rPr>
      <t>COASTER</t>
    </r>
  </si>
  <si>
    <r>
      <rPr>
        <sz val="10"/>
        <rFont val="Arial"/>
      </rPr>
      <t>CONTAINER</t>
    </r>
  </si>
  <si>
    <r>
      <rPr>
        <sz val="10"/>
        <rFont val="Arial"/>
      </rPr>
      <t>DIVING SUPPORT</t>
    </r>
  </si>
  <si>
    <r>
      <rPr>
        <sz val="10"/>
        <rFont val="Arial"/>
      </rPr>
      <t>DRILLING VSL</t>
    </r>
  </si>
  <si>
    <r>
      <rPr>
        <sz val="10"/>
        <rFont val="Arial"/>
      </rPr>
      <t>FERRY</t>
    </r>
  </si>
  <si>
    <r>
      <rPr>
        <sz val="10"/>
        <rFont val="Arial"/>
      </rPr>
      <t>FISHING VESSEL</t>
    </r>
  </si>
  <si>
    <r>
      <rPr>
        <sz val="10"/>
        <rFont val="Arial"/>
      </rPr>
      <t>FSO LPG</t>
    </r>
  </si>
  <si>
    <r>
      <rPr>
        <sz val="10"/>
        <rFont val="Arial"/>
      </rPr>
      <t>GENERAL CARGO</t>
    </r>
  </si>
  <si>
    <r>
      <rPr>
        <sz val="10"/>
        <rFont val="Arial"/>
      </rPr>
      <t>ICEBREAKER</t>
    </r>
  </si>
  <si>
    <r>
      <rPr>
        <sz val="10"/>
        <rFont val="Arial"/>
      </rPr>
      <t>JACK UP BARGE</t>
    </r>
  </si>
  <si>
    <r>
      <rPr>
        <sz val="10"/>
        <rFont val="Arial"/>
      </rPr>
      <t>LANDING CRAFT</t>
    </r>
  </si>
  <si>
    <r>
      <rPr>
        <sz val="10"/>
        <rFont val="Arial"/>
      </rPr>
      <t>LINE BOAT</t>
    </r>
  </si>
  <si>
    <r>
      <rPr>
        <sz val="10"/>
        <rFont val="Arial"/>
      </rPr>
      <t>LNG</t>
    </r>
  </si>
  <si>
    <r>
      <rPr>
        <sz val="10"/>
        <rFont val="Arial"/>
      </rPr>
      <t>LPG</t>
    </r>
  </si>
  <si>
    <r>
      <rPr>
        <sz val="10"/>
        <rFont val="Arial"/>
      </rPr>
      <t>LPG / CHEMICAL</t>
    </r>
  </si>
  <si>
    <r>
      <rPr>
        <sz val="10"/>
        <rFont val="Arial"/>
      </rPr>
      <t>LPG / LNG</t>
    </r>
  </si>
  <si>
    <r>
      <rPr>
        <sz val="10"/>
        <rFont val="Arial"/>
      </rPr>
      <t>LPG / OIL TANKER</t>
    </r>
  </si>
  <si>
    <r>
      <rPr>
        <sz val="10"/>
        <rFont val="Arial"/>
      </rPr>
      <t>MSV</t>
    </r>
  </si>
  <si>
    <r>
      <rPr>
        <sz val="10"/>
        <rFont val="Arial"/>
      </rPr>
      <t>MULTI PURPOSE</t>
    </r>
  </si>
  <si>
    <r>
      <rPr>
        <sz val="10"/>
        <rFont val="Arial"/>
      </rPr>
      <t>OFFSHORE SUPPLY</t>
    </r>
  </si>
  <si>
    <r>
      <rPr>
        <sz val="10"/>
        <rFont val="Arial"/>
      </rPr>
      <t>OIL TANKER</t>
    </r>
  </si>
  <si>
    <r>
      <rPr>
        <sz val="10"/>
        <rFont val="Arial"/>
      </rPr>
      <t>PASSENGER</t>
    </r>
  </si>
  <si>
    <r>
      <rPr>
        <sz val="10"/>
        <rFont val="Arial"/>
      </rPr>
      <t>PILOT BOAT</t>
    </r>
  </si>
  <si>
    <r>
      <rPr>
        <sz val="10"/>
        <rFont val="Arial"/>
      </rPr>
      <t>PLATFORM</t>
    </r>
  </si>
  <si>
    <r>
      <rPr>
        <sz val="10"/>
        <rFont val="Arial"/>
      </rPr>
      <t>REEFER</t>
    </r>
  </si>
  <si>
    <r>
      <rPr>
        <sz val="10"/>
        <rFont val="Arial"/>
      </rPr>
      <t>REEFER/CAR  CARRIER</t>
    </r>
  </si>
  <si>
    <r>
      <rPr>
        <sz val="10"/>
        <rFont val="Arial"/>
      </rPr>
      <t>RO-RO</t>
    </r>
  </si>
  <si>
    <r>
      <rPr>
        <sz val="10"/>
        <rFont val="Arial"/>
      </rPr>
      <t>ROV SUPPORT VESSEL</t>
    </r>
  </si>
  <si>
    <r>
      <rPr>
        <sz val="10"/>
        <rFont val="Arial"/>
      </rPr>
      <t>SEISMIC VESSEL</t>
    </r>
  </si>
  <si>
    <r>
      <rPr>
        <sz val="10"/>
        <rFont val="Arial"/>
      </rPr>
      <t>SUPPLY VESSEL</t>
    </r>
  </si>
  <si>
    <r>
      <rPr>
        <sz val="10"/>
        <rFont val="Arial"/>
      </rPr>
      <t>SURVEY</t>
    </r>
  </si>
  <si>
    <r>
      <rPr>
        <sz val="10"/>
        <rFont val="Arial"/>
      </rPr>
      <t>TANKER</t>
    </r>
  </si>
  <si>
    <r>
      <rPr>
        <sz val="10"/>
        <rFont val="Arial"/>
      </rPr>
      <t>TUG CONVENTIONAL</t>
    </r>
  </si>
  <si>
    <r>
      <rPr>
        <sz val="10"/>
        <rFont val="Arial"/>
      </rPr>
      <t>UTILITY VESSEL</t>
    </r>
  </si>
  <si>
    <r>
      <rPr>
        <sz val="10"/>
        <rFont val="Arial"/>
      </rPr>
      <t>$AN$2:$AN$28</t>
    </r>
  </si>
  <si>
    <r>
      <rPr>
        <sz val="10"/>
        <rFont val="Arial"/>
      </rPr>
      <t>IDENTITY CARD (FILIPINO)</t>
    </r>
  </si>
  <si>
    <r>
      <rPr>
        <sz val="10"/>
        <rFont val="Arial"/>
      </rPr>
      <t>IDENTITY CARD (LIBERIA)</t>
    </r>
  </si>
  <si>
    <r>
      <rPr>
        <sz val="10"/>
        <rFont val="Arial"/>
      </rPr>
      <t>IDENTITY CARD (PANAMA)</t>
    </r>
  </si>
  <si>
    <r>
      <rPr>
        <sz val="10"/>
        <rFont val="Arial"/>
      </rPr>
      <t>IDENTITY CARD( CANADA)</t>
    </r>
  </si>
  <si>
    <r>
      <rPr>
        <sz val="10"/>
        <rFont val="Arial"/>
      </rPr>
      <t>IDENTITY CARD( SPAIN)</t>
    </r>
  </si>
  <si>
    <r>
      <rPr>
        <sz val="10"/>
        <rFont val="Arial"/>
      </rPr>
      <t>PASSPORT (LOCAL RUSSIAN)</t>
    </r>
  </si>
  <si>
    <r>
      <rPr>
        <sz val="10"/>
        <rFont val="Arial"/>
      </rPr>
      <t>SEAMAN BOOK (A/B)</t>
    </r>
  </si>
  <si>
    <r>
      <rPr>
        <sz val="10"/>
        <rFont val="Arial"/>
      </rPr>
      <t>SEAMAN BOOK (AGU)</t>
    </r>
  </si>
  <si>
    <r>
      <rPr>
        <sz val="10"/>
        <rFont val="Arial"/>
      </rPr>
      <t>SEAMAN BOOK (BAH)</t>
    </r>
  </si>
  <si>
    <r>
      <rPr>
        <sz val="10"/>
        <rFont val="Arial"/>
      </rPr>
      <t>SEAMAN BOOK (BAR)</t>
    </r>
  </si>
  <si>
    <r>
      <rPr>
        <sz val="10"/>
        <rFont val="Arial"/>
      </rPr>
      <t>SEAMAN BOOK (BER)</t>
    </r>
  </si>
  <si>
    <r>
      <rPr>
        <sz val="10"/>
        <rFont val="Arial"/>
      </rPr>
      <t>SEAMAN BOOK (BVI)</t>
    </r>
  </si>
  <si>
    <r>
      <rPr>
        <sz val="10"/>
        <rFont val="Arial"/>
      </rPr>
      <t>SEAMAN BOOK (CYP)</t>
    </r>
  </si>
  <si>
    <r>
      <rPr>
        <sz val="10"/>
        <rFont val="Arial"/>
      </rPr>
      <t>SEAMAN BOOK (DUT)</t>
    </r>
  </si>
  <si>
    <r>
      <rPr>
        <sz val="10"/>
        <rFont val="Arial"/>
      </rPr>
      <t>SEAMAN BOOK (GER)</t>
    </r>
  </si>
  <si>
    <r>
      <rPr>
        <sz val="10"/>
        <rFont val="Arial"/>
      </rPr>
      <t>SEAMAN BOOK (IOM)</t>
    </r>
  </si>
  <si>
    <r>
      <rPr>
        <sz val="10"/>
        <rFont val="Arial"/>
      </rPr>
      <t>SEAMAN BOOK (LIB)</t>
    </r>
  </si>
  <si>
    <r>
      <rPr>
        <sz val="10"/>
        <rFont val="Arial"/>
      </rPr>
      <t>SEAMAN BOOK (MI)</t>
    </r>
  </si>
  <si>
    <r>
      <rPr>
        <sz val="10"/>
        <rFont val="Arial"/>
      </rPr>
      <t>SEAMAN BOOK (N/A)</t>
    </r>
  </si>
  <si>
    <r>
      <rPr>
        <sz val="10"/>
        <rFont val="Arial"/>
      </rPr>
      <t>SEAMAN BOOK (NOR)</t>
    </r>
  </si>
  <si>
    <r>
      <rPr>
        <sz val="10"/>
        <rFont val="Arial"/>
      </rPr>
      <t>SEAMAN BOOK (OTH)</t>
    </r>
  </si>
  <si>
    <r>
      <rPr>
        <sz val="10"/>
        <rFont val="Arial"/>
      </rPr>
      <t>SEAMAN BOOK (PAN)</t>
    </r>
  </si>
  <si>
    <r>
      <rPr>
        <sz val="10"/>
        <rFont val="Arial"/>
      </rPr>
      <t>SEAMAN BOOK (SVG)</t>
    </r>
  </si>
  <si>
    <r>
      <rPr>
        <sz val="10"/>
        <rFont val="Arial"/>
      </rPr>
      <t>SEAMAN BOOK (UNK)</t>
    </r>
  </si>
  <si>
    <r>
      <rPr>
        <sz val="10"/>
        <rFont val="Arial"/>
      </rPr>
      <t>SEAMAN BOOK (VAN)</t>
    </r>
  </si>
  <si>
    <r>
      <rPr>
        <sz val="10"/>
        <rFont val="Arial"/>
      </rPr>
      <t>SEAMAN CARD (UAE)</t>
    </r>
  </si>
  <si>
    <r>
      <rPr>
        <sz val="10"/>
        <rFont val="Arial"/>
      </rPr>
      <t>$AO$2:$AO$37</t>
    </r>
  </si>
  <si>
    <r>
      <rPr>
        <sz val="10"/>
        <rFont val="Arial"/>
      </rPr>
      <t>GRAND DAUGHTER</t>
    </r>
  </si>
  <si>
    <r>
      <rPr>
        <sz val="10"/>
        <rFont val="Arial"/>
      </rPr>
      <t>AUNT</t>
    </r>
  </si>
  <si>
    <r>
      <rPr>
        <sz val="10"/>
        <rFont val="Arial"/>
      </rPr>
      <t>BROTHER</t>
    </r>
  </si>
  <si>
    <r>
      <rPr>
        <sz val="10"/>
        <rFont val="Arial"/>
      </rPr>
      <t>BROTHER IN LAW</t>
    </r>
  </si>
  <si>
    <r>
      <rPr>
        <sz val="10"/>
        <rFont val="Arial"/>
      </rPr>
      <t>COUSIN</t>
    </r>
  </si>
  <si>
    <r>
      <rPr>
        <sz val="10"/>
        <rFont val="Arial"/>
      </rPr>
      <t>DAUGHTER</t>
    </r>
  </si>
  <si>
    <r>
      <rPr>
        <sz val="10"/>
        <rFont val="Arial"/>
      </rPr>
      <t>DAUGHTER IN LAW</t>
    </r>
  </si>
  <si>
    <r>
      <rPr>
        <sz val="10"/>
        <rFont val="Arial"/>
      </rPr>
      <t>EX-SPOUSE</t>
    </r>
  </si>
  <si>
    <r>
      <rPr>
        <sz val="10"/>
        <rFont val="Arial"/>
      </rPr>
      <t>FATHER</t>
    </r>
  </si>
  <si>
    <r>
      <rPr>
        <sz val="10"/>
        <rFont val="Arial"/>
      </rPr>
      <t>FATHER IN LAW</t>
    </r>
  </si>
  <si>
    <r>
      <rPr>
        <sz val="10"/>
        <rFont val="Arial"/>
      </rPr>
      <t>FIANCEE</t>
    </r>
  </si>
  <si>
    <r>
      <rPr>
        <sz val="10"/>
        <rFont val="Arial"/>
      </rPr>
      <t>FRIEND</t>
    </r>
  </si>
  <si>
    <r>
      <rPr>
        <sz val="10"/>
        <rFont val="Arial"/>
      </rPr>
      <t>GRANDFATHER</t>
    </r>
  </si>
  <si>
    <r>
      <rPr>
        <sz val="10"/>
        <rFont val="Arial"/>
      </rPr>
      <t>GRANDMOTHER</t>
    </r>
  </si>
  <si>
    <r>
      <rPr>
        <sz val="10"/>
        <rFont val="Arial"/>
      </rPr>
      <t>GUARDIAN</t>
    </r>
  </si>
  <si>
    <r>
      <rPr>
        <sz val="10"/>
        <rFont val="Arial"/>
      </rPr>
      <t>HUSBAND</t>
    </r>
  </si>
  <si>
    <r>
      <rPr>
        <sz val="10"/>
        <rFont val="Arial"/>
      </rPr>
      <t>LIVE-IN PARTNER</t>
    </r>
  </si>
  <si>
    <r>
      <rPr>
        <sz val="10"/>
        <rFont val="Arial"/>
      </rPr>
      <t>MISTRESS</t>
    </r>
  </si>
  <si>
    <r>
      <rPr>
        <sz val="10"/>
        <rFont val="Arial"/>
      </rPr>
      <t>MOTHER</t>
    </r>
  </si>
  <si>
    <r>
      <rPr>
        <sz val="10"/>
        <rFont val="Arial"/>
      </rPr>
      <t>MOTHER IN LAW</t>
    </r>
  </si>
  <si>
    <r>
      <rPr>
        <sz val="10"/>
        <rFont val="Arial"/>
      </rPr>
      <t>NEPHEW</t>
    </r>
  </si>
  <si>
    <r>
      <rPr>
        <sz val="10"/>
        <rFont val="Arial"/>
      </rPr>
      <t>NIECE</t>
    </r>
  </si>
  <si>
    <r>
      <rPr>
        <sz val="10"/>
        <rFont val="Arial"/>
      </rPr>
      <t>RELATIVE</t>
    </r>
  </si>
  <si>
    <r>
      <rPr>
        <sz val="10"/>
        <rFont val="Arial"/>
      </rPr>
      <t>SISTER</t>
    </r>
  </si>
  <si>
    <r>
      <rPr>
        <sz val="10"/>
        <rFont val="Arial"/>
      </rPr>
      <t>SISTER IN LAW</t>
    </r>
  </si>
  <si>
    <r>
      <rPr>
        <sz val="10"/>
        <rFont val="Arial"/>
      </rPr>
      <t>SON</t>
    </r>
  </si>
  <si>
    <r>
      <rPr>
        <sz val="10"/>
        <rFont val="Arial"/>
      </rPr>
      <t>SON IN LAW</t>
    </r>
  </si>
  <si>
    <r>
      <rPr>
        <sz val="10"/>
        <rFont val="Arial"/>
      </rPr>
      <t>STEP BROTHER</t>
    </r>
  </si>
  <si>
    <r>
      <rPr>
        <sz val="10"/>
        <rFont val="Arial"/>
      </rPr>
      <t>STEP DAUGHTER</t>
    </r>
  </si>
  <si>
    <r>
      <rPr>
        <sz val="10"/>
        <rFont val="Arial"/>
      </rPr>
      <t>STEP FATHER</t>
    </r>
  </si>
  <si>
    <r>
      <rPr>
        <sz val="10"/>
        <rFont val="Arial"/>
      </rPr>
      <t>STEP MOTHER</t>
    </r>
  </si>
  <si>
    <r>
      <rPr>
        <sz val="10"/>
        <rFont val="Arial"/>
      </rPr>
      <t>STEP SISTER</t>
    </r>
  </si>
  <si>
    <r>
      <rPr>
        <sz val="10"/>
        <rFont val="Arial"/>
      </rPr>
      <t>STEP SON</t>
    </r>
  </si>
  <si>
    <r>
      <rPr>
        <sz val="10"/>
        <rFont val="Arial"/>
      </rPr>
      <t>UNCLE</t>
    </r>
  </si>
  <si>
    <r>
      <rPr>
        <sz val="10"/>
        <rFont val="Arial"/>
      </rPr>
      <t>$AP$2:$AP$37</t>
    </r>
  </si>
  <si>
    <r>
      <rPr>
        <sz val="10"/>
        <rFont val="Arial"/>
      </rPr>
      <t>BENGALI</t>
    </r>
  </si>
  <si>
    <r>
      <rPr>
        <sz val="10"/>
        <rFont val="Arial"/>
      </rPr>
      <t>BURMESE</t>
    </r>
  </si>
  <si>
    <r>
      <rPr>
        <sz val="10"/>
        <rFont val="Arial"/>
      </rPr>
      <t>BYELORUSSIAN</t>
    </r>
  </si>
  <si>
    <r>
      <rPr>
        <sz val="10"/>
        <rFont val="Arial"/>
      </rPr>
      <t>DUTCH</t>
    </r>
  </si>
  <si>
    <r>
      <rPr>
        <sz val="10"/>
        <rFont val="Arial"/>
      </rPr>
      <t>ENGLISH</t>
    </r>
  </si>
  <si>
    <r>
      <rPr>
        <sz val="10"/>
        <rFont val="Arial"/>
      </rPr>
      <t>HINDI</t>
    </r>
  </si>
  <si>
    <r>
      <rPr>
        <sz val="10"/>
        <rFont val="Arial"/>
      </rPr>
      <t>MALAYALAM</t>
    </r>
  </si>
  <si>
    <r>
      <rPr>
        <sz val="10"/>
        <rFont val="Arial"/>
      </rPr>
      <t>MARATHI</t>
    </r>
  </si>
  <si>
    <r>
      <rPr>
        <sz val="10"/>
        <rFont val="Arial"/>
      </rPr>
      <t>NO UNDERSTANDING OF</t>
    </r>
  </si>
  <si>
    <r>
      <rPr>
        <sz val="10"/>
        <rFont val="Arial"/>
      </rPr>
      <t>NORGE</t>
    </r>
  </si>
  <si>
    <r>
      <rPr>
        <sz val="10"/>
        <rFont val="Arial"/>
      </rPr>
      <t>PORTUGEUSE</t>
    </r>
  </si>
  <si>
    <r>
      <rPr>
        <sz val="10"/>
        <rFont val="Arial"/>
      </rPr>
      <t>SERBOCROAT</t>
    </r>
  </si>
  <si>
    <r>
      <rPr>
        <sz val="10"/>
        <rFont val="Arial"/>
      </rPr>
      <t>SLOVAK</t>
    </r>
  </si>
  <si>
    <r>
      <rPr>
        <sz val="10"/>
        <rFont val="Arial"/>
      </rPr>
      <t>TAGALOG(PHILIP)</t>
    </r>
  </si>
  <si>
    <r>
      <rPr>
        <sz val="10"/>
        <rFont val="Arial"/>
      </rPr>
      <t>TAMIL</t>
    </r>
  </si>
  <si>
    <r>
      <rPr>
        <sz val="10"/>
        <rFont val="Arial"/>
      </rPr>
      <t>UKRAINE</t>
    </r>
  </si>
  <si>
    <r>
      <rPr>
        <sz val="10"/>
        <rFont val="Arial"/>
      </rPr>
      <t>$AQ$2:$AQ$195</t>
    </r>
  </si>
  <si>
    <r>
      <rPr>
        <sz val="10"/>
        <rFont val="Arial"/>
      </rPr>
      <t>ALBANIA</t>
    </r>
  </si>
  <si>
    <r>
      <rPr>
        <sz val="10"/>
        <rFont val="Arial"/>
      </rPr>
      <t>ARGENTINA</t>
    </r>
  </si>
  <si>
    <r>
      <rPr>
        <sz val="10"/>
        <rFont val="Arial"/>
      </rPr>
      <t>ARMENIA</t>
    </r>
  </si>
  <si>
    <r>
      <rPr>
        <sz val="10"/>
        <rFont val="Arial"/>
      </rPr>
      <t>AUSTRALIA</t>
    </r>
  </si>
  <si>
    <r>
      <rPr>
        <sz val="10"/>
        <rFont val="Arial"/>
      </rPr>
      <t>AUSTRIA</t>
    </r>
  </si>
  <si>
    <r>
      <rPr>
        <sz val="10"/>
        <rFont val="Arial"/>
      </rPr>
      <t>BAHAMAS</t>
    </r>
  </si>
  <si>
    <r>
      <rPr>
        <sz val="10"/>
        <rFont val="Arial"/>
      </rPr>
      <t>BELGIUM</t>
    </r>
  </si>
  <si>
    <r>
      <rPr>
        <sz val="10"/>
        <rFont val="Arial"/>
      </rPr>
      <t>BELORUSSIA</t>
    </r>
  </si>
  <si>
    <r>
      <rPr>
        <sz val="10"/>
        <rFont val="Arial"/>
      </rPr>
      <t>BRAZIL</t>
    </r>
  </si>
  <si>
    <r>
      <rPr>
        <sz val="10"/>
        <rFont val="Arial"/>
      </rPr>
      <t>BULGARIA</t>
    </r>
  </si>
  <si>
    <r>
      <rPr>
        <sz val="10"/>
        <rFont val="Arial"/>
      </rPr>
      <t>CAMBODIA</t>
    </r>
  </si>
  <si>
    <r>
      <rPr>
        <sz val="10"/>
        <rFont val="Arial"/>
      </rPr>
      <t>CANADA</t>
    </r>
  </si>
  <si>
    <r>
      <rPr>
        <sz val="10"/>
        <rFont val="Arial"/>
      </rPr>
      <t>CHILE</t>
    </r>
  </si>
  <si>
    <r>
      <rPr>
        <sz val="10"/>
        <rFont val="Arial"/>
      </rPr>
      <t>CHINA</t>
    </r>
  </si>
  <si>
    <r>
      <rPr>
        <sz val="10"/>
        <rFont val="Arial"/>
      </rPr>
      <t>COLOMBIA</t>
    </r>
  </si>
  <si>
    <r>
      <rPr>
        <sz val="10"/>
        <rFont val="Arial"/>
      </rPr>
      <t>COSTA RICA</t>
    </r>
  </si>
  <si>
    <r>
      <rPr>
        <sz val="10"/>
        <rFont val="Arial"/>
      </rPr>
      <t>CROATIA</t>
    </r>
  </si>
  <si>
    <r>
      <rPr>
        <sz val="10"/>
        <rFont val="Arial"/>
      </rPr>
      <t>CUBA</t>
    </r>
  </si>
  <si>
    <r>
      <rPr>
        <sz val="10"/>
        <rFont val="Arial"/>
      </rPr>
      <t>CYPRUS</t>
    </r>
  </si>
  <si>
    <r>
      <rPr>
        <sz val="10"/>
        <rFont val="Arial"/>
      </rPr>
      <t>CZECH REPUBLIC</t>
    </r>
  </si>
  <si>
    <r>
      <rPr>
        <sz val="10"/>
        <rFont val="Arial"/>
      </rPr>
      <t>DENMARK</t>
    </r>
  </si>
  <si>
    <r>
      <rPr>
        <sz val="10"/>
        <rFont val="Arial"/>
      </rPr>
      <t>DOMINICAN REPUBLIC</t>
    </r>
  </si>
  <si>
    <r>
      <rPr>
        <sz val="10"/>
        <rFont val="Arial"/>
      </rPr>
      <t>ECUADOR</t>
    </r>
  </si>
  <si>
    <r>
      <rPr>
        <sz val="10"/>
        <rFont val="Arial"/>
      </rPr>
      <t>EGYPT</t>
    </r>
  </si>
  <si>
    <r>
      <rPr>
        <sz val="10"/>
        <rFont val="Arial"/>
      </rPr>
      <t>EL SALVADOR</t>
    </r>
  </si>
  <si>
    <r>
      <rPr>
        <sz val="10"/>
        <rFont val="Arial"/>
      </rPr>
      <t>EQUATORIAL GUINEA</t>
    </r>
  </si>
  <si>
    <r>
      <rPr>
        <sz val="10"/>
        <rFont val="Arial"/>
      </rPr>
      <t>ESTONIA</t>
    </r>
  </si>
  <si>
    <r>
      <rPr>
        <sz val="10"/>
        <rFont val="Arial"/>
      </rPr>
      <t>ETHIOPIA</t>
    </r>
  </si>
  <si>
    <r>
      <rPr>
        <sz val="10"/>
        <rFont val="Arial"/>
      </rPr>
      <t>FRANCE</t>
    </r>
  </si>
  <si>
    <r>
      <rPr>
        <sz val="10"/>
        <rFont val="Arial"/>
      </rPr>
      <t>FRENCH POLYNESIA</t>
    </r>
  </si>
  <si>
    <r>
      <rPr>
        <sz val="10"/>
        <rFont val="Arial"/>
      </rPr>
      <t>GAMBIA</t>
    </r>
  </si>
  <si>
    <r>
      <rPr>
        <sz val="10"/>
        <rFont val="Arial"/>
      </rPr>
      <t>GEORGIA</t>
    </r>
  </si>
  <si>
    <r>
      <rPr>
        <sz val="10"/>
        <rFont val="Arial"/>
      </rPr>
      <t>GERMANY</t>
    </r>
  </si>
  <si>
    <r>
      <rPr>
        <sz val="10"/>
        <rFont val="Arial"/>
      </rPr>
      <t>GERMANY GIS</t>
    </r>
  </si>
  <si>
    <r>
      <rPr>
        <sz val="10"/>
        <rFont val="Arial"/>
      </rPr>
      <t>GHANA</t>
    </r>
  </si>
  <si>
    <r>
      <rPr>
        <sz val="10"/>
        <rFont val="Arial"/>
      </rPr>
      <t>GREECE</t>
    </r>
  </si>
  <si>
    <r>
      <rPr>
        <sz val="10"/>
        <rFont val="Arial"/>
      </rPr>
      <t>GUATEMALA</t>
    </r>
  </si>
  <si>
    <r>
      <rPr>
        <sz val="10"/>
        <rFont val="Arial"/>
      </rPr>
      <t>GUINEA</t>
    </r>
  </si>
  <si>
    <r>
      <rPr>
        <sz val="10"/>
        <rFont val="Arial"/>
      </rPr>
      <t>GUYANA</t>
    </r>
  </si>
  <si>
    <r>
      <rPr>
        <sz val="10"/>
        <rFont val="Arial"/>
      </rPr>
      <t>GUYANE</t>
    </r>
  </si>
  <si>
    <r>
      <rPr>
        <sz val="10"/>
        <rFont val="Arial"/>
      </rPr>
      <t>HUNGARY</t>
    </r>
  </si>
  <si>
    <r>
      <rPr>
        <sz val="10"/>
        <rFont val="Arial"/>
      </rPr>
      <t>ICELAND</t>
    </r>
  </si>
  <si>
    <r>
      <rPr>
        <sz val="10"/>
        <rFont val="Arial"/>
      </rPr>
      <t>INDIA</t>
    </r>
  </si>
  <si>
    <r>
      <rPr>
        <sz val="10"/>
        <rFont val="Arial"/>
      </rPr>
      <t>INDONESIA</t>
    </r>
  </si>
  <si>
    <r>
      <rPr>
        <sz val="10"/>
        <rFont val="Arial"/>
      </rPr>
      <t>IRAN</t>
    </r>
  </si>
  <si>
    <r>
      <rPr>
        <sz val="10"/>
        <rFont val="Arial"/>
      </rPr>
      <t>IRELAND</t>
    </r>
  </si>
  <si>
    <r>
      <rPr>
        <sz val="10"/>
        <rFont val="Arial"/>
      </rPr>
      <t>ISRAEL</t>
    </r>
  </si>
  <si>
    <r>
      <rPr>
        <sz val="10"/>
        <rFont val="Arial"/>
      </rPr>
      <t>ITALY</t>
    </r>
  </si>
  <si>
    <r>
      <rPr>
        <sz val="10"/>
        <rFont val="Arial"/>
      </rPr>
      <t>JAMAICA</t>
    </r>
  </si>
  <si>
    <r>
      <rPr>
        <sz val="10"/>
        <rFont val="Arial"/>
      </rPr>
      <t>JAPAN</t>
    </r>
  </si>
  <si>
    <r>
      <rPr>
        <sz val="10"/>
        <rFont val="Arial"/>
      </rPr>
      <t>JORDAN</t>
    </r>
  </si>
  <si>
    <r>
      <rPr>
        <sz val="10"/>
        <rFont val="Arial"/>
      </rPr>
      <t>LATVIA</t>
    </r>
  </si>
  <si>
    <r>
      <rPr>
        <sz val="10"/>
        <rFont val="Arial"/>
      </rPr>
      <t>LEBANON</t>
    </r>
  </si>
  <si>
    <r>
      <rPr>
        <sz val="10"/>
        <rFont val="Arial"/>
      </rPr>
      <t>LIBERIA</t>
    </r>
  </si>
  <si>
    <r>
      <rPr>
        <sz val="10"/>
        <rFont val="Arial"/>
      </rPr>
      <t>LIBYA</t>
    </r>
  </si>
  <si>
    <r>
      <rPr>
        <sz val="10"/>
        <rFont val="Arial"/>
      </rPr>
      <t>LITHUANIA</t>
    </r>
  </si>
  <si>
    <r>
      <rPr>
        <sz val="10"/>
        <rFont val="Arial"/>
      </rPr>
      <t>MALAYSIA</t>
    </r>
  </si>
  <si>
    <r>
      <rPr>
        <sz val="10"/>
        <rFont val="Arial"/>
      </rPr>
      <t>MAURITANIA</t>
    </r>
  </si>
  <si>
    <r>
      <rPr>
        <sz val="10"/>
        <rFont val="Arial"/>
      </rPr>
      <t>MEXICO</t>
    </r>
  </si>
  <si>
    <r>
      <rPr>
        <sz val="10"/>
        <rFont val="Arial"/>
      </rPr>
      <t>MICRONESIA</t>
    </r>
  </si>
  <si>
    <r>
      <rPr>
        <sz val="10"/>
        <rFont val="Arial"/>
      </rPr>
      <t>MOLDOVA</t>
    </r>
  </si>
  <si>
    <r>
      <rPr>
        <sz val="10"/>
        <rFont val="Arial"/>
      </rPr>
      <t>NAGUILLA</t>
    </r>
  </si>
  <si>
    <r>
      <rPr>
        <sz val="10"/>
        <rFont val="Arial"/>
      </rPr>
      <t>NAMIBIA</t>
    </r>
  </si>
  <si>
    <r>
      <rPr>
        <sz val="10"/>
        <rFont val="Arial"/>
      </rPr>
      <t>NEW CALEDONIA</t>
    </r>
  </si>
  <si>
    <r>
      <rPr>
        <sz val="10"/>
        <rFont val="Arial"/>
      </rPr>
      <t>NEW ZEALAND</t>
    </r>
  </si>
  <si>
    <r>
      <rPr>
        <sz val="10"/>
        <rFont val="Arial"/>
      </rPr>
      <t>NICARAGUA</t>
    </r>
  </si>
  <si>
    <r>
      <rPr>
        <sz val="10"/>
        <rFont val="Arial"/>
      </rPr>
      <t>NIGERIA</t>
    </r>
  </si>
  <si>
    <r>
      <rPr>
        <sz val="10"/>
        <rFont val="Arial"/>
      </rPr>
      <t>NORTH KOREA</t>
    </r>
  </si>
  <si>
    <r>
      <rPr>
        <sz val="10"/>
        <rFont val="Arial"/>
      </rPr>
      <t>NORWAY</t>
    </r>
  </si>
  <si>
    <r>
      <rPr>
        <sz val="10"/>
        <rFont val="Arial"/>
      </rPr>
      <t>NORWAY NIS</t>
    </r>
  </si>
  <si>
    <r>
      <rPr>
        <sz val="10"/>
        <rFont val="Arial"/>
      </rPr>
      <t>PAKISTAN</t>
    </r>
  </si>
  <si>
    <r>
      <rPr>
        <sz val="10"/>
        <rFont val="Arial"/>
      </rPr>
      <t>PANAMA</t>
    </r>
  </si>
  <si>
    <r>
      <rPr>
        <sz val="10"/>
        <rFont val="Arial"/>
      </rPr>
      <t>PAPUA NEW GUINEA</t>
    </r>
  </si>
  <si>
    <r>
      <rPr>
        <sz val="10"/>
        <rFont val="Arial"/>
      </rPr>
      <t>PERU</t>
    </r>
  </si>
  <si>
    <r>
      <rPr>
        <sz val="10"/>
        <rFont val="Arial"/>
      </rPr>
      <t>PHILIPPINES</t>
    </r>
  </si>
  <si>
    <r>
      <rPr>
        <sz val="10"/>
        <rFont val="Arial"/>
      </rPr>
      <t>POLAND</t>
    </r>
  </si>
  <si>
    <r>
      <rPr>
        <sz val="10"/>
        <rFont val="Arial"/>
      </rPr>
      <t>PORTUGAL</t>
    </r>
  </si>
  <si>
    <r>
      <rPr>
        <sz val="10"/>
        <rFont val="Arial"/>
      </rPr>
      <t>PUERTO RICO</t>
    </r>
  </si>
  <si>
    <r>
      <rPr>
        <sz val="10"/>
        <rFont val="Arial"/>
      </rPr>
      <t>ROMANIA</t>
    </r>
  </si>
  <si>
    <r>
      <rPr>
        <sz val="10"/>
        <rFont val="Arial"/>
      </rPr>
      <t>RUSSIA</t>
    </r>
  </si>
  <si>
    <r>
      <rPr>
        <sz val="10"/>
        <rFont val="Arial"/>
      </rPr>
      <t>SAMOA</t>
    </r>
  </si>
  <si>
    <r>
      <rPr>
        <sz val="10"/>
        <rFont val="Arial"/>
      </rPr>
      <t>SAUDI ARABIA</t>
    </r>
  </si>
  <si>
    <r>
      <rPr>
        <sz val="10"/>
        <rFont val="Arial"/>
      </rPr>
      <t>SENEGAL</t>
    </r>
  </si>
  <si>
    <r>
      <rPr>
        <sz val="10"/>
        <rFont val="Arial"/>
      </rPr>
      <t>SLOVAKIA</t>
    </r>
  </si>
  <si>
    <r>
      <rPr>
        <sz val="10"/>
        <rFont val="Arial"/>
      </rPr>
      <t>SLOVENIA</t>
    </r>
  </si>
  <si>
    <r>
      <rPr>
        <sz val="10"/>
        <rFont val="Arial"/>
      </rPr>
      <t>SOMALIA</t>
    </r>
  </si>
  <si>
    <r>
      <rPr>
        <sz val="10"/>
        <rFont val="Arial"/>
      </rPr>
      <t>SOUTH AFRICA</t>
    </r>
  </si>
  <si>
    <r>
      <rPr>
        <sz val="10"/>
        <rFont val="Arial"/>
      </rPr>
      <t>SOUTH KOREA</t>
    </r>
  </si>
  <si>
    <r>
      <rPr>
        <sz val="10"/>
        <rFont val="Arial"/>
      </rPr>
      <t>SPAIN</t>
    </r>
  </si>
  <si>
    <r>
      <rPr>
        <sz val="10"/>
        <rFont val="Arial"/>
      </rPr>
      <t>SRI LANKA</t>
    </r>
  </si>
  <si>
    <r>
      <rPr>
        <sz val="10"/>
        <rFont val="Arial"/>
      </rPr>
      <t>SUDAN</t>
    </r>
  </si>
  <si>
    <r>
      <rPr>
        <sz val="10"/>
        <rFont val="Arial"/>
      </rPr>
      <t>SWEDEN</t>
    </r>
  </si>
  <si>
    <r>
      <rPr>
        <sz val="10"/>
        <rFont val="Arial"/>
      </rPr>
      <t>SWITZERLAND</t>
    </r>
  </si>
  <si>
    <r>
      <rPr>
        <sz val="10"/>
        <rFont val="Arial"/>
      </rPr>
      <t>SYRIA</t>
    </r>
  </si>
  <si>
    <r>
      <rPr>
        <sz val="10"/>
        <rFont val="Arial"/>
      </rPr>
      <t>TAIWAN</t>
    </r>
  </si>
  <si>
    <r>
      <rPr>
        <sz val="10"/>
        <rFont val="Arial"/>
      </rPr>
      <t>TANZANIA</t>
    </r>
  </si>
  <si>
    <r>
      <rPr>
        <sz val="10"/>
        <rFont val="Arial"/>
      </rPr>
      <t>THAILAND</t>
    </r>
  </si>
  <si>
    <r>
      <rPr>
        <sz val="10"/>
        <rFont val="Arial"/>
      </rPr>
      <t>TUNISIA</t>
    </r>
  </si>
  <si>
    <r>
      <rPr>
        <sz val="10"/>
        <rFont val="Arial"/>
      </rPr>
      <t>TURKEY</t>
    </r>
  </si>
  <si>
    <r>
      <rPr>
        <sz val="10"/>
        <rFont val="Arial"/>
      </rPr>
      <t>VENEZUELA</t>
    </r>
  </si>
  <si>
    <r>
      <rPr>
        <sz val="10"/>
        <rFont val="Arial"/>
      </rPr>
      <t>VIETNAM</t>
    </r>
  </si>
  <si>
    <r>
      <rPr>
        <sz val="10"/>
        <rFont val="Arial"/>
      </rPr>
      <t>YUGOSLAVIA</t>
    </r>
  </si>
  <si>
    <r>
      <rPr>
        <sz val="10"/>
        <rFont val="Arial"/>
      </rPr>
      <t>ZIMBABWE</t>
    </r>
  </si>
  <si>
    <r>
      <rPr>
        <sz val="10"/>
        <rFont val="Arial"/>
      </rPr>
      <t>$AR$2:$AR$12</t>
    </r>
  </si>
  <si>
    <r>
      <rPr>
        <sz val="10"/>
        <rFont val="Arial"/>
      </rPr>
      <t>USA VISA C1/D MULTIPLE</t>
    </r>
  </si>
  <si>
    <r>
      <rPr>
        <sz val="10"/>
        <rFont val="Arial"/>
      </rPr>
      <t>VISA (ANGOLA)</t>
    </r>
  </si>
  <si>
    <r>
      <rPr>
        <sz val="10"/>
        <rFont val="Arial"/>
      </rPr>
      <t>VISA (BRAZIL)</t>
    </r>
  </si>
  <si>
    <r>
      <rPr>
        <sz val="10"/>
        <rFont val="Arial"/>
      </rPr>
      <t>VISA (CONGO)</t>
    </r>
  </si>
  <si>
    <r>
      <rPr>
        <sz val="10"/>
        <rFont val="Arial"/>
      </rPr>
      <t>VISA (EQUATORIAL GUINEA)</t>
    </r>
  </si>
  <si>
    <r>
      <rPr>
        <sz val="10"/>
        <rFont val="Arial"/>
      </rPr>
      <t>VISA (MYANMAR)</t>
    </r>
  </si>
  <si>
    <r>
      <rPr>
        <sz val="10"/>
        <rFont val="Arial"/>
      </rPr>
      <t>VISA (NIGERIA)</t>
    </r>
  </si>
  <si>
    <r>
      <rPr>
        <sz val="10"/>
        <rFont val="Arial"/>
      </rPr>
      <t>VISA (THAILAND)</t>
    </r>
  </si>
  <si>
    <r>
      <rPr>
        <sz val="10"/>
        <rFont val="Arial"/>
      </rPr>
      <t>VISA (VIETNAM)</t>
    </r>
  </si>
  <si>
    <r>
      <rPr>
        <sz val="10"/>
        <rFont val="Arial"/>
      </rPr>
      <t>VISA SCHENGEN COUNTRIES</t>
    </r>
  </si>
  <si>
    <r>
      <rPr>
        <sz val="10"/>
        <rFont val="Arial"/>
      </rPr>
      <t>WORKING PERMIT (GERMAN)</t>
    </r>
  </si>
  <si>
    <r>
      <rPr>
        <sz val="10"/>
        <rFont val="Arial"/>
      </rPr>
      <t>$AU$2:$AU$187</t>
    </r>
  </si>
  <si>
    <r>
      <rPr>
        <sz val="10"/>
        <rFont val="Arial"/>
      </rPr>
      <t>ADP</t>
    </r>
  </si>
  <si>
    <r>
      <rPr>
        <sz val="10"/>
        <rFont val="Arial"/>
      </rPr>
      <t>AED</t>
    </r>
  </si>
  <si>
    <r>
      <rPr>
        <sz val="10"/>
        <rFont val="Arial"/>
      </rPr>
      <t>AFA</t>
    </r>
  </si>
  <si>
    <r>
      <rPr>
        <sz val="10"/>
        <rFont val="Arial"/>
      </rPr>
      <t>ALL</t>
    </r>
  </si>
  <si>
    <r>
      <rPr>
        <sz val="10"/>
        <rFont val="Arial"/>
      </rPr>
      <t>AMD</t>
    </r>
  </si>
  <si>
    <r>
      <rPr>
        <sz val="10"/>
        <rFont val="Arial"/>
      </rPr>
      <t>ANG</t>
    </r>
  </si>
  <si>
    <r>
      <rPr>
        <sz val="10"/>
        <rFont val="Arial"/>
      </rPr>
      <t>AOK</t>
    </r>
  </si>
  <si>
    <r>
      <rPr>
        <sz val="10"/>
        <rFont val="Arial"/>
      </rPr>
      <t>ARA</t>
    </r>
  </si>
  <si>
    <r>
      <rPr>
        <sz val="10"/>
        <rFont val="Arial"/>
      </rPr>
      <t>ARS</t>
    </r>
  </si>
  <si>
    <r>
      <rPr>
        <sz val="10"/>
        <rFont val="Arial"/>
      </rPr>
      <t>ATS</t>
    </r>
  </si>
  <si>
    <r>
      <rPr>
        <sz val="10"/>
        <rFont val="Arial"/>
      </rPr>
      <t>AUD</t>
    </r>
  </si>
  <si>
    <r>
      <rPr>
        <sz val="10"/>
        <rFont val="Arial"/>
      </rPr>
      <t>AWG</t>
    </r>
  </si>
  <si>
    <r>
      <rPr>
        <sz val="10"/>
        <rFont val="Arial"/>
      </rPr>
      <t>AZM</t>
    </r>
  </si>
  <si>
    <r>
      <rPr>
        <sz val="10"/>
        <rFont val="Arial"/>
      </rPr>
      <t>BAD</t>
    </r>
  </si>
  <si>
    <r>
      <rPr>
        <sz val="10"/>
        <rFont val="Arial"/>
      </rPr>
      <t>BBD</t>
    </r>
  </si>
  <si>
    <r>
      <rPr>
        <sz val="10"/>
        <rFont val="Arial"/>
      </rPr>
      <t>BDT</t>
    </r>
  </si>
  <si>
    <r>
      <rPr>
        <sz val="10"/>
        <rFont val="Arial"/>
      </rPr>
      <t>BEF</t>
    </r>
  </si>
  <si>
    <r>
      <rPr>
        <sz val="10"/>
        <rFont val="Arial"/>
      </rPr>
      <t>BGL</t>
    </r>
  </si>
  <si>
    <r>
      <rPr>
        <sz val="10"/>
        <rFont val="Arial"/>
      </rPr>
      <t>BHD</t>
    </r>
  </si>
  <si>
    <r>
      <rPr>
        <sz val="10"/>
        <rFont val="Arial"/>
      </rPr>
      <t>BIF</t>
    </r>
  </si>
  <si>
    <r>
      <rPr>
        <sz val="10"/>
        <rFont val="Arial"/>
      </rPr>
      <t>BMD</t>
    </r>
  </si>
  <si>
    <r>
      <rPr>
        <sz val="10"/>
        <rFont val="Arial"/>
      </rPr>
      <t>BND</t>
    </r>
  </si>
  <si>
    <r>
      <rPr>
        <sz val="10"/>
        <rFont val="Arial"/>
      </rPr>
      <t>BOB</t>
    </r>
  </si>
  <si>
    <r>
      <rPr>
        <sz val="10"/>
        <rFont val="Arial"/>
      </rPr>
      <t>BRL</t>
    </r>
  </si>
  <si>
    <r>
      <rPr>
        <sz val="10"/>
        <rFont val="Arial"/>
      </rPr>
      <t>BRR</t>
    </r>
  </si>
  <si>
    <r>
      <rPr>
        <sz val="10"/>
        <rFont val="Arial"/>
      </rPr>
      <t>BSD</t>
    </r>
  </si>
  <si>
    <r>
      <rPr>
        <sz val="10"/>
        <rFont val="Arial"/>
      </rPr>
      <t>BWP</t>
    </r>
  </si>
  <si>
    <r>
      <rPr>
        <sz val="10"/>
        <rFont val="Arial"/>
      </rPr>
      <t>BYR</t>
    </r>
  </si>
  <si>
    <r>
      <rPr>
        <sz val="10"/>
        <rFont val="Arial"/>
      </rPr>
      <t>BZD</t>
    </r>
  </si>
  <si>
    <r>
      <rPr>
        <sz val="10"/>
        <rFont val="Arial"/>
      </rPr>
      <t>CAD</t>
    </r>
  </si>
  <si>
    <r>
      <rPr>
        <sz val="10"/>
        <rFont val="Arial"/>
      </rPr>
      <t>CDP</t>
    </r>
  </si>
  <si>
    <r>
      <rPr>
        <sz val="10"/>
        <rFont val="Arial"/>
      </rPr>
      <t>CHF</t>
    </r>
  </si>
  <si>
    <r>
      <rPr>
        <sz val="10"/>
        <rFont val="Arial"/>
      </rPr>
      <t>CLP</t>
    </r>
  </si>
  <si>
    <r>
      <rPr>
        <sz val="10"/>
        <rFont val="Arial"/>
      </rPr>
      <t>CNY</t>
    </r>
  </si>
  <si>
    <r>
      <rPr>
        <sz val="10"/>
        <rFont val="Arial"/>
      </rPr>
      <t>COP</t>
    </r>
  </si>
  <si>
    <r>
      <rPr>
        <sz val="10"/>
        <rFont val="Arial"/>
      </rPr>
      <t>CRC</t>
    </r>
  </si>
  <si>
    <r>
      <rPr>
        <sz val="10"/>
        <rFont val="Arial"/>
      </rPr>
      <t>CUP</t>
    </r>
  </si>
  <si>
    <r>
      <rPr>
        <sz val="10"/>
        <rFont val="Arial"/>
      </rPr>
      <t>CVE</t>
    </r>
  </si>
  <si>
    <r>
      <rPr>
        <sz val="10"/>
        <rFont val="Arial"/>
      </rPr>
      <t>CYP</t>
    </r>
  </si>
  <si>
    <r>
      <rPr>
        <sz val="10"/>
        <rFont val="Arial"/>
      </rPr>
      <t>CZK</t>
    </r>
  </si>
  <si>
    <r>
      <rPr>
        <sz val="10"/>
        <rFont val="Arial"/>
      </rPr>
      <t>DEM</t>
    </r>
  </si>
  <si>
    <r>
      <rPr>
        <sz val="10"/>
        <rFont val="Arial"/>
      </rPr>
      <t>DJF</t>
    </r>
  </si>
  <si>
    <r>
      <rPr>
        <sz val="10"/>
        <rFont val="Arial"/>
      </rPr>
      <t>DKK</t>
    </r>
  </si>
  <si>
    <r>
      <rPr>
        <sz val="10"/>
        <rFont val="Arial"/>
      </rPr>
      <t>DOP</t>
    </r>
  </si>
  <si>
    <r>
      <rPr>
        <sz val="10"/>
        <rFont val="Arial"/>
      </rPr>
      <t>DRP</t>
    </r>
  </si>
  <si>
    <r>
      <rPr>
        <sz val="10"/>
        <rFont val="Arial"/>
      </rPr>
      <t>DZD</t>
    </r>
  </si>
  <si>
    <r>
      <rPr>
        <sz val="10"/>
        <rFont val="Arial"/>
      </rPr>
      <t>ECS</t>
    </r>
  </si>
  <si>
    <r>
      <rPr>
        <sz val="10"/>
        <rFont val="Arial"/>
      </rPr>
      <t>ECU</t>
    </r>
  </si>
  <si>
    <r>
      <rPr>
        <sz val="10"/>
        <rFont val="Arial"/>
      </rPr>
      <t>EEK</t>
    </r>
  </si>
  <si>
    <r>
      <rPr>
        <sz val="10"/>
        <rFont val="Arial"/>
      </rPr>
      <t>EGP</t>
    </r>
  </si>
  <si>
    <r>
      <rPr>
        <sz val="10"/>
        <rFont val="Arial"/>
      </rPr>
      <t>ESP</t>
    </r>
  </si>
  <si>
    <r>
      <rPr>
        <sz val="10"/>
        <rFont val="Arial"/>
      </rPr>
      <t>ETB</t>
    </r>
  </si>
  <si>
    <r>
      <rPr>
        <sz val="10"/>
        <rFont val="Arial"/>
      </rPr>
      <t>EUR</t>
    </r>
  </si>
  <si>
    <r>
      <rPr>
        <sz val="10"/>
        <rFont val="Arial"/>
      </rPr>
      <t>FIM</t>
    </r>
  </si>
  <si>
    <r>
      <rPr>
        <sz val="10"/>
        <rFont val="Arial"/>
      </rPr>
      <t>FJD</t>
    </r>
  </si>
  <si>
    <r>
      <rPr>
        <sz val="10"/>
        <rFont val="Arial"/>
      </rPr>
      <t>FKP</t>
    </r>
  </si>
  <si>
    <r>
      <rPr>
        <sz val="10"/>
        <rFont val="Arial"/>
      </rPr>
      <t>FRF</t>
    </r>
  </si>
  <si>
    <r>
      <rPr>
        <sz val="10"/>
        <rFont val="Arial"/>
      </rPr>
      <t>GBP</t>
    </r>
  </si>
  <si>
    <r>
      <rPr>
        <sz val="10"/>
        <rFont val="Arial"/>
      </rPr>
      <t>GEK</t>
    </r>
  </si>
  <si>
    <r>
      <rPr>
        <sz val="10"/>
        <rFont val="Arial"/>
      </rPr>
      <t>GHC</t>
    </r>
  </si>
  <si>
    <r>
      <rPr>
        <sz val="10"/>
        <rFont val="Arial"/>
      </rPr>
      <t>GIP</t>
    </r>
  </si>
  <si>
    <r>
      <rPr>
        <sz val="10"/>
        <rFont val="Arial"/>
      </rPr>
      <t>GMD</t>
    </r>
  </si>
  <si>
    <r>
      <rPr>
        <sz val="10"/>
        <rFont val="Arial"/>
      </rPr>
      <t>GNF</t>
    </r>
  </si>
  <si>
    <r>
      <rPr>
        <sz val="10"/>
        <rFont val="Arial"/>
      </rPr>
      <t>GRD</t>
    </r>
  </si>
  <si>
    <r>
      <rPr>
        <sz val="10"/>
        <rFont val="Arial"/>
      </rPr>
      <t>GTQ</t>
    </r>
  </si>
  <si>
    <r>
      <rPr>
        <sz val="10"/>
        <rFont val="Arial"/>
      </rPr>
      <t>GWP</t>
    </r>
  </si>
  <si>
    <r>
      <rPr>
        <sz val="10"/>
        <rFont val="Arial"/>
      </rPr>
      <t>GYD</t>
    </r>
  </si>
  <si>
    <r>
      <rPr>
        <sz val="10"/>
        <rFont val="Arial"/>
      </rPr>
      <t>HKD</t>
    </r>
  </si>
  <si>
    <r>
      <rPr>
        <sz val="10"/>
        <rFont val="Arial"/>
      </rPr>
      <t>HNL</t>
    </r>
  </si>
  <si>
    <r>
      <rPr>
        <sz val="10"/>
        <rFont val="Arial"/>
      </rPr>
      <t>HRD</t>
    </r>
  </si>
  <si>
    <r>
      <rPr>
        <sz val="10"/>
        <rFont val="Arial"/>
      </rPr>
      <t>HTG</t>
    </r>
  </si>
  <si>
    <r>
      <rPr>
        <sz val="10"/>
        <rFont val="Arial"/>
      </rPr>
      <t>HUF</t>
    </r>
  </si>
  <si>
    <r>
      <rPr>
        <sz val="10"/>
        <rFont val="Arial"/>
      </rPr>
      <t>IDR</t>
    </r>
  </si>
  <si>
    <r>
      <rPr>
        <sz val="10"/>
        <rFont val="Arial"/>
      </rPr>
      <t>IEP</t>
    </r>
  </si>
  <si>
    <r>
      <rPr>
        <sz val="10"/>
        <rFont val="Arial"/>
      </rPr>
      <t>ILS</t>
    </r>
  </si>
  <si>
    <r>
      <rPr>
        <sz val="10"/>
        <rFont val="Arial"/>
      </rPr>
      <t>IQD</t>
    </r>
  </si>
  <si>
    <r>
      <rPr>
        <sz val="10"/>
        <rFont val="Arial"/>
      </rPr>
      <t>IRR</t>
    </r>
  </si>
  <si>
    <r>
      <rPr>
        <sz val="10"/>
        <rFont val="Arial"/>
      </rPr>
      <t>ISK</t>
    </r>
  </si>
  <si>
    <r>
      <rPr>
        <sz val="10"/>
        <rFont val="Arial"/>
      </rPr>
      <t>ITL</t>
    </r>
  </si>
  <si>
    <r>
      <rPr>
        <sz val="10"/>
        <rFont val="Arial"/>
      </rPr>
      <t>JMD</t>
    </r>
  </si>
  <si>
    <r>
      <rPr>
        <sz val="10"/>
        <rFont val="Arial"/>
      </rPr>
      <t>JOD</t>
    </r>
  </si>
  <si>
    <r>
      <rPr>
        <sz val="10"/>
        <rFont val="Arial"/>
      </rPr>
      <t>JPY</t>
    </r>
  </si>
  <si>
    <r>
      <rPr>
        <sz val="10"/>
        <rFont val="Arial"/>
      </rPr>
      <t>KES</t>
    </r>
  </si>
  <si>
    <r>
      <rPr>
        <sz val="10"/>
        <rFont val="Arial"/>
      </rPr>
      <t>KHR</t>
    </r>
  </si>
  <si>
    <r>
      <rPr>
        <sz val="10"/>
        <rFont val="Arial"/>
      </rPr>
      <t>KIS</t>
    </r>
  </si>
  <si>
    <r>
      <rPr>
        <sz val="10"/>
        <rFont val="Arial"/>
      </rPr>
      <t>KMF</t>
    </r>
  </si>
  <si>
    <r>
      <rPr>
        <sz val="10"/>
        <rFont val="Arial"/>
      </rPr>
      <t>KPW</t>
    </r>
  </si>
  <si>
    <r>
      <rPr>
        <sz val="10"/>
        <rFont val="Arial"/>
      </rPr>
      <t>KRW</t>
    </r>
  </si>
  <si>
    <r>
      <rPr>
        <sz val="10"/>
        <rFont val="Arial"/>
      </rPr>
      <t>KWD</t>
    </r>
  </si>
  <si>
    <r>
      <rPr>
        <sz val="10"/>
        <rFont val="Arial"/>
      </rPr>
      <t>KYD</t>
    </r>
  </si>
  <si>
    <r>
      <rPr>
        <sz val="10"/>
        <rFont val="Arial"/>
      </rPr>
      <t>KZT</t>
    </r>
  </si>
  <si>
    <r>
      <rPr>
        <sz val="10"/>
        <rFont val="Arial"/>
      </rPr>
      <t>LAK</t>
    </r>
  </si>
  <si>
    <r>
      <rPr>
        <sz val="10"/>
        <rFont val="Arial"/>
      </rPr>
      <t>LBP</t>
    </r>
  </si>
  <si>
    <r>
      <rPr>
        <sz val="10"/>
        <rFont val="Arial"/>
      </rPr>
      <t>LKR</t>
    </r>
  </si>
  <si>
    <r>
      <rPr>
        <sz val="10"/>
        <rFont val="Arial"/>
      </rPr>
      <t>LRD</t>
    </r>
  </si>
  <si>
    <r>
      <rPr>
        <sz val="10"/>
        <rFont val="Arial"/>
      </rPr>
      <t>LSL</t>
    </r>
  </si>
  <si>
    <r>
      <rPr>
        <sz val="10"/>
        <rFont val="Arial"/>
      </rPr>
      <t>LTL</t>
    </r>
  </si>
  <si>
    <r>
      <rPr>
        <sz val="10"/>
        <rFont val="Arial"/>
      </rPr>
      <t>LUF</t>
    </r>
  </si>
  <si>
    <r>
      <rPr>
        <sz val="10"/>
        <rFont val="Arial"/>
      </rPr>
      <t>LVL</t>
    </r>
  </si>
  <si>
    <r>
      <rPr>
        <sz val="10"/>
        <rFont val="Arial"/>
      </rPr>
      <t>LYD</t>
    </r>
  </si>
  <si>
    <r>
      <rPr>
        <sz val="10"/>
        <rFont val="Arial"/>
      </rPr>
      <t>MAD</t>
    </r>
  </si>
  <si>
    <r>
      <rPr>
        <sz val="10"/>
        <rFont val="Arial"/>
      </rPr>
      <t>MDL</t>
    </r>
  </si>
  <si>
    <r>
      <rPr>
        <sz val="10"/>
        <rFont val="Arial"/>
      </rPr>
      <t>MGF</t>
    </r>
  </si>
  <si>
    <r>
      <rPr>
        <sz val="10"/>
        <rFont val="Arial"/>
      </rPr>
      <t>MNC</t>
    </r>
  </si>
  <si>
    <r>
      <rPr>
        <sz val="10"/>
        <rFont val="Arial"/>
      </rPr>
      <t>MNT</t>
    </r>
  </si>
  <si>
    <r>
      <rPr>
        <sz val="10"/>
        <rFont val="Arial"/>
      </rPr>
      <t>MOP</t>
    </r>
  </si>
  <si>
    <r>
      <rPr>
        <sz val="10"/>
        <rFont val="Arial"/>
      </rPr>
      <t>MRO</t>
    </r>
  </si>
  <si>
    <r>
      <rPr>
        <sz val="10"/>
        <rFont val="Arial"/>
      </rPr>
      <t>MTL</t>
    </r>
  </si>
  <si>
    <r>
      <rPr>
        <sz val="10"/>
        <rFont val="Arial"/>
      </rPr>
      <t>MUR</t>
    </r>
  </si>
  <si>
    <r>
      <rPr>
        <sz val="10"/>
        <rFont val="Arial"/>
      </rPr>
      <t>MVR</t>
    </r>
  </si>
  <si>
    <r>
      <rPr>
        <sz val="10"/>
        <rFont val="Arial"/>
      </rPr>
      <t>MWK</t>
    </r>
  </si>
  <si>
    <r>
      <rPr>
        <sz val="10"/>
        <rFont val="Arial"/>
      </rPr>
      <t>MXN</t>
    </r>
  </si>
  <si>
    <r>
      <rPr>
        <sz val="10"/>
        <rFont val="Arial"/>
      </rPr>
      <t>MXP</t>
    </r>
  </si>
  <si>
    <r>
      <rPr>
        <sz val="10"/>
        <rFont val="Arial"/>
      </rPr>
      <t>MYR</t>
    </r>
  </si>
  <si>
    <r>
      <rPr>
        <sz val="10"/>
        <rFont val="Arial"/>
      </rPr>
      <t>MZM</t>
    </r>
  </si>
  <si>
    <r>
      <rPr>
        <sz val="10"/>
        <rFont val="Arial"/>
      </rPr>
      <t>NGN</t>
    </r>
  </si>
  <si>
    <r>
      <rPr>
        <sz val="10"/>
        <rFont val="Arial"/>
      </rPr>
      <t>NIC</t>
    </r>
  </si>
  <si>
    <r>
      <rPr>
        <sz val="10"/>
        <rFont val="Arial"/>
      </rPr>
      <t>NIO</t>
    </r>
  </si>
  <si>
    <r>
      <rPr>
        <sz val="10"/>
        <rFont val="Arial"/>
      </rPr>
      <t>NIS</t>
    </r>
  </si>
  <si>
    <r>
      <rPr>
        <sz val="10"/>
        <rFont val="Arial"/>
      </rPr>
      <t>NLG</t>
    </r>
  </si>
  <si>
    <r>
      <rPr>
        <sz val="10"/>
        <rFont val="Arial"/>
      </rPr>
      <t>NOK</t>
    </r>
  </si>
  <si>
    <r>
      <rPr>
        <sz val="10"/>
        <rFont val="Arial"/>
      </rPr>
      <t>NPR</t>
    </r>
  </si>
  <si>
    <r>
      <rPr>
        <sz val="10"/>
        <rFont val="Arial"/>
      </rPr>
      <t>NZD</t>
    </r>
  </si>
  <si>
    <r>
      <rPr>
        <sz val="10"/>
        <rFont val="Arial"/>
      </rPr>
      <t>OMR</t>
    </r>
  </si>
  <si>
    <r>
      <rPr>
        <sz val="10"/>
        <rFont val="Arial"/>
      </rPr>
      <t>PAB</t>
    </r>
  </si>
  <si>
    <r>
      <rPr>
        <sz val="10"/>
        <rFont val="Arial"/>
      </rPr>
      <t>PEI</t>
    </r>
  </si>
  <si>
    <r>
      <rPr>
        <sz val="10"/>
        <rFont val="Arial"/>
      </rPr>
      <t>PEN</t>
    </r>
  </si>
  <si>
    <r>
      <rPr>
        <sz val="10"/>
        <rFont val="Arial"/>
      </rPr>
      <t>PES</t>
    </r>
  </si>
  <si>
    <r>
      <rPr>
        <sz val="10"/>
        <rFont val="Arial"/>
      </rPr>
      <t>PGK</t>
    </r>
  </si>
  <si>
    <r>
      <rPr>
        <sz val="10"/>
        <rFont val="Arial"/>
      </rPr>
      <t>PHP</t>
    </r>
  </si>
  <si>
    <r>
      <rPr>
        <sz val="10"/>
        <rFont val="Arial"/>
      </rPr>
      <t>PKR</t>
    </r>
  </si>
  <si>
    <r>
      <rPr>
        <sz val="10"/>
        <rFont val="Arial"/>
      </rPr>
      <t>PLN</t>
    </r>
  </si>
  <si>
    <r>
      <rPr>
        <sz val="10"/>
        <rFont val="Arial"/>
      </rPr>
      <t>PLZ</t>
    </r>
  </si>
  <si>
    <r>
      <rPr>
        <sz val="10"/>
        <rFont val="Arial"/>
      </rPr>
      <t>PTE</t>
    </r>
  </si>
  <si>
    <r>
      <rPr>
        <sz val="10"/>
        <rFont val="Arial"/>
      </rPr>
      <t>PYG</t>
    </r>
  </si>
  <si>
    <r>
      <rPr>
        <sz val="10"/>
        <rFont val="Arial"/>
      </rPr>
      <t>QAR</t>
    </r>
  </si>
  <si>
    <r>
      <rPr>
        <sz val="10"/>
        <rFont val="Arial"/>
      </rPr>
      <t>RMB</t>
    </r>
  </si>
  <si>
    <r>
      <rPr>
        <sz val="10"/>
        <rFont val="Arial"/>
      </rPr>
      <t>ROL</t>
    </r>
  </si>
  <si>
    <r>
      <rPr>
        <sz val="10"/>
        <rFont val="Arial"/>
      </rPr>
      <t>RUR</t>
    </r>
  </si>
  <si>
    <r>
      <rPr>
        <sz val="10"/>
        <rFont val="Arial"/>
      </rPr>
      <t>RWF</t>
    </r>
  </si>
  <si>
    <r>
      <rPr>
        <sz val="10"/>
        <rFont val="Arial"/>
      </rPr>
      <t>SAR</t>
    </r>
  </si>
  <si>
    <r>
      <rPr>
        <sz val="10"/>
        <rFont val="Arial"/>
      </rPr>
      <t>SBD</t>
    </r>
  </si>
  <si>
    <r>
      <rPr>
        <sz val="10"/>
        <rFont val="Arial"/>
      </rPr>
      <t>SCR</t>
    </r>
  </si>
  <si>
    <r>
      <rPr>
        <sz val="10"/>
        <rFont val="Arial"/>
      </rPr>
      <t>SDP</t>
    </r>
  </si>
  <si>
    <r>
      <rPr>
        <sz val="10"/>
        <rFont val="Arial"/>
      </rPr>
      <t>SEK</t>
    </r>
  </si>
  <si>
    <r>
      <rPr>
        <sz val="10"/>
        <rFont val="Arial"/>
      </rPr>
      <t>SGD</t>
    </r>
  </si>
  <si>
    <r>
      <rPr>
        <sz val="10"/>
        <rFont val="Arial"/>
      </rPr>
      <t>SHP</t>
    </r>
  </si>
  <si>
    <r>
      <rPr>
        <sz val="10"/>
        <rFont val="Arial"/>
      </rPr>
      <t>SIT</t>
    </r>
  </si>
  <si>
    <r>
      <rPr>
        <sz val="10"/>
        <rFont val="Arial"/>
      </rPr>
      <t>SKK</t>
    </r>
  </si>
  <si>
    <r>
      <rPr>
        <sz val="10"/>
        <rFont val="Arial"/>
      </rPr>
      <t>SLL</t>
    </r>
  </si>
  <si>
    <r>
      <rPr>
        <sz val="10"/>
        <rFont val="Arial"/>
      </rPr>
      <t>SOL</t>
    </r>
  </si>
  <si>
    <r>
      <rPr>
        <sz val="10"/>
        <rFont val="Arial"/>
      </rPr>
      <t>SOS</t>
    </r>
  </si>
  <si>
    <r>
      <rPr>
        <sz val="10"/>
        <rFont val="Arial"/>
      </rPr>
      <t>SRG</t>
    </r>
  </si>
  <si>
    <r>
      <rPr>
        <sz val="10"/>
        <rFont val="Arial"/>
      </rPr>
      <t>STD</t>
    </r>
  </si>
  <si>
    <r>
      <rPr>
        <sz val="10"/>
        <rFont val="Arial"/>
      </rPr>
      <t>STP</t>
    </r>
  </si>
  <si>
    <r>
      <rPr>
        <sz val="10"/>
        <rFont val="Arial"/>
      </rPr>
      <t>SUR</t>
    </r>
  </si>
  <si>
    <r>
      <rPr>
        <sz val="10"/>
        <rFont val="Arial"/>
      </rPr>
      <t>SVC</t>
    </r>
  </si>
  <si>
    <r>
      <rPr>
        <sz val="10"/>
        <rFont val="Arial"/>
      </rPr>
      <t>SYP</t>
    </r>
  </si>
  <si>
    <r>
      <rPr>
        <sz val="10"/>
        <rFont val="Arial"/>
      </rPr>
      <t>SZL</t>
    </r>
  </si>
  <si>
    <r>
      <rPr>
        <sz val="10"/>
        <rFont val="Arial"/>
      </rPr>
      <t>THB</t>
    </r>
  </si>
  <si>
    <r>
      <rPr>
        <sz val="10"/>
        <rFont val="Arial"/>
      </rPr>
      <t>TJR</t>
    </r>
  </si>
  <si>
    <r>
      <rPr>
        <sz val="10"/>
        <rFont val="Arial"/>
      </rPr>
      <t>TMM</t>
    </r>
  </si>
  <si>
    <r>
      <rPr>
        <sz val="10"/>
        <rFont val="Arial"/>
      </rPr>
      <t>TND</t>
    </r>
  </si>
  <si>
    <r>
      <rPr>
        <sz val="10"/>
        <rFont val="Arial"/>
      </rPr>
      <t>TOP</t>
    </r>
  </si>
  <si>
    <r>
      <rPr>
        <sz val="10"/>
        <rFont val="Arial"/>
      </rPr>
      <t>TPE</t>
    </r>
  </si>
  <si>
    <r>
      <rPr>
        <sz val="10"/>
        <rFont val="Arial"/>
      </rPr>
      <t>TRL</t>
    </r>
  </si>
  <si>
    <r>
      <rPr>
        <sz val="10"/>
        <rFont val="Arial"/>
      </rPr>
      <t>TTD</t>
    </r>
  </si>
  <si>
    <r>
      <rPr>
        <sz val="10"/>
        <rFont val="Arial"/>
      </rPr>
      <t>TWD</t>
    </r>
  </si>
  <si>
    <r>
      <rPr>
        <sz val="10"/>
        <rFont val="Arial"/>
      </rPr>
      <t>TZS</t>
    </r>
  </si>
  <si>
    <r>
      <rPr>
        <sz val="10"/>
        <rFont val="Arial"/>
      </rPr>
      <t>UAK</t>
    </r>
  </si>
  <si>
    <r>
      <rPr>
        <sz val="10"/>
        <rFont val="Arial"/>
      </rPr>
      <t>UGS</t>
    </r>
  </si>
  <si>
    <r>
      <rPr>
        <sz val="10"/>
        <rFont val="Arial"/>
      </rPr>
      <t>USD</t>
    </r>
  </si>
  <si>
    <r>
      <rPr>
        <sz val="10"/>
        <rFont val="Arial"/>
      </rPr>
      <t>UYP</t>
    </r>
  </si>
  <si>
    <r>
      <rPr>
        <sz val="10"/>
        <rFont val="Arial"/>
      </rPr>
      <t>UYU</t>
    </r>
  </si>
  <si>
    <r>
      <rPr>
        <sz val="10"/>
        <rFont val="Arial"/>
      </rPr>
      <t>VEB</t>
    </r>
  </si>
  <si>
    <r>
      <rPr>
        <sz val="10"/>
        <rFont val="Arial"/>
      </rPr>
      <t>VND</t>
    </r>
  </si>
  <si>
    <r>
      <rPr>
        <sz val="10"/>
        <rFont val="Arial"/>
      </rPr>
      <t>VUV</t>
    </r>
  </si>
  <si>
    <r>
      <rPr>
        <sz val="10"/>
        <rFont val="Arial"/>
      </rPr>
      <t>WST</t>
    </r>
  </si>
  <si>
    <r>
      <rPr>
        <sz val="10"/>
        <rFont val="Arial"/>
      </rPr>
      <t>XAF</t>
    </r>
  </si>
  <si>
    <r>
      <rPr>
        <sz val="10"/>
        <rFont val="Arial"/>
      </rPr>
      <t>XCD</t>
    </r>
  </si>
  <si>
    <r>
      <rPr>
        <sz val="10"/>
        <rFont val="Arial"/>
      </rPr>
      <t>XOF</t>
    </r>
  </si>
  <si>
    <r>
      <rPr>
        <sz val="10"/>
        <rFont val="Arial"/>
      </rPr>
      <t>YER</t>
    </r>
  </si>
  <si>
    <r>
      <rPr>
        <sz val="10"/>
        <rFont val="Arial"/>
      </rPr>
      <t>ZAR</t>
    </r>
  </si>
  <si>
    <r>
      <rPr>
        <sz val="10"/>
        <rFont val="Arial"/>
      </rPr>
      <t>ZMK</t>
    </r>
  </si>
  <si>
    <r>
      <rPr>
        <sz val="10"/>
        <rFont val="Arial"/>
      </rPr>
      <t>ZRZ</t>
    </r>
  </si>
  <si>
    <r>
      <rPr>
        <sz val="10"/>
        <rFont val="Arial"/>
      </rPr>
      <t>ZWD</t>
    </r>
  </si>
  <si>
    <r>
      <rPr>
        <sz val="10"/>
        <rFont val="Arial"/>
      </rPr>
      <t>$AT$2:$AT$34</t>
    </r>
  </si>
  <si>
    <r>
      <rPr>
        <sz val="10"/>
        <rFont val="Arial"/>
      </rPr>
      <t>$AV$2:$AV$45</t>
    </r>
  </si>
  <si>
    <r>
      <rPr>
        <sz val="10"/>
        <rFont val="Arial"/>
      </rPr>
      <t>BY MUTUAL AGREEMENT</t>
    </r>
  </si>
  <si>
    <r>
      <rPr>
        <sz val="10"/>
        <rFont val="Arial"/>
      </rPr>
      <t>CHANGE OF CONTRACT</t>
    </r>
  </si>
  <si>
    <r>
      <rPr>
        <sz val="10"/>
        <rFont val="Arial"/>
      </rPr>
      <t>CHANGE OF MANAGEMENT</t>
    </r>
  </si>
  <si>
    <r>
      <rPr>
        <sz val="10"/>
        <rFont val="Arial"/>
      </rPr>
      <t>CHANGE OF OWNER</t>
    </r>
  </si>
  <si>
    <r>
      <rPr>
        <sz val="10"/>
        <rFont val="Arial"/>
      </rPr>
      <t>CHEAPER FLIGHTS</t>
    </r>
  </si>
  <si>
    <r>
      <rPr>
        <sz val="10"/>
        <rFont val="Arial"/>
      </rPr>
      <t>CLIENT - REQUEST</t>
    </r>
  </si>
  <si>
    <r>
      <rPr>
        <sz val="10"/>
        <rFont val="Arial"/>
      </rPr>
      <t>COMPASSIONATE GROUND</t>
    </r>
  </si>
  <si>
    <r>
      <rPr>
        <sz val="10"/>
        <rFont val="Arial"/>
      </rPr>
      <t>CREW - REQUEST</t>
    </r>
  </si>
  <si>
    <r>
      <rPr>
        <sz val="10"/>
        <rFont val="Arial"/>
      </rPr>
      <t>DEMOTION</t>
    </r>
  </si>
  <si>
    <r>
      <rPr>
        <sz val="10"/>
        <rFont val="Arial"/>
      </rPr>
      <t>DESERTION</t>
    </r>
  </si>
  <si>
    <r>
      <rPr>
        <sz val="10"/>
        <rFont val="Arial"/>
      </rPr>
      <t>DIRECT EMPLOYMENT OW</t>
    </r>
  </si>
  <si>
    <r>
      <rPr>
        <sz val="10"/>
        <rFont val="Arial"/>
      </rPr>
      <t>DISMISSAL</t>
    </r>
  </si>
  <si>
    <r>
      <rPr>
        <sz val="10"/>
        <rFont val="Arial"/>
      </rPr>
      <t>DOMESTIC REASON</t>
    </r>
  </si>
  <si>
    <r>
      <rPr>
        <sz val="10"/>
        <rFont val="Arial"/>
      </rPr>
      <t>EARLY RELIEF</t>
    </r>
  </si>
  <si>
    <r>
      <rPr>
        <sz val="10"/>
        <rFont val="Arial"/>
      </rPr>
      <t>END OF CONTRACT</t>
    </r>
  </si>
  <si>
    <r>
      <rPr>
        <sz val="10"/>
        <rFont val="Arial"/>
      </rPr>
      <t>END PROBATIONARY PER</t>
    </r>
  </si>
  <si>
    <r>
      <rPr>
        <sz val="10"/>
        <rFont val="Arial"/>
      </rPr>
      <t>EXAMS</t>
    </r>
  </si>
  <si>
    <r>
      <rPr>
        <sz val="10"/>
        <rFont val="Arial"/>
      </rPr>
      <t>FAMILY PROBLEM</t>
    </r>
  </si>
  <si>
    <r>
      <rPr>
        <sz val="10"/>
        <rFont val="Arial"/>
      </rPr>
      <t>MANAGER - REQUEST</t>
    </r>
  </si>
  <si>
    <r>
      <rPr>
        <sz val="10"/>
        <rFont val="Arial"/>
      </rPr>
      <t>MASTER'S REQUEST</t>
    </r>
  </si>
  <si>
    <r>
      <rPr>
        <sz val="10"/>
        <rFont val="Arial"/>
      </rPr>
      <t>NOT APPLICABLE</t>
    </r>
  </si>
  <si>
    <r>
      <rPr>
        <sz val="10"/>
        <rFont val="Arial"/>
      </rPr>
      <t>OFFICE REQUEST</t>
    </r>
  </si>
  <si>
    <r>
      <rPr>
        <sz val="10"/>
        <rFont val="Arial"/>
      </rPr>
      <t>P&amp;I ACCIDENT</t>
    </r>
  </si>
  <si>
    <r>
      <rPr>
        <sz val="10"/>
        <rFont val="Arial"/>
      </rPr>
      <t>P&amp;I DEATH</t>
    </r>
  </si>
  <si>
    <r>
      <rPr>
        <sz val="10"/>
        <rFont val="Arial"/>
      </rPr>
      <t>P&amp;I SICK</t>
    </r>
  </si>
  <si>
    <r>
      <rPr>
        <sz val="10"/>
        <rFont val="Arial"/>
      </rPr>
      <t>PASSPORT EXPIRING</t>
    </r>
  </si>
  <si>
    <r>
      <rPr>
        <sz val="10"/>
        <rFont val="Arial"/>
      </rPr>
      <t>POOR PERFORMANCE</t>
    </r>
  </si>
  <si>
    <r>
      <rPr>
        <sz val="10"/>
        <rFont val="Arial"/>
      </rPr>
      <t>PROMOTION</t>
    </r>
  </si>
  <si>
    <r>
      <rPr>
        <sz val="10"/>
        <rFont val="Arial"/>
      </rPr>
      <t>SHORT CONTRACT</t>
    </r>
  </si>
  <si>
    <r>
      <rPr>
        <sz val="10"/>
        <rFont val="Arial"/>
      </rPr>
      <t>TRANSFER</t>
    </r>
  </si>
  <si>
    <r>
      <rPr>
        <sz val="10"/>
        <rFont val="Arial"/>
      </rPr>
      <t>TRANSFER CLIENT REQ.</t>
    </r>
  </si>
  <si>
    <r>
      <rPr>
        <sz val="10"/>
        <rFont val="Arial"/>
      </rPr>
      <t>TRANSFER CREW REQ.</t>
    </r>
  </si>
  <si>
    <r>
      <rPr>
        <sz val="10"/>
        <rFont val="Arial"/>
      </rPr>
      <t>TRANSFER MANAGER REQ</t>
    </r>
  </si>
  <si>
    <r>
      <rPr>
        <sz val="10"/>
        <rFont val="Arial"/>
      </rPr>
      <t>VESSEL ABANDONED</t>
    </r>
  </si>
  <si>
    <r>
      <rPr>
        <sz val="10"/>
        <rFont val="Arial"/>
      </rPr>
      <t>VESSEL GROUNDED</t>
    </r>
  </si>
  <si>
    <r>
      <rPr>
        <sz val="10"/>
        <rFont val="Arial"/>
      </rPr>
      <t>VESSEL HIJAKED</t>
    </r>
  </si>
  <si>
    <r>
      <rPr>
        <sz val="10"/>
        <rFont val="Arial"/>
      </rPr>
      <t>VESSEL LAY UP</t>
    </r>
  </si>
  <si>
    <r>
      <rPr>
        <sz val="10"/>
        <rFont val="Arial"/>
      </rPr>
      <t>VESSEL LEAVING MGMT.</t>
    </r>
  </si>
  <si>
    <r>
      <rPr>
        <sz val="10"/>
        <rFont val="Arial"/>
      </rPr>
      <t>VESSEL NAME CHANGED</t>
    </r>
  </si>
  <si>
    <r>
      <rPr>
        <sz val="10"/>
        <rFont val="Arial"/>
      </rPr>
      <t>VESSEL SCRAPPED</t>
    </r>
  </si>
  <si>
    <r>
      <rPr>
        <sz val="10"/>
        <rFont val="Arial"/>
      </rPr>
      <t>VESSEL SOLD</t>
    </r>
  </si>
  <si>
    <r>
      <rPr>
        <sz val="10"/>
        <rFont val="Arial"/>
      </rPr>
      <t>WAR ZONE ENTRY</t>
    </r>
  </si>
  <si>
    <r>
      <rPr>
        <sz val="10"/>
        <rFont val="Arial"/>
      </rPr>
      <t>$AW$2:$AW$672</t>
    </r>
  </si>
  <si>
    <r>
      <rPr>
        <sz val="10"/>
        <rFont val="Arial"/>
      </rPr>
      <t>10 AL 25</t>
    </r>
  </si>
  <si>
    <r>
      <rPr>
        <sz val="10"/>
        <rFont val="Arial"/>
      </rPr>
      <t>10 RND 68</t>
    </r>
  </si>
  <si>
    <r>
      <rPr>
        <sz val="10"/>
        <rFont val="Arial"/>
      </rPr>
      <t>10 RND 90</t>
    </r>
  </si>
  <si>
    <r>
      <rPr>
        <sz val="10"/>
        <rFont val="Arial"/>
      </rPr>
      <t>10 UEC 85/180D</t>
    </r>
  </si>
  <si>
    <r>
      <rPr>
        <sz val="10"/>
        <rFont val="Arial"/>
      </rPr>
      <t>10 UEC 85/180E</t>
    </r>
  </si>
  <si>
    <r>
      <rPr>
        <sz val="10"/>
        <rFont val="Arial"/>
      </rPr>
      <t>10K90MC</t>
    </r>
  </si>
  <si>
    <r>
      <rPr>
        <sz val="10"/>
        <rFont val="Arial"/>
      </rPr>
      <t>10PC4-2V-570</t>
    </r>
  </si>
  <si>
    <r>
      <rPr>
        <sz val="10"/>
        <rFont val="Arial"/>
      </rPr>
      <t>10V 23 L/VO</t>
    </r>
  </si>
  <si>
    <r>
      <rPr>
        <sz val="10"/>
        <rFont val="Arial"/>
      </rPr>
      <t>10V23L-VO</t>
    </r>
  </si>
  <si>
    <r>
      <rPr>
        <sz val="10"/>
        <rFont val="Arial"/>
      </rPr>
      <t>11K90KF</t>
    </r>
  </si>
  <si>
    <r>
      <rPr>
        <sz val="10"/>
        <rFont val="Arial"/>
      </rPr>
      <t>12 M281 AK</t>
    </r>
  </si>
  <si>
    <r>
      <rPr>
        <sz val="10"/>
        <rFont val="Arial"/>
      </rPr>
      <t>12 M282</t>
    </r>
  </si>
  <si>
    <r>
      <rPr>
        <sz val="10"/>
        <rFont val="Arial"/>
      </rPr>
      <t>12 M282 AK</t>
    </r>
  </si>
  <si>
    <r>
      <rPr>
        <sz val="10"/>
        <rFont val="Arial"/>
      </rPr>
      <t>12 M453 AK</t>
    </r>
  </si>
  <si>
    <r>
      <rPr>
        <sz val="10"/>
        <rFont val="Arial"/>
      </rPr>
      <t>12 M453 B/C</t>
    </r>
  </si>
  <si>
    <r>
      <rPr>
        <sz val="10"/>
        <rFont val="Arial"/>
      </rPr>
      <t>12 M551 AK</t>
    </r>
  </si>
  <si>
    <r>
      <rPr>
        <sz val="10"/>
        <rFont val="Arial"/>
      </rPr>
      <t>12 M552</t>
    </r>
  </si>
  <si>
    <r>
      <rPr>
        <sz val="10"/>
        <rFont val="Arial"/>
      </rPr>
      <t>12 UEC 85/180D</t>
    </r>
  </si>
  <si>
    <r>
      <rPr>
        <sz val="10"/>
        <rFont val="Arial"/>
      </rPr>
      <t>12 UEC 85/180E</t>
    </r>
  </si>
  <si>
    <r>
      <rPr>
        <sz val="10"/>
        <rFont val="Arial"/>
      </rPr>
      <t>12 UEV 30/40C</t>
    </r>
  </si>
  <si>
    <r>
      <rPr>
        <sz val="10"/>
        <rFont val="Arial"/>
      </rPr>
      <t>12 UEV 42/56C</t>
    </r>
  </si>
  <si>
    <r>
      <rPr>
        <sz val="10"/>
        <rFont val="Arial"/>
      </rPr>
      <t>12K 90MC</t>
    </r>
  </si>
  <si>
    <r>
      <rPr>
        <sz val="10"/>
        <rFont val="Arial"/>
      </rPr>
      <t>12K 98MC-C</t>
    </r>
  </si>
  <si>
    <r>
      <rPr>
        <sz val="10"/>
        <rFont val="Arial"/>
      </rPr>
      <t>12PC2-5V-400</t>
    </r>
  </si>
  <si>
    <r>
      <rPr>
        <sz val="10"/>
        <rFont val="Arial"/>
      </rPr>
      <t>12V32D</t>
    </r>
  </si>
  <si>
    <r>
      <rPr>
        <sz val="10"/>
        <rFont val="Arial"/>
      </rPr>
      <t>14 V40/54A</t>
    </r>
  </si>
  <si>
    <r>
      <rPr>
        <sz val="10"/>
        <rFont val="Arial"/>
      </rPr>
      <t>14 V52/55</t>
    </r>
  </si>
  <si>
    <r>
      <rPr>
        <sz val="10"/>
        <rFont val="Arial"/>
      </rPr>
      <t>14V52/55A</t>
    </r>
  </si>
  <si>
    <r>
      <rPr>
        <sz val="10"/>
        <rFont val="Arial"/>
      </rPr>
      <t>16 M453 B</t>
    </r>
  </si>
  <si>
    <r>
      <rPr>
        <sz val="10"/>
        <rFont val="Arial"/>
      </rPr>
      <t>16 M551 AK</t>
    </r>
  </si>
  <si>
    <r>
      <rPr>
        <sz val="10"/>
        <rFont val="Arial"/>
      </rPr>
      <t>16 PC2V</t>
    </r>
  </si>
  <si>
    <r>
      <rPr>
        <sz val="10"/>
        <rFont val="Arial"/>
      </rPr>
      <t>16 UEV 30/40C</t>
    </r>
  </si>
  <si>
    <r>
      <rPr>
        <sz val="10"/>
        <rFont val="Arial"/>
      </rPr>
      <t>16 UEV 42/56C</t>
    </r>
  </si>
  <si>
    <r>
      <rPr>
        <sz val="10"/>
        <rFont val="Arial"/>
      </rPr>
      <t>16PC2-2V-400</t>
    </r>
  </si>
  <si>
    <r>
      <rPr>
        <sz val="10"/>
        <rFont val="Arial"/>
      </rPr>
      <t>16V22</t>
    </r>
  </si>
  <si>
    <r>
      <rPr>
        <sz val="10"/>
        <rFont val="Arial"/>
      </rPr>
      <t>18 PC2 5</t>
    </r>
  </si>
  <si>
    <r>
      <rPr>
        <sz val="10"/>
        <rFont val="Arial"/>
      </rPr>
      <t>18 UEV 30/40C</t>
    </r>
  </si>
  <si>
    <r>
      <rPr>
        <sz val="10"/>
        <rFont val="Arial"/>
      </rPr>
      <t>18 UEV 42/56C</t>
    </r>
  </si>
  <si>
    <r>
      <rPr>
        <sz val="10"/>
        <rFont val="Arial"/>
      </rPr>
      <t>18 V40/54</t>
    </r>
  </si>
  <si>
    <r>
      <rPr>
        <sz val="10"/>
        <rFont val="Arial"/>
      </rPr>
      <t>18V23L</t>
    </r>
  </si>
  <si>
    <r>
      <rPr>
        <sz val="10"/>
        <rFont val="Arial"/>
      </rPr>
      <t>2 CSA</t>
    </r>
  </si>
  <si>
    <r>
      <rPr>
        <sz val="10"/>
        <rFont val="Arial"/>
      </rPr>
      <t>2 OIL 2SA</t>
    </r>
  </si>
  <si>
    <r>
      <rPr>
        <sz val="10"/>
        <rFont val="Arial"/>
      </rPr>
      <t>2.16ZVB40/48</t>
    </r>
  </si>
  <si>
    <r>
      <rPr>
        <sz val="10"/>
        <rFont val="Arial"/>
      </rPr>
      <t>2.5 PCV 16</t>
    </r>
  </si>
  <si>
    <r>
      <rPr>
        <sz val="10"/>
        <rFont val="Arial"/>
      </rPr>
      <t>3 RND 90</t>
    </r>
  </si>
  <si>
    <r>
      <rPr>
        <sz val="10"/>
        <rFont val="Arial"/>
      </rPr>
      <t>310HD</t>
    </r>
  </si>
  <si>
    <r>
      <rPr>
        <sz val="10"/>
        <rFont val="Arial"/>
      </rPr>
      <t>4 M351</t>
    </r>
  </si>
  <si>
    <r>
      <rPr>
        <sz val="10"/>
        <rFont val="Arial"/>
      </rPr>
      <t>4 M351 A</t>
    </r>
  </si>
  <si>
    <r>
      <rPr>
        <sz val="10"/>
        <rFont val="Arial"/>
      </rPr>
      <t>4 M351 AK</t>
    </r>
  </si>
  <si>
    <r>
      <rPr>
        <sz val="10"/>
        <rFont val="Arial"/>
      </rPr>
      <t>4L 60MCE</t>
    </r>
  </si>
  <si>
    <r>
      <rPr>
        <sz val="10"/>
        <rFont val="Arial"/>
      </rPr>
      <t>4RLA90</t>
    </r>
  </si>
  <si>
    <r>
      <rPr>
        <sz val="10"/>
        <rFont val="Arial"/>
      </rPr>
      <t>5 GA 67</t>
    </r>
  </si>
  <si>
    <r>
      <rPr>
        <sz val="10"/>
        <rFont val="Arial"/>
      </rPr>
      <t>5 RLA 56</t>
    </r>
  </si>
  <si>
    <r>
      <rPr>
        <sz val="10"/>
        <rFont val="Arial"/>
      </rPr>
      <t>5 RND 68</t>
    </r>
  </si>
  <si>
    <r>
      <rPr>
        <sz val="10"/>
        <rFont val="Arial"/>
      </rPr>
      <t>5 RND 76M</t>
    </r>
  </si>
  <si>
    <r>
      <rPr>
        <sz val="10"/>
        <rFont val="Arial"/>
      </rPr>
      <t>5/6 RD 58</t>
    </r>
  </si>
  <si>
    <r>
      <rPr>
        <sz val="10"/>
        <rFont val="Arial"/>
      </rPr>
      <t>501 TB</t>
    </r>
  </si>
  <si>
    <r>
      <rPr>
        <sz val="10"/>
        <rFont val="Arial"/>
      </rPr>
      <t>5K 62 EF</t>
    </r>
  </si>
  <si>
    <r>
      <rPr>
        <sz val="10"/>
        <rFont val="Arial"/>
      </rPr>
      <t>5L 50MC</t>
    </r>
  </si>
  <si>
    <r>
      <rPr>
        <sz val="10"/>
        <rFont val="Arial"/>
      </rPr>
      <t>5L 55 GFCA</t>
    </r>
  </si>
  <si>
    <r>
      <rPr>
        <sz val="10"/>
        <rFont val="Arial"/>
      </rPr>
      <t>5L 55G FCA</t>
    </r>
  </si>
  <si>
    <r>
      <rPr>
        <sz val="10"/>
        <rFont val="Arial"/>
      </rPr>
      <t>5L 60 MC</t>
    </r>
  </si>
  <si>
    <r>
      <rPr>
        <sz val="10"/>
        <rFont val="Arial"/>
      </rPr>
      <t>5L 67 GFCA</t>
    </r>
  </si>
  <si>
    <r>
      <rPr>
        <sz val="10"/>
        <rFont val="Arial"/>
      </rPr>
      <t>5L 80 GFCA</t>
    </r>
  </si>
  <si>
    <r>
      <rPr>
        <sz val="10"/>
        <rFont val="Arial"/>
      </rPr>
      <t>5L 80GFC 7</t>
    </r>
  </si>
  <si>
    <r>
      <rPr>
        <sz val="10"/>
        <rFont val="Arial"/>
      </rPr>
      <t>5L 90GBE</t>
    </r>
  </si>
  <si>
    <r>
      <rPr>
        <sz val="10"/>
        <rFont val="Arial"/>
      </rPr>
      <t>5L60MC</t>
    </r>
  </si>
  <si>
    <r>
      <rPr>
        <sz val="10"/>
        <rFont val="Arial"/>
      </rPr>
      <t>5L80MCE</t>
    </r>
  </si>
  <si>
    <r>
      <rPr>
        <sz val="10"/>
        <rFont val="Arial"/>
      </rPr>
      <t>5L90GFCA</t>
    </r>
  </si>
  <si>
    <r>
      <rPr>
        <sz val="10"/>
        <rFont val="Arial"/>
      </rPr>
      <t>5RLB90</t>
    </r>
  </si>
  <si>
    <r>
      <rPr>
        <sz val="10"/>
        <rFont val="Arial"/>
      </rPr>
      <t>5RTA 38</t>
    </r>
  </si>
  <si>
    <r>
      <rPr>
        <sz val="10"/>
        <rFont val="Arial"/>
      </rPr>
      <t>5RTA 72</t>
    </r>
  </si>
  <si>
    <r>
      <rPr>
        <sz val="10"/>
        <rFont val="Arial"/>
      </rPr>
      <t>5S50MC</t>
    </r>
  </si>
  <si>
    <r>
      <rPr>
        <sz val="10"/>
        <rFont val="Arial"/>
      </rPr>
      <t>5S60MC</t>
    </r>
  </si>
  <si>
    <r>
      <rPr>
        <sz val="10"/>
        <rFont val="Arial"/>
      </rPr>
      <t>5S60MC-C</t>
    </r>
  </si>
  <si>
    <r>
      <rPr>
        <sz val="10"/>
        <rFont val="Arial"/>
      </rPr>
      <t>5UEC33LSII</t>
    </r>
  </si>
  <si>
    <r>
      <rPr>
        <sz val="10"/>
        <rFont val="Arial"/>
      </rPr>
      <t>5UEC60LS</t>
    </r>
  </si>
  <si>
    <r>
      <rPr>
        <sz val="10"/>
        <rFont val="Arial"/>
      </rPr>
      <t>6 M281</t>
    </r>
  </si>
  <si>
    <r>
      <rPr>
        <sz val="10"/>
        <rFont val="Arial"/>
      </rPr>
      <t>6 M281 A</t>
    </r>
  </si>
  <si>
    <r>
      <rPr>
        <sz val="10"/>
        <rFont val="Arial"/>
      </rPr>
      <t>6 M281 AK</t>
    </r>
  </si>
  <si>
    <r>
      <rPr>
        <b/>
        <sz val="10"/>
        <color indexed="8"/>
        <rFont val="Arial"/>
        <family val="2"/>
      </rPr>
      <t>Description / Описание</t>
    </r>
  </si>
  <si>
    <r>
      <rPr>
        <b/>
        <sz val="10"/>
        <color indexed="8"/>
        <rFont val="Arial"/>
        <family val="2"/>
      </rPr>
      <t>PERSONAL DESCRIPTION AND INFORMATION / ПЕРСОНАЛЬНЫЕ ДАННЫЕ И ИНФОРМАЦИЯ</t>
    </r>
  </si>
  <si>
    <r>
      <rPr>
        <b/>
        <sz val="10"/>
        <color indexed="8"/>
        <rFont val="Arial"/>
        <family val="2"/>
      </rPr>
      <t>First / Имя:</t>
    </r>
  </si>
  <si>
    <r>
      <rPr>
        <b/>
        <sz val="10"/>
        <color indexed="8"/>
        <rFont val="Arial"/>
        <family val="2"/>
      </rPr>
      <t>Date / Дата:</t>
    </r>
  </si>
  <si>
    <r>
      <rPr>
        <b/>
        <sz val="9"/>
        <color indexed="8"/>
        <rFont val="Arial"/>
        <family val="2"/>
      </rPr>
      <t>Nationality / Национальная принадлежность:</t>
    </r>
  </si>
  <si>
    <r>
      <rPr>
        <b/>
        <sz val="9"/>
        <color indexed="8"/>
        <rFont val="Arial"/>
        <family val="2"/>
      </rPr>
      <t>Type / Тип:</t>
    </r>
  </si>
  <si>
    <r>
      <rPr>
        <b/>
        <sz val="9"/>
        <color indexed="8"/>
        <rFont val="Arial"/>
        <family val="2"/>
      </rPr>
      <t xml:space="preserve">STD Code / Код STD </t>
    </r>
  </si>
  <si>
    <r>
      <rPr>
        <b/>
        <sz val="10"/>
        <color indexed="8"/>
        <rFont val="Arial"/>
        <family val="2"/>
      </rPr>
      <t xml:space="preserve">Res. / Местожительство </t>
    </r>
  </si>
  <si>
    <r>
      <rPr>
        <b/>
        <sz val="10"/>
        <color indexed="8"/>
        <rFont val="Arial"/>
        <family val="2"/>
      </rPr>
      <t>Fax / Факс:</t>
    </r>
  </si>
  <si>
    <r>
      <rPr>
        <b/>
        <sz val="9"/>
        <color indexed="8"/>
        <rFont val="Arial"/>
        <family val="2"/>
      </rPr>
      <t>Mobile / Мобильный:</t>
    </r>
  </si>
  <si>
    <r>
      <rPr>
        <b/>
        <sz val="9"/>
        <color indexed="8"/>
        <rFont val="Arial"/>
        <family val="2"/>
      </rPr>
      <t>Email / Электронная почта</t>
    </r>
  </si>
  <si>
    <r>
      <rPr>
        <b/>
        <sz val="8"/>
        <color indexed="8"/>
        <rFont val="Arial"/>
        <family val="2"/>
      </rPr>
      <t>Relation / Родство</t>
    </r>
  </si>
  <si>
    <r>
      <rPr>
        <b/>
        <sz val="8"/>
        <color indexed="8"/>
        <rFont val="Arial"/>
        <family val="2"/>
      </rPr>
      <t>ECNR / ECNR</t>
    </r>
  </si>
  <si>
    <r>
      <rPr>
        <b/>
        <sz val="10"/>
        <color indexed="8"/>
        <rFont val="Arial"/>
        <family val="2"/>
      </rPr>
      <t>COURSES AND CERTIFICATES / КУРСЫ И СЕРТИФИКАТЫ</t>
    </r>
  </si>
  <si>
    <r>
      <rPr>
        <b/>
        <i/>
        <sz val="9"/>
        <color indexed="8"/>
        <rFont val="Arial"/>
        <family val="2"/>
      </rPr>
      <t xml:space="preserve">Note / Примечание: </t>
    </r>
    <r>
      <rPr>
        <b/>
        <i/>
        <sz val="9"/>
        <color indexed="8"/>
        <rFont val="Arial"/>
        <family val="2"/>
      </rPr>
      <t>Eng. Officers and Elec.Officers to indicate UMS experience / Механики и электрики указывают опыт безвахтенного управления</t>
    </r>
  </si>
  <si>
    <r>
      <rPr>
        <b/>
        <sz val="10"/>
        <rFont val="Arial"/>
        <family val="2"/>
      </rPr>
      <t>SUMMARY OF KNOWLEDGE AND EXPERIENCE ACQUIRED [</t>
    </r>
    <r>
      <rPr>
        <b/>
        <i/>
        <sz val="10"/>
        <rFont val="Arial"/>
        <family val="2"/>
      </rPr>
      <t>Give a brief resume of your Career and Experience at Sea, e.g. Type of Ships, Engines, Specific Trades (E.G. ICE / Lighterage etc.), reactivation, New Buildings, Shore Experience, Computer Knowledge etc.</t>
    </r>
    <r>
      <rPr>
        <b/>
        <sz val="10"/>
        <rFont val="Arial"/>
        <family val="2"/>
      </rPr>
      <t xml:space="preserve">]  
</t>
    </r>
  </si>
  <si>
    <r>
      <rPr>
        <b/>
        <sz val="10"/>
        <color indexed="8"/>
        <rFont val="Arial"/>
        <family val="2"/>
      </rPr>
      <t>REFERENCES / ССЫЛКИ:</t>
    </r>
  </si>
  <si>
    <r>
      <rPr>
        <sz val="8"/>
        <color indexed="8"/>
        <rFont val="Arial"/>
        <family val="2"/>
      </rPr>
      <t>A</t>
    </r>
  </si>
  <si>
    <r>
      <rPr>
        <sz val="8"/>
        <color indexed="8"/>
        <rFont val="Arial"/>
        <family val="2"/>
      </rPr>
      <t>B</t>
    </r>
  </si>
  <si>
    <r>
      <rPr>
        <b/>
        <sz val="10"/>
        <rFont val="Arial"/>
        <family val="2"/>
      </rPr>
      <t>DROPDOWN BOX</t>
    </r>
  </si>
  <si>
    <t>SEATIME CALCULATION</t>
  </si>
  <si>
    <r>
      <rPr>
        <sz val="8"/>
        <color indexed="62"/>
        <rFont val="Arial"/>
        <family val="2"/>
      </rPr>
      <t xml:space="preserve">Single </t>
    </r>
  </si>
  <si>
    <r>
      <rPr>
        <sz val="8"/>
        <color indexed="62"/>
        <rFont val="Arial"/>
        <family val="2"/>
      </rPr>
      <t>Agartala</t>
    </r>
  </si>
  <si>
    <r>
      <rPr>
        <sz val="8"/>
        <color indexed="18"/>
        <rFont val="Arial"/>
        <family val="2"/>
      </rPr>
      <t>01</t>
    </r>
  </si>
  <si>
    <r>
      <rPr>
        <sz val="8"/>
        <color indexed="18"/>
        <rFont val="Arial"/>
        <family val="2"/>
      </rPr>
      <t>Australia</t>
    </r>
  </si>
  <si>
    <r>
      <rPr>
        <sz val="8"/>
        <color indexed="62"/>
        <rFont val="Arial"/>
        <family val="2"/>
      </rPr>
      <t>Married</t>
    </r>
  </si>
  <si>
    <r>
      <rPr>
        <sz val="8"/>
        <color indexed="62"/>
        <rFont val="Arial"/>
        <family val="2"/>
      </rPr>
      <t>Agatti</t>
    </r>
  </si>
  <si>
    <r>
      <rPr>
        <sz val="8"/>
        <color indexed="18"/>
        <rFont val="Arial"/>
        <family val="2"/>
      </rPr>
      <t>02</t>
    </r>
  </si>
  <si>
    <r>
      <rPr>
        <sz val="8"/>
        <color indexed="18"/>
        <rFont val="Arial"/>
        <family val="2"/>
      </rPr>
      <t>Hong Kong</t>
    </r>
  </si>
  <si>
    <r>
      <rPr>
        <sz val="8"/>
        <color indexed="18"/>
        <rFont val="Arial"/>
        <family val="2"/>
      </rPr>
      <t>Bahamas</t>
    </r>
  </si>
  <si>
    <r>
      <rPr>
        <sz val="8"/>
        <color indexed="62"/>
        <rFont val="Arial"/>
        <family val="2"/>
      </rPr>
      <t>Separated</t>
    </r>
  </si>
  <si>
    <r>
      <rPr>
        <sz val="8"/>
        <color indexed="62"/>
        <rFont val="Arial"/>
        <family val="2"/>
      </rPr>
      <t>Agra</t>
    </r>
  </si>
  <si>
    <r>
      <rPr>
        <sz val="8"/>
        <color indexed="18"/>
        <rFont val="Arial"/>
        <family val="2"/>
      </rPr>
      <t>03</t>
    </r>
  </si>
  <si>
    <r>
      <rPr>
        <sz val="8"/>
        <color indexed="18"/>
        <rFont val="Arial"/>
        <family val="2"/>
      </rPr>
      <t>January</t>
    </r>
  </si>
  <si>
    <r>
      <rPr>
        <sz val="8"/>
        <color indexed="18"/>
        <rFont val="Arial"/>
        <family val="2"/>
      </rPr>
      <t>India</t>
    </r>
  </si>
  <si>
    <r>
      <rPr>
        <sz val="8"/>
        <color indexed="18"/>
        <rFont val="Arial"/>
        <family val="2"/>
      </rPr>
      <t>French</t>
    </r>
  </si>
  <si>
    <r>
      <rPr>
        <sz val="8"/>
        <color indexed="62"/>
        <rFont val="Arial"/>
        <family val="2"/>
      </rPr>
      <t>Divorced</t>
    </r>
  </si>
  <si>
    <r>
      <rPr>
        <sz val="8"/>
        <color indexed="62"/>
        <rFont val="Arial"/>
        <family val="2"/>
      </rPr>
      <t>Ahmedabad</t>
    </r>
  </si>
  <si>
    <r>
      <rPr>
        <sz val="8"/>
        <color indexed="18"/>
        <rFont val="Arial"/>
        <family val="2"/>
      </rPr>
      <t>04</t>
    </r>
  </si>
  <si>
    <r>
      <rPr>
        <sz val="8"/>
        <color indexed="18"/>
        <rFont val="Arial"/>
        <family val="2"/>
      </rPr>
      <t>February</t>
    </r>
  </si>
  <si>
    <r>
      <rPr>
        <sz val="8"/>
        <color indexed="18"/>
        <rFont val="Arial"/>
        <family val="2"/>
      </rPr>
      <t>Ireland</t>
    </r>
  </si>
  <si>
    <r>
      <rPr>
        <sz val="8"/>
        <color indexed="62"/>
        <rFont val="Arial"/>
        <family val="2"/>
      </rPr>
      <t>Widowed</t>
    </r>
  </si>
  <si>
    <r>
      <rPr>
        <sz val="8"/>
        <color indexed="62"/>
        <rFont val="Arial"/>
        <family val="2"/>
      </rPr>
      <t>Aizwal</t>
    </r>
  </si>
  <si>
    <r>
      <rPr>
        <sz val="8"/>
        <color indexed="18"/>
        <rFont val="Arial"/>
        <family val="2"/>
      </rPr>
      <t>05</t>
    </r>
  </si>
  <si>
    <r>
      <rPr>
        <sz val="8"/>
        <color indexed="18"/>
        <rFont val="Arial"/>
        <family val="2"/>
      </rPr>
      <t>March</t>
    </r>
  </si>
  <si>
    <r>
      <rPr>
        <sz val="8"/>
        <color indexed="18"/>
        <rFont val="Arial"/>
        <family val="2"/>
      </rPr>
      <t>N.Zealand</t>
    </r>
  </si>
  <si>
    <r>
      <rPr>
        <sz val="8"/>
        <color indexed="62"/>
        <rFont val="Arial"/>
        <family val="2"/>
      </rPr>
      <t>Akola</t>
    </r>
  </si>
  <si>
    <r>
      <rPr>
        <sz val="8"/>
        <color indexed="18"/>
        <rFont val="Arial"/>
        <family val="2"/>
      </rPr>
      <t>06</t>
    </r>
  </si>
  <si>
    <r>
      <rPr>
        <sz val="8"/>
        <color indexed="18"/>
        <rFont val="Arial"/>
        <family val="2"/>
      </rPr>
      <t>April</t>
    </r>
  </si>
  <si>
    <r>
      <rPr>
        <sz val="8"/>
        <color indexed="18"/>
        <rFont val="Arial"/>
        <family val="2"/>
      </rPr>
      <t>Singapore</t>
    </r>
  </si>
  <si>
    <r>
      <rPr>
        <sz val="8"/>
        <color indexed="62"/>
        <rFont val="Arial"/>
        <family val="2"/>
      </rPr>
      <t>Allahabad</t>
    </r>
  </si>
  <si>
    <r>
      <rPr>
        <sz val="8"/>
        <color indexed="18"/>
        <rFont val="Arial"/>
        <family val="2"/>
      </rPr>
      <t>07</t>
    </r>
  </si>
  <si>
    <r>
      <rPr>
        <sz val="8"/>
        <color indexed="18"/>
        <rFont val="Arial"/>
        <family val="2"/>
      </rPr>
      <t>May</t>
    </r>
  </si>
  <si>
    <r>
      <rPr>
        <sz val="8"/>
        <color indexed="18"/>
        <rFont val="Arial"/>
        <family val="2"/>
      </rPr>
      <t>U.K.</t>
    </r>
  </si>
  <si>
    <r>
      <rPr>
        <sz val="8"/>
        <color indexed="18"/>
        <rFont val="Arial"/>
        <family val="2"/>
      </rPr>
      <t>Liberian</t>
    </r>
  </si>
  <si>
    <r>
      <rPr>
        <sz val="8"/>
        <color indexed="62"/>
        <rFont val="Arial"/>
        <family val="2"/>
      </rPr>
      <t>Amritsar</t>
    </r>
  </si>
  <si>
    <r>
      <rPr>
        <sz val="8"/>
        <color indexed="18"/>
        <rFont val="Arial"/>
        <family val="2"/>
      </rPr>
      <t>08</t>
    </r>
  </si>
  <si>
    <r>
      <rPr>
        <sz val="8"/>
        <color indexed="18"/>
        <rFont val="Arial"/>
        <family val="2"/>
      </rPr>
      <t>June</t>
    </r>
  </si>
  <si>
    <r>
      <rPr>
        <b/>
        <sz val="10"/>
        <rFont val="Arial"/>
        <family val="2"/>
      </rPr>
      <t>Other</t>
    </r>
  </si>
  <si>
    <r>
      <rPr>
        <sz val="8"/>
        <color indexed="62"/>
        <rFont val="Arial"/>
        <family val="2"/>
      </rPr>
      <t>Arkonam</t>
    </r>
  </si>
  <si>
    <r>
      <rPr>
        <sz val="8"/>
        <color indexed="18"/>
        <rFont val="Arial"/>
        <family val="2"/>
      </rPr>
      <t>09</t>
    </r>
  </si>
  <si>
    <r>
      <rPr>
        <sz val="8"/>
        <color indexed="18"/>
        <rFont val="Arial"/>
        <family val="2"/>
      </rPr>
      <t>July</t>
    </r>
  </si>
  <si>
    <r>
      <rPr>
        <sz val="8"/>
        <color indexed="18"/>
        <rFont val="Arial"/>
        <family val="2"/>
      </rPr>
      <t>Norwegian</t>
    </r>
  </si>
  <si>
    <r>
      <rPr>
        <sz val="8"/>
        <color indexed="62"/>
        <rFont val="Arial"/>
        <family val="2"/>
      </rPr>
      <t>Aurangabad</t>
    </r>
  </si>
  <si>
    <r>
      <rPr>
        <sz val="8"/>
        <color indexed="18"/>
        <rFont val="Arial"/>
        <family val="2"/>
      </rPr>
      <t>10</t>
    </r>
  </si>
  <si>
    <r>
      <rPr>
        <sz val="8"/>
        <color indexed="18"/>
        <rFont val="Arial"/>
        <family val="2"/>
      </rPr>
      <t>August</t>
    </r>
  </si>
  <si>
    <r>
      <rPr>
        <sz val="8"/>
        <color indexed="18"/>
        <rFont val="Arial"/>
        <family val="2"/>
      </rPr>
      <t>Panamanian</t>
    </r>
  </si>
  <si>
    <r>
      <rPr>
        <sz val="8"/>
        <color indexed="62"/>
        <rFont val="Arial"/>
        <family val="2"/>
      </rPr>
      <t>Baghdogra</t>
    </r>
  </si>
  <si>
    <r>
      <rPr>
        <sz val="8"/>
        <color indexed="18"/>
        <rFont val="Arial"/>
        <family val="2"/>
      </rPr>
      <t>11</t>
    </r>
  </si>
  <si>
    <r>
      <rPr>
        <sz val="8"/>
        <color indexed="18"/>
        <rFont val="Arial"/>
        <family val="2"/>
      </rPr>
      <t>September</t>
    </r>
  </si>
  <si>
    <r>
      <rPr>
        <sz val="8"/>
        <color indexed="62"/>
        <rFont val="Arial"/>
        <family val="2"/>
      </rPr>
      <t>Bangalore</t>
    </r>
  </si>
  <si>
    <r>
      <rPr>
        <sz val="8"/>
        <color indexed="18"/>
        <rFont val="Arial"/>
        <family val="2"/>
      </rPr>
      <t>12</t>
    </r>
  </si>
  <si>
    <r>
      <rPr>
        <sz val="8"/>
        <color indexed="18"/>
        <rFont val="Arial"/>
        <family val="2"/>
      </rPr>
      <t>October</t>
    </r>
  </si>
  <si>
    <r>
      <rPr>
        <sz val="8"/>
        <color indexed="62"/>
        <rFont val="Arial"/>
        <family val="2"/>
      </rPr>
      <t>Bareilly</t>
    </r>
  </si>
  <si>
    <r>
      <rPr>
        <sz val="8"/>
        <color indexed="18"/>
        <rFont val="Arial"/>
        <family val="2"/>
      </rPr>
      <t>13</t>
    </r>
  </si>
  <si>
    <r>
      <rPr>
        <sz val="8"/>
        <color indexed="18"/>
        <rFont val="Arial"/>
        <family val="2"/>
      </rPr>
      <t>November</t>
    </r>
  </si>
  <si>
    <r>
      <rPr>
        <sz val="8"/>
        <color indexed="62"/>
        <rFont val="Arial"/>
        <family val="2"/>
      </rPr>
      <t>Behala</t>
    </r>
  </si>
  <si>
    <r>
      <rPr>
        <sz val="8"/>
        <color indexed="18"/>
        <rFont val="Arial"/>
        <family val="2"/>
      </rPr>
      <t>14</t>
    </r>
  </si>
  <si>
    <r>
      <rPr>
        <sz val="8"/>
        <color indexed="18"/>
        <rFont val="Arial"/>
        <family val="2"/>
      </rPr>
      <t>December</t>
    </r>
  </si>
  <si>
    <r>
      <rPr>
        <sz val="8"/>
        <color indexed="62"/>
        <rFont val="Arial"/>
        <family val="2"/>
      </rPr>
      <t>Belgaum</t>
    </r>
  </si>
  <si>
    <r>
      <rPr>
        <sz val="8"/>
        <color indexed="18"/>
        <rFont val="Arial"/>
        <family val="2"/>
      </rPr>
      <t>15</t>
    </r>
  </si>
  <si>
    <r>
      <rPr>
        <sz val="8"/>
        <color indexed="62"/>
        <rFont val="Arial"/>
        <family val="2"/>
      </rPr>
      <t>Bhavnagar</t>
    </r>
  </si>
  <si>
    <r>
      <rPr>
        <sz val="8"/>
        <color indexed="18"/>
        <rFont val="Arial"/>
        <family val="2"/>
      </rPr>
      <t>16</t>
    </r>
  </si>
  <si>
    <r>
      <rPr>
        <sz val="8"/>
        <color indexed="62"/>
        <rFont val="Arial"/>
        <family val="2"/>
      </rPr>
      <t>Bhopal</t>
    </r>
  </si>
  <si>
    <r>
      <rPr>
        <sz val="8"/>
        <color indexed="18"/>
        <rFont val="Arial"/>
        <family val="2"/>
      </rPr>
      <t>17</t>
    </r>
  </si>
  <si>
    <r>
      <rPr>
        <sz val="8"/>
        <color indexed="62"/>
        <rFont val="Arial"/>
        <family val="2"/>
      </rPr>
      <t>Bhubaneswar</t>
    </r>
  </si>
  <si>
    <r>
      <rPr>
        <sz val="8"/>
        <color indexed="18"/>
        <rFont val="Arial"/>
        <family val="2"/>
      </rPr>
      <t>18</t>
    </r>
  </si>
  <si>
    <r>
      <rPr>
        <sz val="8"/>
        <color indexed="62"/>
        <rFont val="Arial"/>
        <family val="2"/>
      </rPr>
      <t>Bhuj</t>
    </r>
  </si>
  <si>
    <r>
      <rPr>
        <sz val="8"/>
        <color indexed="18"/>
        <rFont val="Arial"/>
        <family val="2"/>
      </rPr>
      <t>19</t>
    </r>
  </si>
  <si>
    <r>
      <rPr>
        <sz val="8"/>
        <color indexed="62"/>
        <rFont val="Arial"/>
        <family val="2"/>
      </rPr>
      <t>Bilaspur</t>
    </r>
  </si>
  <si>
    <r>
      <rPr>
        <sz val="8"/>
        <color indexed="18"/>
        <rFont val="Arial"/>
        <family val="2"/>
      </rPr>
      <t>20</t>
    </r>
  </si>
  <si>
    <r>
      <rPr>
        <sz val="8"/>
        <color indexed="62"/>
        <rFont val="Arial"/>
        <family val="2"/>
      </rPr>
      <t>Calcutta</t>
    </r>
  </si>
  <si>
    <r>
      <rPr>
        <sz val="8"/>
        <color indexed="18"/>
        <rFont val="Arial"/>
        <family val="2"/>
      </rPr>
      <t>21</t>
    </r>
  </si>
  <si>
    <r>
      <rPr>
        <sz val="8"/>
        <color indexed="62"/>
        <rFont val="Arial"/>
        <family val="2"/>
      </rPr>
      <t>Calicut</t>
    </r>
  </si>
  <si>
    <r>
      <rPr>
        <sz val="8"/>
        <color indexed="18"/>
        <rFont val="Arial"/>
        <family val="2"/>
      </rPr>
      <t>22</t>
    </r>
  </si>
  <si>
    <r>
      <rPr>
        <sz val="8"/>
        <color indexed="62"/>
        <rFont val="Arial"/>
        <family val="2"/>
      </rPr>
      <t>Car Nicobar</t>
    </r>
  </si>
  <si>
    <r>
      <rPr>
        <sz val="8"/>
        <color indexed="18"/>
        <rFont val="Arial"/>
        <family val="2"/>
      </rPr>
      <t>23</t>
    </r>
  </si>
  <si>
    <r>
      <rPr>
        <sz val="8"/>
        <color indexed="62"/>
        <rFont val="Arial"/>
        <family val="2"/>
      </rPr>
      <t>Chakulia</t>
    </r>
  </si>
  <si>
    <r>
      <rPr>
        <sz val="8"/>
        <color indexed="18"/>
        <rFont val="Arial"/>
        <family val="2"/>
      </rPr>
      <t>24</t>
    </r>
  </si>
  <si>
    <r>
      <rPr>
        <sz val="8"/>
        <color indexed="62"/>
        <rFont val="Arial"/>
        <family val="2"/>
      </rPr>
      <t>Chandigarh</t>
    </r>
  </si>
  <si>
    <r>
      <rPr>
        <sz val="8"/>
        <color indexed="18"/>
        <rFont val="Arial"/>
        <family val="2"/>
      </rPr>
      <t>25</t>
    </r>
  </si>
  <si>
    <r>
      <rPr>
        <sz val="8"/>
        <color indexed="62"/>
        <rFont val="Arial"/>
        <family val="2"/>
      </rPr>
      <t>Chennai</t>
    </r>
  </si>
  <si>
    <r>
      <rPr>
        <sz val="8"/>
        <color indexed="18"/>
        <rFont val="Arial"/>
        <family val="2"/>
      </rPr>
      <t>26</t>
    </r>
  </si>
  <si>
    <r>
      <rPr>
        <sz val="8"/>
        <color indexed="62"/>
        <rFont val="Arial"/>
        <family val="2"/>
      </rPr>
      <t>Cochin</t>
    </r>
  </si>
  <si>
    <r>
      <rPr>
        <sz val="8"/>
        <color indexed="18"/>
        <rFont val="Arial"/>
        <family val="2"/>
      </rPr>
      <t>27</t>
    </r>
  </si>
  <si>
    <r>
      <rPr>
        <sz val="8"/>
        <color indexed="18"/>
        <rFont val="Arial"/>
        <family val="2"/>
      </rPr>
      <t>28</t>
    </r>
  </si>
  <si>
    <r>
      <rPr>
        <sz val="8"/>
        <color indexed="62"/>
        <rFont val="Arial"/>
        <family val="2"/>
      </rPr>
      <t>Coimbatore</t>
    </r>
  </si>
  <si>
    <r>
      <rPr>
        <sz val="8"/>
        <color indexed="18"/>
        <rFont val="Arial"/>
        <family val="2"/>
      </rPr>
      <t>29</t>
    </r>
  </si>
  <si>
    <r>
      <rPr>
        <sz val="8"/>
        <color indexed="62"/>
        <rFont val="Arial"/>
        <family val="2"/>
      </rPr>
      <t>Cooch Behar</t>
    </r>
  </si>
  <si>
    <r>
      <rPr>
        <sz val="8"/>
        <color indexed="18"/>
        <rFont val="Arial"/>
        <family val="2"/>
      </rPr>
      <t>30</t>
    </r>
  </si>
  <si>
    <r>
      <rPr>
        <sz val="8"/>
        <color indexed="62"/>
        <rFont val="Arial"/>
        <family val="2"/>
      </rPr>
      <t>Deesa</t>
    </r>
  </si>
  <si>
    <r>
      <rPr>
        <sz val="8"/>
        <color indexed="18"/>
        <rFont val="Arial"/>
        <family val="2"/>
      </rPr>
      <t>31</t>
    </r>
  </si>
  <si>
    <r>
      <rPr>
        <sz val="8"/>
        <color indexed="62"/>
        <rFont val="Arial"/>
        <family val="2"/>
      </rPr>
      <t>Dehradun</t>
    </r>
  </si>
  <si>
    <r>
      <rPr>
        <sz val="8"/>
        <color indexed="62"/>
        <rFont val="Arial"/>
        <family val="2"/>
      </rPr>
      <t>Delhi</t>
    </r>
  </si>
  <si>
    <r>
      <rPr>
        <sz val="8"/>
        <color indexed="62"/>
        <rFont val="Arial"/>
        <family val="2"/>
      </rPr>
      <t>Dibrugarh</t>
    </r>
  </si>
  <si>
    <r>
      <rPr>
        <sz val="8"/>
        <color indexed="62"/>
        <rFont val="Arial"/>
        <family val="2"/>
      </rPr>
      <t>Dimapur</t>
    </r>
  </si>
  <si>
    <r>
      <rPr>
        <sz val="8"/>
        <color indexed="62"/>
        <rFont val="Arial"/>
        <family val="2"/>
      </rPr>
      <t>Dunakonda</t>
    </r>
  </si>
  <si>
    <r>
      <rPr>
        <sz val="8"/>
        <color indexed="62"/>
        <rFont val="Arial"/>
        <family val="2"/>
      </rPr>
      <t>Dundigul</t>
    </r>
  </si>
  <si>
    <r>
      <rPr>
        <sz val="8"/>
        <color indexed="62"/>
        <rFont val="Arial"/>
        <family val="2"/>
      </rPr>
      <t>Gaya</t>
    </r>
  </si>
  <si>
    <r>
      <rPr>
        <sz val="8"/>
        <color indexed="62"/>
        <rFont val="Arial"/>
        <family val="2"/>
      </rPr>
      <t>Goa</t>
    </r>
  </si>
  <si>
    <r>
      <rPr>
        <sz val="8"/>
        <color indexed="62"/>
        <rFont val="Arial"/>
        <family val="2"/>
      </rPr>
      <t>Gorakhpur</t>
    </r>
  </si>
  <si>
    <r>
      <rPr>
        <sz val="8"/>
        <color indexed="62"/>
        <rFont val="Arial"/>
        <family val="2"/>
      </rPr>
      <t>Guwahati</t>
    </r>
  </si>
  <si>
    <r>
      <rPr>
        <sz val="8"/>
        <color indexed="62"/>
        <rFont val="Arial"/>
        <family val="2"/>
      </rPr>
      <t>Gwalior</t>
    </r>
  </si>
  <si>
    <r>
      <rPr>
        <sz val="8"/>
        <color indexed="62"/>
        <rFont val="Arial"/>
        <family val="2"/>
      </rPr>
      <t>Hyderabad</t>
    </r>
  </si>
  <si>
    <r>
      <rPr>
        <sz val="8"/>
        <color indexed="62"/>
        <rFont val="Arial"/>
        <family val="2"/>
      </rPr>
      <t>Imphal</t>
    </r>
  </si>
  <si>
    <r>
      <rPr>
        <sz val="8"/>
        <color indexed="62"/>
        <rFont val="Arial"/>
        <family val="2"/>
      </rPr>
      <t>Indore</t>
    </r>
  </si>
  <si>
    <r>
      <rPr>
        <sz val="8"/>
        <color indexed="62"/>
        <rFont val="Arial"/>
        <family val="2"/>
      </rPr>
      <t>Jabalpur</t>
    </r>
  </si>
  <si>
    <r>
      <rPr>
        <sz val="8"/>
        <color indexed="62"/>
        <rFont val="Arial"/>
        <family val="2"/>
      </rPr>
      <t>Jaipur</t>
    </r>
  </si>
  <si>
    <r>
      <rPr>
        <sz val="8"/>
        <color indexed="62"/>
        <rFont val="Arial"/>
        <family val="2"/>
      </rPr>
      <t>Jammu</t>
    </r>
  </si>
  <si>
    <r>
      <rPr>
        <sz val="8"/>
        <color indexed="62"/>
        <rFont val="Arial"/>
        <family val="2"/>
      </rPr>
      <t>Jamnagar</t>
    </r>
  </si>
  <si>
    <r>
      <rPr>
        <sz val="8"/>
        <color indexed="62"/>
        <rFont val="Arial"/>
        <family val="2"/>
      </rPr>
      <t>Jamshedpur</t>
    </r>
  </si>
  <si>
    <r>
      <rPr>
        <sz val="8"/>
        <color indexed="62"/>
        <rFont val="Arial"/>
        <family val="2"/>
      </rPr>
      <t>Jhansi</t>
    </r>
  </si>
  <si>
    <r>
      <rPr>
        <sz val="8"/>
        <color indexed="62"/>
        <rFont val="Arial"/>
        <family val="2"/>
      </rPr>
      <t>Jharsuguda</t>
    </r>
  </si>
  <si>
    <r>
      <rPr>
        <sz val="8"/>
        <color indexed="62"/>
        <rFont val="Arial"/>
        <family val="2"/>
      </rPr>
      <t>Jodhpur</t>
    </r>
  </si>
  <si>
    <r>
      <rPr>
        <sz val="8"/>
        <color indexed="62"/>
        <rFont val="Arial"/>
        <family val="2"/>
      </rPr>
      <t>Jogbani</t>
    </r>
  </si>
  <si>
    <r>
      <rPr>
        <sz val="8"/>
        <color indexed="62"/>
        <rFont val="Arial"/>
        <family val="2"/>
      </rPr>
      <t>Jorhat</t>
    </r>
  </si>
  <si>
    <r>
      <rPr>
        <sz val="8"/>
        <color indexed="62"/>
        <rFont val="Arial"/>
        <family val="2"/>
      </rPr>
      <t>Kailashahar</t>
    </r>
  </si>
  <si>
    <r>
      <rPr>
        <sz val="8"/>
        <color indexed="62"/>
        <rFont val="Arial"/>
        <family val="2"/>
      </rPr>
      <t>Kamalpur</t>
    </r>
  </si>
  <si>
    <r>
      <rPr>
        <sz val="8"/>
        <color indexed="62"/>
        <rFont val="Arial"/>
        <family val="2"/>
      </rPr>
      <t>Kandla</t>
    </r>
  </si>
  <si>
    <r>
      <rPr>
        <sz val="8"/>
        <color indexed="62"/>
        <rFont val="Arial"/>
        <family val="2"/>
      </rPr>
      <t>Kanpur</t>
    </r>
  </si>
  <si>
    <r>
      <rPr>
        <sz val="8"/>
        <color indexed="62"/>
        <rFont val="Arial"/>
        <family val="2"/>
      </rPr>
      <t>Keshod</t>
    </r>
  </si>
  <si>
    <r>
      <rPr>
        <sz val="8"/>
        <color indexed="62"/>
        <rFont val="Arial"/>
        <family val="2"/>
      </rPr>
      <t>Khajuraho</t>
    </r>
  </si>
  <si>
    <r>
      <rPr>
        <sz val="8"/>
        <color indexed="62"/>
        <rFont val="Arial"/>
        <family val="2"/>
      </rPr>
      <t>Khandwa</t>
    </r>
  </si>
  <si>
    <r>
      <rPr>
        <sz val="8"/>
        <color indexed="62"/>
        <rFont val="Arial"/>
        <family val="2"/>
      </rPr>
      <t>Kolhapur</t>
    </r>
  </si>
  <si>
    <r>
      <rPr>
        <sz val="8"/>
        <color indexed="62"/>
        <rFont val="Arial"/>
        <family val="2"/>
      </rPr>
      <t>Town</t>
    </r>
  </si>
  <si>
    <r>
      <rPr>
        <sz val="8"/>
        <color indexed="62"/>
        <rFont val="Arial"/>
        <family val="2"/>
      </rPr>
      <t>Lucknow</t>
    </r>
  </si>
  <si>
    <r>
      <rPr>
        <sz val="8"/>
        <color indexed="62"/>
        <rFont val="Arial"/>
        <family val="2"/>
      </rPr>
      <t>Ludhiana</t>
    </r>
  </si>
  <si>
    <r>
      <rPr>
        <sz val="8"/>
        <color indexed="62"/>
        <rFont val="Arial"/>
        <family val="2"/>
      </rPr>
      <t>Madurai</t>
    </r>
  </si>
  <si>
    <r>
      <rPr>
        <sz val="8"/>
        <color indexed="62"/>
        <rFont val="Arial"/>
        <family val="2"/>
      </rPr>
      <t>Malda</t>
    </r>
  </si>
  <si>
    <r>
      <rPr>
        <sz val="8"/>
        <color indexed="62"/>
        <rFont val="Arial"/>
        <family val="2"/>
      </rPr>
      <t>Mangalore</t>
    </r>
  </si>
  <si>
    <r>
      <rPr>
        <sz val="8"/>
        <color indexed="62"/>
        <rFont val="Arial"/>
        <family val="2"/>
      </rPr>
      <t>Mumbai</t>
    </r>
  </si>
  <si>
    <r>
      <rPr>
        <sz val="8"/>
        <color indexed="62"/>
        <rFont val="Arial"/>
        <family val="2"/>
      </rPr>
      <t>Muzaffarpur</t>
    </r>
  </si>
  <si>
    <r>
      <rPr>
        <sz val="8"/>
        <color indexed="62"/>
        <rFont val="Arial"/>
        <family val="2"/>
      </rPr>
      <t>Mysore</t>
    </r>
  </si>
  <si>
    <r>
      <rPr>
        <sz val="8"/>
        <color indexed="62"/>
        <rFont val="Arial"/>
        <family val="2"/>
      </rPr>
      <t>Nagpur</t>
    </r>
  </si>
  <si>
    <r>
      <rPr>
        <sz val="8"/>
        <color indexed="62"/>
        <rFont val="Arial"/>
        <family val="2"/>
      </rPr>
      <t>Nanded</t>
    </r>
  </si>
  <si>
    <r>
      <rPr>
        <sz val="8"/>
        <color indexed="62"/>
        <rFont val="Arial"/>
        <family val="2"/>
      </rPr>
      <t>North Lakhimpur</t>
    </r>
  </si>
  <si>
    <r>
      <rPr>
        <sz val="8"/>
        <color indexed="62"/>
        <rFont val="Arial"/>
        <family val="2"/>
      </rPr>
      <t>Ozar</t>
    </r>
  </si>
  <si>
    <r>
      <rPr>
        <sz val="8"/>
        <color indexed="62"/>
        <rFont val="Arial"/>
        <family val="2"/>
      </rPr>
      <t>Panagarh</t>
    </r>
  </si>
  <si>
    <r>
      <rPr>
        <sz val="8"/>
        <color indexed="62"/>
        <rFont val="Arial"/>
        <family val="2"/>
      </rPr>
      <t>Panna</t>
    </r>
  </si>
  <si>
    <r>
      <rPr>
        <sz val="8"/>
        <color indexed="62"/>
        <rFont val="Arial"/>
        <family val="2"/>
      </rPr>
      <t>Pantnagar</t>
    </r>
  </si>
  <si>
    <r>
      <rPr>
        <sz val="8"/>
        <color indexed="62"/>
        <rFont val="Arial"/>
        <family val="2"/>
      </rPr>
      <t>Pasighat</t>
    </r>
  </si>
  <si>
    <r>
      <rPr>
        <sz val="8"/>
        <color indexed="62"/>
        <rFont val="Arial"/>
        <family val="2"/>
      </rPr>
      <t>Pathankot</t>
    </r>
  </si>
  <si>
    <r>
      <rPr>
        <sz val="8"/>
        <color indexed="62"/>
        <rFont val="Arial"/>
        <family val="2"/>
      </rPr>
      <t>Patna</t>
    </r>
  </si>
  <si>
    <r>
      <rPr>
        <sz val="8"/>
        <color indexed="62"/>
        <rFont val="Arial"/>
        <family val="2"/>
      </rPr>
      <t>Pondicherry</t>
    </r>
  </si>
  <si>
    <r>
      <rPr>
        <sz val="8"/>
        <color indexed="62"/>
        <rFont val="Arial"/>
        <family val="2"/>
      </rPr>
      <t>Porbandar</t>
    </r>
  </si>
  <si>
    <r>
      <rPr>
        <sz val="8"/>
        <color indexed="62"/>
        <rFont val="Arial"/>
        <family val="2"/>
      </rPr>
      <t>Port Blair</t>
    </r>
  </si>
  <si>
    <r>
      <rPr>
        <sz val="8"/>
        <color indexed="62"/>
        <rFont val="Arial"/>
        <family val="2"/>
      </rPr>
      <t>Prasanthinilayam</t>
    </r>
  </si>
  <si>
    <r>
      <rPr>
        <sz val="8"/>
        <color indexed="62"/>
        <rFont val="Arial"/>
        <family val="2"/>
      </rPr>
      <t>Pune</t>
    </r>
  </si>
  <si>
    <r>
      <rPr>
        <sz val="8"/>
        <color indexed="62"/>
        <rFont val="Arial"/>
        <family val="2"/>
      </rPr>
      <t>Raipur</t>
    </r>
  </si>
  <si>
    <r>
      <rPr>
        <sz val="8"/>
        <color indexed="62"/>
        <rFont val="Arial"/>
        <family val="2"/>
      </rPr>
      <t>Rajahmundry</t>
    </r>
  </si>
  <si>
    <r>
      <rPr>
        <sz val="8"/>
        <color indexed="62"/>
        <rFont val="Arial"/>
        <family val="2"/>
      </rPr>
      <t>Rajkot</t>
    </r>
  </si>
  <si>
    <r>
      <rPr>
        <sz val="8"/>
        <color indexed="62"/>
        <rFont val="Arial"/>
        <family val="2"/>
      </rPr>
      <t>Ranchi</t>
    </r>
  </si>
  <si>
    <r>
      <rPr>
        <sz val="8"/>
        <color indexed="62"/>
        <rFont val="Arial"/>
        <family val="2"/>
      </rPr>
      <t>Ratnagiri</t>
    </r>
  </si>
  <si>
    <r>
      <rPr>
        <sz val="8"/>
        <color indexed="62"/>
        <rFont val="Arial"/>
        <family val="2"/>
      </rPr>
      <t>Raxaul</t>
    </r>
  </si>
  <si>
    <r>
      <rPr>
        <sz val="8"/>
        <color indexed="62"/>
        <rFont val="Arial"/>
        <family val="2"/>
      </rPr>
      <t>Rourkela</t>
    </r>
  </si>
  <si>
    <r>
      <rPr>
        <sz val="8"/>
        <color indexed="62"/>
        <rFont val="Arial"/>
        <family val="2"/>
      </rPr>
      <t>Rupsi</t>
    </r>
  </si>
  <si>
    <r>
      <rPr>
        <sz val="8"/>
        <color indexed="62"/>
        <rFont val="Arial"/>
        <family val="2"/>
      </rPr>
      <t>Salem</t>
    </r>
  </si>
  <si>
    <r>
      <rPr>
        <sz val="8"/>
        <color indexed="62"/>
        <rFont val="Arial"/>
        <family val="2"/>
      </rPr>
      <t>Satna</t>
    </r>
  </si>
  <si>
    <r>
      <rPr>
        <sz val="8"/>
        <color indexed="62"/>
        <rFont val="Arial"/>
        <family val="2"/>
      </rPr>
      <t>Shella</t>
    </r>
  </si>
  <si>
    <r>
      <rPr>
        <sz val="8"/>
        <color indexed="62"/>
        <rFont val="Arial"/>
        <family val="2"/>
      </rPr>
      <t>Shillong</t>
    </r>
  </si>
  <si>
    <r>
      <rPr>
        <sz val="8"/>
        <color indexed="62"/>
        <rFont val="Arial"/>
        <family val="2"/>
      </rPr>
      <t>Shimla</t>
    </r>
  </si>
  <si>
    <r>
      <rPr>
        <sz val="8"/>
        <color indexed="62"/>
        <rFont val="Arial"/>
        <family val="2"/>
      </rPr>
      <t>Sholapur</t>
    </r>
  </si>
  <si>
    <r>
      <rPr>
        <sz val="8"/>
        <color indexed="62"/>
        <rFont val="Arial"/>
        <family val="2"/>
      </rPr>
      <t>Silchar</t>
    </r>
  </si>
  <si>
    <r>
      <rPr>
        <sz val="8"/>
        <color indexed="62"/>
        <rFont val="Arial"/>
        <family val="2"/>
      </rPr>
      <t>Srinagar</t>
    </r>
  </si>
  <si>
    <r>
      <rPr>
        <sz val="8"/>
        <color indexed="62"/>
        <rFont val="Arial"/>
        <family val="2"/>
      </rPr>
      <t>Tambaram</t>
    </r>
  </si>
  <si>
    <r>
      <rPr>
        <sz val="8"/>
        <color indexed="62"/>
        <rFont val="Arial"/>
        <family val="2"/>
      </rPr>
      <t>Tanjore</t>
    </r>
  </si>
  <si>
    <r>
      <rPr>
        <sz val="8"/>
        <color indexed="62"/>
        <rFont val="Arial"/>
        <family val="2"/>
      </rPr>
      <t>Tiruchirappalli</t>
    </r>
  </si>
  <si>
    <r>
      <rPr>
        <sz val="8"/>
        <color indexed="62"/>
        <rFont val="Arial"/>
        <family val="2"/>
      </rPr>
      <t>Tirupati</t>
    </r>
  </si>
  <si>
    <r>
      <rPr>
        <sz val="8"/>
        <color indexed="62"/>
        <rFont val="Arial"/>
        <family val="2"/>
      </rPr>
      <t>Trivandrum</t>
    </r>
  </si>
  <si>
    <r>
      <rPr>
        <sz val="8"/>
        <color indexed="62"/>
        <rFont val="Arial"/>
        <family val="2"/>
      </rPr>
      <t>Udaipur</t>
    </r>
  </si>
  <si>
    <r>
      <rPr>
        <sz val="8"/>
        <color indexed="62"/>
        <rFont val="Arial"/>
        <family val="2"/>
      </rPr>
      <t>Vadodara</t>
    </r>
  </si>
  <si>
    <r>
      <rPr>
        <sz val="8"/>
        <color indexed="62"/>
        <rFont val="Arial"/>
        <family val="2"/>
      </rPr>
      <t>Varanasi</t>
    </r>
  </si>
  <si>
    <r>
      <rPr>
        <sz val="8"/>
        <color indexed="62"/>
        <rFont val="Arial"/>
        <family val="2"/>
      </rPr>
      <t>Vijayawada</t>
    </r>
  </si>
  <si>
    <r>
      <rPr>
        <sz val="8"/>
        <color indexed="62"/>
        <rFont val="Arial"/>
        <family val="2"/>
      </rPr>
      <t>Vishakhapatnam</t>
    </r>
  </si>
  <si>
    <r>
      <rPr>
        <sz val="8"/>
        <color indexed="62"/>
        <rFont val="Arial"/>
        <family val="2"/>
      </rPr>
      <t>Warangal</t>
    </r>
  </si>
  <si>
    <r>
      <rPr>
        <sz val="8"/>
        <color indexed="62"/>
        <rFont val="Arial"/>
        <family val="2"/>
      </rPr>
      <t>Yelahanka</t>
    </r>
  </si>
  <si>
    <r>
      <rPr>
        <b/>
        <sz val="10"/>
        <color indexed="8"/>
        <rFont val="Arial"/>
        <family val="2"/>
      </rPr>
      <t>Middle / Отчество:</t>
    </r>
  </si>
  <si>
    <r>
      <rPr>
        <b/>
        <sz val="10"/>
        <color indexed="8"/>
        <rFont val="Arial"/>
        <family val="2"/>
      </rPr>
      <t>Last / Фамилия:</t>
    </r>
  </si>
  <si>
    <t>Yes / Да</t>
  </si>
  <si>
    <t>No</t>
  </si>
  <si>
    <r>
      <rPr>
        <b/>
        <sz val="10"/>
        <color indexed="8"/>
        <rFont val="Arial"/>
        <family val="2"/>
      </rPr>
      <t xml:space="preserve">&lt;&lt;&lt; click on desired tab/ button to view </t>
    </r>
  </si>
  <si>
    <r>
      <rPr>
        <b/>
        <sz val="10"/>
        <color indexed="8"/>
        <rFont val="Arial"/>
        <family val="2"/>
      </rPr>
      <t xml:space="preserve"> [date format - dd/mmm/yy / формат даты - дд/ммм/гг ]</t>
    </r>
  </si>
  <si>
    <r>
      <rPr>
        <b/>
        <sz val="10"/>
        <color indexed="8"/>
        <rFont val="Arial"/>
        <family val="2"/>
      </rPr>
      <t xml:space="preserve"> [date format - dd/mmm/yy / формат даты - дд/ммм/гг]</t>
    </r>
  </si>
  <si>
    <r>
      <rPr>
        <b/>
        <sz val="10"/>
        <color indexed="8"/>
        <rFont val="Arial"/>
        <family val="2"/>
      </rPr>
      <t>Name / Ф.И.О.</t>
    </r>
  </si>
  <si>
    <r>
      <rPr>
        <b/>
        <sz val="10"/>
        <color indexed="8"/>
        <rFont val="Arial"/>
        <family val="2"/>
      </rPr>
      <t>U.S. Visa / Виза США</t>
    </r>
  </si>
  <si>
    <r>
      <rPr>
        <b/>
        <sz val="8"/>
        <rFont val="Arial"/>
        <family val="2"/>
      </rPr>
      <t>Rank / Звание</t>
    </r>
  </si>
  <si>
    <r>
      <rPr>
        <b/>
        <sz val="9"/>
        <color indexed="8"/>
        <rFont val="Arial"/>
        <family val="2"/>
      </rPr>
      <t>Place of Birth / Место рождения</t>
    </r>
  </si>
  <si>
    <r>
      <rPr>
        <b/>
        <sz val="9"/>
        <color indexed="8"/>
        <rFont val="Arial"/>
        <family val="2"/>
      </rPr>
      <t>Passport No. / Номер паспорта</t>
    </r>
  </si>
  <si>
    <r>
      <rPr>
        <b/>
        <sz val="10"/>
        <color indexed="8"/>
        <rFont val="Arial"/>
        <family val="2"/>
      </rPr>
      <t>Number / Номер</t>
    </r>
  </si>
  <si>
    <r>
      <rPr>
        <b/>
        <sz val="10"/>
        <rFont val="Arial"/>
        <family val="2"/>
      </rPr>
      <t>Date of Expiry / Срок действия</t>
    </r>
  </si>
  <si>
    <r>
      <rPr>
        <b/>
        <sz val="10"/>
        <color indexed="8"/>
        <rFont val="Arial"/>
        <family val="2"/>
      </rPr>
      <t xml:space="preserve">Correspondence  Address &amp; Contact Details / Адрес для переписки и контактные данные: </t>
    </r>
  </si>
  <si>
    <r>
      <rPr>
        <b/>
        <sz val="10"/>
        <color indexed="8"/>
        <rFont val="Arial"/>
        <family val="2"/>
      </rPr>
      <t>Date of Issue / Дата выпуска</t>
    </r>
  </si>
  <si>
    <r>
      <rPr>
        <b/>
        <sz val="10"/>
        <rFont val="Arial"/>
        <family val="2"/>
      </rPr>
      <t>Place of Issue / Место выдачи</t>
    </r>
  </si>
  <si>
    <r>
      <rPr>
        <b/>
        <sz val="10"/>
        <color indexed="8"/>
        <rFont val="Arial"/>
        <family val="2"/>
      </rPr>
      <t xml:space="preserve">Date of Issue / Дата выпуска </t>
    </r>
  </si>
  <si>
    <r>
      <rPr>
        <b/>
        <sz val="9"/>
        <color indexed="8"/>
        <rFont val="Arial"/>
        <family val="2"/>
      </rPr>
      <t>Date of  Expiry / Срок действия</t>
    </r>
  </si>
  <si>
    <r>
      <rPr>
        <b/>
        <sz val="8"/>
        <color indexed="8"/>
        <rFont val="Arial"/>
        <family val="2"/>
      </rPr>
      <t xml:space="preserve">Vessel Name / Название судна </t>
    </r>
  </si>
  <si>
    <r>
      <rPr>
        <b/>
        <sz val="8"/>
        <rFont val="Arial"/>
        <family val="2"/>
      </rPr>
      <t>Type / Тип</t>
    </r>
  </si>
  <si>
    <r>
      <rPr>
        <b/>
        <sz val="10"/>
        <rFont val="Arial"/>
        <family val="2"/>
      </rPr>
      <t xml:space="preserve">From / С </t>
    </r>
  </si>
  <si>
    <r>
      <rPr>
        <b/>
        <sz val="10"/>
        <rFont val="Arial"/>
        <family val="2"/>
      </rPr>
      <t>To / По</t>
    </r>
  </si>
  <si>
    <r>
      <rPr>
        <b/>
        <sz val="10"/>
        <color indexed="8"/>
        <rFont val="Arial"/>
        <family val="2"/>
      </rPr>
      <t>Name of Schools / Colleges Attended / Названия оконченных учебных заведений</t>
    </r>
  </si>
  <si>
    <r>
      <rPr>
        <b/>
        <sz val="10"/>
        <color indexed="8"/>
        <rFont val="Arial"/>
        <family val="2"/>
      </rPr>
      <t>City/Country / Город/Страна</t>
    </r>
  </si>
  <si>
    <r>
      <rPr>
        <b/>
        <sz val="10"/>
        <color indexed="8"/>
        <rFont val="Arial"/>
        <family val="2"/>
      </rPr>
      <t>Phone Number / Номер телефона</t>
    </r>
  </si>
  <si>
    <r>
      <rPr>
        <b/>
        <sz val="10"/>
        <color indexed="8"/>
        <rFont val="Arial"/>
        <family val="2"/>
      </rPr>
      <t>Title / Должность</t>
    </r>
  </si>
  <si>
    <r>
      <rPr>
        <b/>
        <sz val="8"/>
        <rFont val="Arial"/>
        <family val="2"/>
      </rPr>
      <t>Company Name / Название компании</t>
    </r>
  </si>
  <si>
    <r>
      <rPr>
        <b/>
        <sz val="10"/>
        <color indexed="8"/>
        <rFont val="Arial"/>
        <family val="2"/>
      </rPr>
      <t>Address / Адрес:</t>
    </r>
  </si>
  <si>
    <r>
      <rPr>
        <b/>
        <sz val="10"/>
        <color indexed="8"/>
        <rFont val="Arial"/>
        <family val="2"/>
      </rPr>
      <t>Permanent  Address  &amp;  Contact Details / Постоянный адрес и контактные данные</t>
    </r>
  </si>
  <si>
    <r>
      <rPr>
        <b/>
        <sz val="9"/>
        <color indexed="8"/>
        <rFont val="Arial"/>
        <family val="2"/>
      </rPr>
      <t>Date of Birth / Дата рождения</t>
    </r>
  </si>
  <si>
    <r>
      <rPr>
        <b/>
        <sz val="10"/>
        <color indexed="8"/>
        <rFont val="Arial"/>
        <family val="2"/>
      </rPr>
      <t>Rank Applied For / Запрашиваемое звание:</t>
    </r>
  </si>
  <si>
    <r>
      <rPr>
        <b/>
        <sz val="10"/>
        <color indexed="8"/>
        <rFont val="Arial"/>
        <family val="2"/>
      </rPr>
      <t>Place &amp; Country / Место и страна:</t>
    </r>
  </si>
  <si>
    <r>
      <rPr>
        <sz val="14"/>
        <color indexed="8"/>
        <rFont val="Arial"/>
        <family val="2"/>
      </rPr>
      <t xml:space="preserve">A P P L I C A T I O N  F O R M / Ф О Р М А З А Я В К И </t>
    </r>
  </si>
  <si>
    <r>
      <rPr>
        <sz val="8"/>
        <color indexed="18"/>
        <rFont val="Arial"/>
        <family val="2"/>
      </rPr>
      <t>MASTER</t>
    </r>
  </si>
  <si>
    <r>
      <rPr>
        <sz val="8"/>
        <color indexed="18"/>
        <rFont val="Arial"/>
        <family val="2"/>
      </rPr>
      <t>CH.OFFICER</t>
    </r>
  </si>
  <si>
    <r>
      <rPr>
        <sz val="8"/>
        <color indexed="18"/>
        <rFont val="Arial"/>
        <family val="2"/>
      </rPr>
      <t>2nd OFFICER</t>
    </r>
  </si>
  <si>
    <r>
      <rPr>
        <sz val="8"/>
        <color indexed="18"/>
        <rFont val="Arial"/>
        <family val="2"/>
      </rPr>
      <t>3rd OFFICER</t>
    </r>
  </si>
  <si>
    <r>
      <rPr>
        <sz val="8"/>
        <color indexed="18"/>
        <rFont val="Arial"/>
        <family val="2"/>
      </rPr>
      <t>Dk. CADET</t>
    </r>
  </si>
  <si>
    <r>
      <rPr>
        <sz val="8"/>
        <color indexed="18"/>
        <rFont val="Arial"/>
        <family val="2"/>
      </rPr>
      <t>RADIO OFF</t>
    </r>
  </si>
  <si>
    <r>
      <rPr>
        <sz val="8"/>
        <color indexed="18"/>
        <rFont val="Arial"/>
        <family val="2"/>
      </rPr>
      <t>FAO</t>
    </r>
  </si>
  <si>
    <r>
      <rPr>
        <sz val="8"/>
        <color indexed="18"/>
        <rFont val="Arial"/>
        <family val="2"/>
      </rPr>
      <t>CH. ENGINEER</t>
    </r>
  </si>
  <si>
    <r>
      <rPr>
        <sz val="8"/>
        <color indexed="18"/>
        <rFont val="Arial"/>
        <family val="2"/>
      </rPr>
      <t>3rd ENGINEER</t>
    </r>
  </si>
  <si>
    <r>
      <rPr>
        <sz val="8"/>
        <color indexed="18"/>
        <rFont val="Arial"/>
        <family val="2"/>
      </rPr>
      <t>4th ENGINEER</t>
    </r>
  </si>
  <si>
    <r>
      <rPr>
        <sz val="8"/>
        <color indexed="18"/>
        <rFont val="Arial"/>
        <family val="2"/>
      </rPr>
      <t>2nd ENGINEER</t>
    </r>
  </si>
  <si>
    <r>
      <rPr>
        <sz val="8"/>
        <color indexed="18"/>
        <rFont val="Arial"/>
        <family val="2"/>
      </rPr>
      <t>El. OFFICER</t>
    </r>
  </si>
  <si>
    <r>
      <rPr>
        <sz val="8"/>
        <color indexed="18"/>
        <rFont val="Arial"/>
        <family val="2"/>
      </rPr>
      <t>ETO</t>
    </r>
  </si>
  <si>
    <r>
      <rPr>
        <sz val="8"/>
        <color indexed="18"/>
        <rFont val="Arial"/>
        <family val="2"/>
      </rPr>
      <t>REO</t>
    </r>
  </si>
  <si>
    <r>
      <rPr>
        <sz val="8"/>
        <color indexed="18"/>
        <rFont val="Arial"/>
        <family val="2"/>
      </rPr>
      <t>5th ENGINEER</t>
    </r>
  </si>
  <si>
    <r>
      <rPr>
        <sz val="8"/>
        <color indexed="18"/>
        <rFont val="Arial"/>
        <family val="2"/>
      </rPr>
      <t>ENG. CADET</t>
    </r>
  </si>
  <si>
    <r>
      <rPr>
        <sz val="8"/>
        <color indexed="18"/>
        <rFont val="Arial"/>
        <family val="2"/>
      </rPr>
      <t>BOSUN</t>
    </r>
  </si>
  <si>
    <r>
      <rPr>
        <sz val="8"/>
        <color indexed="18"/>
        <rFont val="Arial"/>
        <family val="2"/>
      </rPr>
      <t>ABLESEAMAN</t>
    </r>
  </si>
  <si>
    <r>
      <rPr>
        <sz val="8"/>
        <color indexed="18"/>
        <rFont val="Arial"/>
        <family val="2"/>
      </rPr>
      <t>ORD. SEAMAN</t>
    </r>
  </si>
  <si>
    <r>
      <rPr>
        <sz val="8"/>
        <color indexed="18"/>
        <rFont val="Arial"/>
        <family val="2"/>
      </rPr>
      <t>TRAINEE  WIPER</t>
    </r>
  </si>
  <si>
    <r>
      <rPr>
        <sz val="8"/>
        <color indexed="18"/>
        <rFont val="Arial"/>
        <family val="2"/>
      </rPr>
      <t>TRAINEE OS</t>
    </r>
  </si>
  <si>
    <r>
      <rPr>
        <sz val="8"/>
        <color indexed="18"/>
        <rFont val="Arial"/>
        <family val="2"/>
      </rPr>
      <t>MOTOR MAN</t>
    </r>
  </si>
  <si>
    <r>
      <rPr>
        <sz val="8"/>
        <color indexed="18"/>
        <rFont val="Arial"/>
        <family val="2"/>
      </rPr>
      <t>OILER</t>
    </r>
  </si>
  <si>
    <r>
      <rPr>
        <sz val="8"/>
        <color indexed="18"/>
        <rFont val="Arial"/>
        <family val="2"/>
      </rPr>
      <t>WIPER</t>
    </r>
  </si>
  <si>
    <r>
      <rPr>
        <sz val="8"/>
        <color indexed="18"/>
        <rFont val="Arial"/>
        <family val="2"/>
      </rPr>
      <t>CHIEF COOK</t>
    </r>
  </si>
  <si>
    <r>
      <rPr>
        <sz val="8"/>
        <color indexed="18"/>
        <rFont val="Arial"/>
        <family val="2"/>
      </rPr>
      <t>MESSMAN /GS</t>
    </r>
  </si>
  <si>
    <r>
      <rPr>
        <sz val="8"/>
        <color indexed="18"/>
        <rFont val="Arial"/>
        <family val="2"/>
      </rPr>
      <t>FITTER</t>
    </r>
  </si>
  <si>
    <r>
      <rPr>
        <sz val="8"/>
        <color indexed="18"/>
        <rFont val="Arial"/>
        <family val="2"/>
      </rPr>
      <t>TRAINEE FITTER</t>
    </r>
  </si>
  <si>
    <r>
      <rPr>
        <sz val="8"/>
        <color indexed="18"/>
        <rFont val="Arial"/>
        <family val="2"/>
      </rPr>
      <t>PUMPMAN</t>
    </r>
  </si>
  <si>
    <r>
      <rPr>
        <sz val="8"/>
        <color indexed="18"/>
        <rFont val="Arial"/>
        <family val="2"/>
      </rPr>
      <t>GAS ENGINEER</t>
    </r>
  </si>
  <si>
    <r>
      <rPr>
        <sz val="8"/>
        <color indexed="18"/>
        <rFont val="Arial"/>
        <family val="2"/>
      </rPr>
      <t>TRAINEE  E/O</t>
    </r>
  </si>
  <si>
    <r>
      <rPr>
        <sz val="8"/>
        <color indexed="18"/>
        <rFont val="Arial"/>
        <family val="2"/>
      </rPr>
      <t>Operational</t>
    </r>
  </si>
  <si>
    <r>
      <rPr>
        <sz val="8"/>
        <color indexed="18"/>
        <rFont val="Arial"/>
        <family val="2"/>
      </rPr>
      <t>Management</t>
    </r>
  </si>
  <si>
    <r>
      <rPr>
        <sz val="8"/>
        <color indexed="18"/>
        <rFont val="Arial"/>
        <family val="2"/>
      </rPr>
      <t>Support</t>
    </r>
  </si>
  <si>
    <r>
      <rPr>
        <b/>
        <sz val="10"/>
        <color indexed="8"/>
        <rFont val="Arial"/>
        <family val="2"/>
      </rPr>
      <t xml:space="preserve"> [select from dropdown menu / выбрать из выпадающего меню ]</t>
    </r>
  </si>
  <si>
    <r>
      <rPr>
        <b/>
        <sz val="11"/>
        <color indexed="9"/>
        <rFont val="Arial"/>
        <family val="2"/>
      </rPr>
      <t>CANDIDATES SUMMARY OF KNOWLEDGE AND EXPERIENCE  CONTD.</t>
    </r>
  </si>
  <si>
    <r>
      <rPr>
        <b/>
        <sz val="10"/>
        <color indexed="8"/>
        <rFont val="Arial"/>
        <family val="2"/>
      </rPr>
      <t>National / Национальные</t>
    </r>
  </si>
  <si>
    <r>
      <rPr>
        <b/>
        <sz val="10"/>
        <color indexed="8"/>
        <rFont val="Arial"/>
        <family val="2"/>
      </rPr>
      <t>Sec. / Втор.</t>
    </r>
  </si>
  <si>
    <r>
      <rPr>
        <b/>
        <sz val="8"/>
        <color indexed="8"/>
        <rFont val="Arial"/>
        <family val="2"/>
      </rPr>
      <t>Country / Страна</t>
    </r>
  </si>
  <si>
    <r>
      <rPr>
        <b/>
        <sz val="8"/>
        <color indexed="8"/>
        <rFont val="Arial"/>
        <family val="2"/>
      </rPr>
      <t>City / Город</t>
    </r>
  </si>
  <si>
    <r>
      <rPr>
        <b/>
        <sz val="10"/>
        <color indexed="8"/>
        <rFont val="Arial"/>
        <family val="2"/>
      </rPr>
      <t>Zip Code / Почтовый индекс</t>
    </r>
  </si>
  <si>
    <r>
      <rPr>
        <b/>
        <sz val="8"/>
        <color indexed="8"/>
        <rFont val="Arial"/>
        <family val="2"/>
      </rPr>
      <t>State / Штат</t>
    </r>
  </si>
  <si>
    <t>X</t>
  </si>
  <si>
    <r>
      <rPr>
        <b/>
        <sz val="10"/>
        <color indexed="8"/>
        <rFont val="Arial"/>
        <family val="2"/>
      </rPr>
      <t>[Please fill as in your passport / как в паспорте]</t>
    </r>
  </si>
  <si>
    <t>D</t>
  </si>
  <si>
    <r>
      <rPr>
        <b/>
        <sz val="10"/>
        <color indexed="8"/>
        <rFont val="Arial"/>
        <family val="2"/>
      </rPr>
      <t xml:space="preserve">PREVIOUS SEA EXP.  [ </t>
    </r>
    <r>
      <rPr>
        <b/>
        <sz val="8"/>
        <color indexed="8"/>
        <rFont val="Arial"/>
        <family val="2"/>
      </rPr>
      <t>Datewise upto 10 previous vessels in ascending order ] ie :  End with your last vessel served</t>
    </r>
    <r>
      <rPr>
        <b/>
        <sz val="10"/>
        <rFont val="Arial"/>
      </rPr>
      <t xml:space="preserve"> / ОПЫТ РАБОТЫ В МОРЕ [В порядке очередности укажите 10 судов, на которых ходили ранее ] т.е.: </t>
    </r>
    <r>
      <rPr>
        <sz val="10"/>
        <rFont val="Arial"/>
      </rPr>
      <t xml:space="preserve"> </t>
    </r>
    <r>
      <rPr>
        <b/>
        <sz val="10"/>
        <rFont val="Arial"/>
      </rPr>
      <t>В заключение укажите последнее судно, на котором служили</t>
    </r>
  </si>
  <si>
    <r>
      <rPr>
        <b/>
        <sz val="10"/>
        <color indexed="8"/>
        <rFont val="Arial"/>
        <family val="2"/>
      </rPr>
      <t>Interviewed by:</t>
    </r>
  </si>
  <si>
    <r>
      <rPr>
        <b/>
        <sz val="10"/>
        <color indexed="8"/>
        <rFont val="Arial"/>
        <family val="2"/>
      </rPr>
      <t>Additional Comments:</t>
    </r>
  </si>
  <si>
    <r>
      <rPr>
        <b/>
        <sz val="10"/>
        <color indexed="8"/>
        <rFont val="Arial"/>
        <family val="2"/>
      </rPr>
      <t>DECLARATION / ДЕКЛАРАЦИЯ</t>
    </r>
  </si>
  <si>
    <r>
      <rPr>
        <b/>
        <sz val="10"/>
        <color indexed="8"/>
        <rFont val="Arial"/>
        <family val="2"/>
      </rPr>
      <t>An acknowledgement of this application is received.</t>
    </r>
  </si>
  <si>
    <r>
      <rPr>
        <sz val="10"/>
        <color indexed="8"/>
        <rFont val="Arial"/>
        <family val="2"/>
      </rPr>
      <t>Please hand in, mail or e-mail your application to:</t>
    </r>
  </si>
  <si>
    <r>
      <rPr>
        <sz val="10"/>
        <color indexed="8"/>
        <rFont val="Arial"/>
        <family val="2"/>
      </rPr>
      <t>401, Olympia, Hiranandani Gardens, Powai</t>
    </r>
  </si>
  <si>
    <r>
      <rPr>
        <sz val="10"/>
        <color indexed="8"/>
        <rFont val="Arial"/>
        <family val="2"/>
      </rPr>
      <t xml:space="preserve">Telephone: (022) 5704224         Fax: 91-11- 5704226  </t>
    </r>
  </si>
  <si>
    <r>
      <rPr>
        <sz val="10"/>
        <color indexed="8"/>
        <rFont val="Arial"/>
        <family val="2"/>
      </rPr>
      <t>208, Oriental House, Gulmohar Enclave Commercial Complex</t>
    </r>
  </si>
  <si>
    <r>
      <rPr>
        <sz val="10"/>
        <color indexed="8"/>
        <rFont val="Arial"/>
        <family val="2"/>
      </rPr>
      <t>Telephone: (011) 6510111, 6510222       Fax: 91-11-6960222</t>
    </r>
  </si>
  <si>
    <r>
      <rPr>
        <sz val="10"/>
        <color indexed="8"/>
        <rFont val="Arial"/>
        <family val="2"/>
      </rPr>
      <t>6-A, EGA Trade Centre</t>
    </r>
  </si>
  <si>
    <r>
      <rPr>
        <sz val="10"/>
        <color indexed="8"/>
        <rFont val="Arial"/>
        <family val="2"/>
      </rPr>
      <t>809, Poonamalle High Road</t>
    </r>
  </si>
  <si>
    <r>
      <rPr>
        <sz val="10"/>
        <color indexed="8"/>
        <rFont val="Arial"/>
        <family val="2"/>
      </rPr>
      <t>Tel: 91-44-26616007/6407</t>
    </r>
  </si>
  <si>
    <r>
      <rPr>
        <sz val="10"/>
        <color indexed="8"/>
        <rFont val="Arial"/>
        <family val="2"/>
      </rPr>
      <t>Fax: 91-44-52178054</t>
    </r>
  </si>
  <si>
    <r>
      <rPr>
        <b/>
        <sz val="10"/>
        <color indexed="8"/>
        <rFont val="Arial"/>
        <family val="2"/>
      </rPr>
      <t>Mumbai</t>
    </r>
    <r>
      <rPr>
        <sz val="10"/>
        <color indexed="8"/>
        <rFont val="Arial"/>
        <family val="2"/>
      </rPr>
      <t xml:space="preserve"> - 400 076 </t>
    </r>
  </si>
  <si>
    <r>
      <rPr>
        <b/>
        <sz val="10"/>
        <color indexed="8"/>
        <rFont val="Arial"/>
        <family val="2"/>
      </rPr>
      <t xml:space="preserve">New Delhi </t>
    </r>
    <r>
      <rPr>
        <sz val="10"/>
        <color indexed="8"/>
        <rFont val="Arial"/>
        <family val="2"/>
      </rPr>
      <t>–110 049</t>
    </r>
  </si>
  <si>
    <r>
      <rPr>
        <sz val="10"/>
        <color indexed="8"/>
        <rFont val="Arial"/>
        <family val="2"/>
      </rPr>
      <t xml:space="preserve">Kilpauk, </t>
    </r>
    <r>
      <rPr>
        <b/>
        <sz val="10"/>
        <color indexed="8"/>
        <rFont val="Arial"/>
        <family val="2"/>
      </rPr>
      <t>Chennai</t>
    </r>
    <r>
      <rPr>
        <sz val="10"/>
        <color indexed="8"/>
        <rFont val="Arial"/>
        <family val="2"/>
      </rPr>
      <t xml:space="preserve"> 600 010</t>
    </r>
  </si>
  <si>
    <r>
      <rPr>
        <sz val="8"/>
        <color indexed="8"/>
        <rFont val="Arial"/>
        <family val="2"/>
      </rPr>
      <t xml:space="preserve">Просим приложить стандартное свежее ФОТО нужного размера, как для паспорта. 
</t>
    </r>
  </si>
  <si>
    <r>
      <rPr>
        <b/>
        <sz val="11"/>
        <rFont val="Arial"/>
        <family val="2"/>
      </rPr>
      <t>Date / Дата:</t>
    </r>
  </si>
  <si>
    <t>fb1 is the row number</t>
  </si>
  <si>
    <r>
      <rPr>
        <b/>
        <sz val="10"/>
        <color indexed="8"/>
        <rFont val="Arial"/>
        <family val="2"/>
      </rPr>
      <t>ZipCode / Почтовый индекс</t>
    </r>
  </si>
  <si>
    <r>
      <rPr>
        <b/>
        <sz val="10"/>
        <color indexed="8"/>
        <rFont val="Arial"/>
        <family val="2"/>
      </rPr>
      <t>Family/NOK/Emergency Contact / Фамилия/ближайшие родственники/Контакт в аварийной ситуации</t>
    </r>
  </si>
  <si>
    <r>
      <rPr>
        <b/>
        <sz val="8"/>
        <rFont val="Arial"/>
        <family val="2"/>
      </rPr>
      <t>GRT / Водоизмещение</t>
    </r>
  </si>
  <si>
    <r>
      <rPr>
        <b/>
        <sz val="10"/>
        <color indexed="8"/>
        <rFont val="Arial"/>
        <family val="2"/>
      </rPr>
      <t>INDOS Number / Номер INDOS</t>
    </r>
  </si>
  <si>
    <r>
      <rPr>
        <b/>
        <sz val="10"/>
        <color indexed="8"/>
        <rFont val="Arial"/>
        <family val="2"/>
      </rPr>
      <t>Date Of Availability / Дата готовности приступить к работе:</t>
    </r>
  </si>
  <si>
    <r>
      <rPr>
        <b/>
        <sz val="10"/>
        <color indexed="8"/>
        <rFont val="Arial"/>
        <family val="2"/>
      </rPr>
      <t>SIGNATURE OF APPLICANT / ПОДПИСЬ ЗАЯВИТЕЛЯ</t>
    </r>
  </si>
  <si>
    <r>
      <rPr>
        <b/>
        <sz val="10"/>
        <color indexed="8"/>
        <rFont val="Arial"/>
        <family val="2"/>
      </rPr>
      <t>[date format - dd/mmm/yy / формат даты - дд/ммм/гг]</t>
    </r>
  </si>
  <si>
    <r>
      <rPr>
        <b/>
        <sz val="10"/>
        <color indexed="8"/>
        <rFont val="Arial"/>
        <family val="2"/>
      </rPr>
      <t>[select from dropdown menu / выбрать из выпадающего меню ]</t>
    </r>
  </si>
  <si>
    <r>
      <rPr>
        <b/>
        <sz val="10"/>
        <rFont val="Arial"/>
        <family val="2"/>
      </rPr>
      <t>Issuing Authority / Выдавшая организация</t>
    </r>
  </si>
  <si>
    <r>
      <rPr>
        <sz val="10"/>
        <color indexed="8"/>
        <rFont val="Arial"/>
        <family val="2"/>
      </rPr>
      <t>E-mail: seacareers@eurasiagroup.com</t>
    </r>
  </si>
  <si>
    <r>
      <rPr>
        <sz val="10"/>
        <color indexed="8"/>
        <rFont val="Arial"/>
        <family val="2"/>
      </rPr>
      <t>Email : seacareers@eurasiagroup.com</t>
    </r>
  </si>
  <si>
    <r>
      <rPr>
        <b/>
        <sz val="10"/>
        <color indexed="8"/>
        <rFont val="Arial"/>
        <family val="2"/>
      </rPr>
      <t>Issuing Country / Страна выдачи</t>
    </r>
  </si>
  <si>
    <r>
      <rPr>
        <b/>
        <sz val="11"/>
        <color indexed="8"/>
        <rFont val="Arial"/>
        <family val="2"/>
      </rPr>
      <t xml:space="preserve">Application form not validated  </t>
    </r>
  </si>
  <si>
    <r>
      <rPr>
        <b/>
        <sz val="11"/>
        <color indexed="8"/>
        <rFont val="Arial"/>
        <family val="2"/>
      </rPr>
      <t>will be rejected / Форма заявки в не подтвержденном виде будет отклонена.</t>
    </r>
  </si>
  <si>
    <r>
      <rPr>
        <b/>
        <sz val="10"/>
        <color indexed="8"/>
        <rFont val="Arial"/>
        <family val="2"/>
      </rPr>
      <t>Eurasia Group.:-   License No.RPSL-MUM-026  Valid till 06.07.2011</t>
    </r>
  </si>
  <si>
    <r>
      <rPr>
        <sz val="10"/>
        <color indexed="8"/>
        <rFont val="Arial"/>
        <family val="2"/>
      </rPr>
      <t xml:space="preserve">Are you willing to accept any other position ? </t>
    </r>
    <r>
      <rPr>
        <b/>
        <sz val="10"/>
        <color indexed="8"/>
        <rFont val="Arial"/>
        <family val="2"/>
      </rPr>
      <t>If yes please give details</t>
    </r>
    <r>
      <rPr>
        <sz val="10"/>
        <color indexed="8"/>
        <rFont val="Arial"/>
        <family val="2"/>
      </rPr>
      <t xml:space="preserve">. / Вы готовы занять любую иную должность? </t>
    </r>
    <r>
      <rPr>
        <b/>
        <sz val="10"/>
        <color indexed="8"/>
        <rFont val="Arial"/>
        <family val="2"/>
      </rPr>
      <t>Если да, просьба предоставить сведения.</t>
    </r>
  </si>
  <si>
    <r>
      <rPr>
        <sz val="10"/>
        <color indexed="8"/>
        <rFont val="Arial"/>
        <family val="2"/>
      </rPr>
      <t xml:space="preserve">Are you responding to a media advertisement ? </t>
    </r>
    <r>
      <rPr>
        <b/>
        <sz val="10"/>
        <color indexed="8"/>
        <rFont val="Arial"/>
        <family val="2"/>
      </rPr>
      <t xml:space="preserve">If yes please give details / </t>
    </r>
    <r>
      <rPr>
        <sz val="10"/>
        <color indexed="8"/>
        <rFont val="Arial"/>
        <family val="2"/>
      </rPr>
      <t xml:space="preserve">Вы пришли по объявлению в СМИ? </t>
    </r>
    <r>
      <rPr>
        <b/>
        <sz val="10"/>
        <color indexed="8"/>
        <rFont val="Arial"/>
        <family val="2"/>
      </rPr>
      <t>Если да, просьба предоставить сведения.</t>
    </r>
  </si>
  <si>
    <r>
      <rPr>
        <b/>
        <sz val="10"/>
        <color indexed="8"/>
        <rFont val="Arial"/>
        <family val="2"/>
      </rPr>
      <t>FOR ENGINEERS / ДЛЯ МЕХАНИКОВ</t>
    </r>
  </si>
  <si>
    <r>
      <rPr>
        <b/>
        <sz val="10"/>
        <rFont val="Arial"/>
        <family val="2"/>
      </rPr>
      <t>Generators / Генераторы</t>
    </r>
  </si>
  <si>
    <r>
      <rPr>
        <b/>
        <sz val="10"/>
        <rFont val="Arial"/>
        <family val="2"/>
      </rPr>
      <t>Purifiers and Boilers / Водоочистители и бойлеры</t>
    </r>
  </si>
  <si>
    <r>
      <rPr>
        <b/>
        <sz val="10"/>
        <rFont val="Arial"/>
        <family val="2"/>
      </rPr>
      <t xml:space="preserve">Type of Cranes / No of Reefer / Типы кранов / Кол-во рефрижераторных </t>
    </r>
  </si>
  <si>
    <r>
      <rPr>
        <b/>
        <sz val="10"/>
        <rFont val="Arial"/>
        <family val="2"/>
      </rPr>
      <t>Containers / Контейнеров</t>
    </r>
  </si>
  <si>
    <r>
      <rPr>
        <b/>
        <sz val="10"/>
        <rFont val="Arial"/>
        <family val="2"/>
      </rPr>
      <t>Container</t>
    </r>
  </si>
  <si>
    <r>
      <rPr>
        <b/>
        <sz val="10"/>
        <rFont val="Arial"/>
        <family val="2"/>
      </rPr>
      <t>PCC</t>
    </r>
  </si>
  <si>
    <r>
      <rPr>
        <b/>
        <sz val="10"/>
        <rFont val="Arial"/>
        <family val="2"/>
      </rPr>
      <t>Reefer</t>
    </r>
  </si>
  <si>
    <r>
      <rPr>
        <b/>
        <sz val="10"/>
        <rFont val="Arial"/>
        <family val="2"/>
      </rPr>
      <t>Multi Purpose</t>
    </r>
  </si>
  <si>
    <r>
      <rPr>
        <b/>
        <sz val="10"/>
        <rFont val="Arial"/>
        <family val="2"/>
      </rPr>
      <t>LAST SALARY DRAWN (Please Mention Currency) / ПОСЛЕДНЯЯ ПОЛУЧЕННАЯ ЗАПЛАТА (указать валюту)</t>
    </r>
  </si>
  <si>
    <r>
      <rPr>
        <b/>
        <sz val="10"/>
        <color indexed="8"/>
        <rFont val="Arial"/>
        <family val="2"/>
      </rPr>
      <t xml:space="preserve">SAILING EXPERIENCE: /    </t>
    </r>
    <r>
      <rPr>
        <b/>
        <sz val="10"/>
        <color indexed="8"/>
        <rFont val="Arial"/>
        <family val="2"/>
      </rPr>
      <t>( Please advise PRESENT RANK EXPERIENCE on each type of vessel )</t>
    </r>
  </si>
  <si>
    <t/>
  </si>
  <si>
    <r>
      <rPr>
        <sz val="10"/>
        <rFont val="Arial"/>
      </rPr>
      <t>CHIEF OFFICER</t>
    </r>
  </si>
  <si>
    <r>
      <rPr>
        <sz val="10"/>
        <rFont val="Arial"/>
      </rPr>
      <t>2ND OFFICER</t>
    </r>
  </si>
  <si>
    <r>
      <rPr>
        <sz val="10"/>
        <rFont val="Arial"/>
      </rPr>
      <t>3RD OFFICER</t>
    </r>
  </si>
  <si>
    <r>
      <rPr>
        <sz val="10"/>
        <rFont val="Arial"/>
      </rPr>
      <t>CHIEF ENGINEER</t>
    </r>
  </si>
  <si>
    <r>
      <rPr>
        <sz val="10"/>
        <rFont val="Arial"/>
      </rPr>
      <t>2ND ENGINEER</t>
    </r>
  </si>
  <si>
    <r>
      <rPr>
        <sz val="10"/>
        <rFont val="Arial"/>
      </rPr>
      <t>3RD ENGINEER</t>
    </r>
  </si>
  <si>
    <r>
      <rPr>
        <sz val="10"/>
        <rFont val="Arial"/>
      </rPr>
      <t>OTHER</t>
    </r>
  </si>
  <si>
    <r>
      <rPr>
        <b/>
        <sz val="10"/>
        <color indexed="8"/>
        <rFont val="Arial"/>
        <family val="2"/>
      </rPr>
      <t>EDUCATIONAL BACKGROUND / ОБРАЗОВАНИЕ</t>
    </r>
  </si>
  <si>
    <r>
      <rPr>
        <b/>
        <sz val="10"/>
        <color indexed="8"/>
        <rFont val="Arial"/>
        <family val="2"/>
      </rPr>
      <t>TECHNICAL BACKGROUND / ТЕХНИЧЕСКОЕ ОБРАЗОВАНИЕ</t>
    </r>
  </si>
  <si>
    <r>
      <rPr>
        <b/>
        <sz val="10"/>
        <color indexed="8"/>
        <rFont val="Arial"/>
        <family val="2"/>
      </rPr>
      <t>Qualification Received / Полученная квалификация</t>
    </r>
  </si>
  <si>
    <r>
      <rPr>
        <b/>
        <sz val="10"/>
        <color indexed="8"/>
        <rFont val="Arial"/>
        <family val="2"/>
      </rPr>
      <t>Name of Institute / Colleges Attended / Названия оконченных учебных заведений</t>
    </r>
  </si>
  <si>
    <t>Percentage / Grade / Набранный процент / Разряд</t>
  </si>
  <si>
    <r>
      <rPr>
        <b/>
        <sz val="10"/>
        <color indexed="8"/>
        <rFont val="Arial"/>
        <family val="2"/>
      </rPr>
      <t>Type of Degree / Diploma Received / Полученная степень/ диплом</t>
    </r>
  </si>
  <si>
    <r>
      <rPr>
        <b/>
        <sz val="10"/>
        <color indexed="8"/>
        <rFont val="Arial"/>
        <family val="2"/>
      </rPr>
      <t>IDENTITY DOCUMENTS / ДОКУМЕНТЫ, УДОСТОВЕРЯЮЩИЕ ЛИЧНОСТЬ</t>
    </r>
  </si>
  <si>
    <r>
      <rPr>
        <b/>
        <sz val="10"/>
        <color indexed="8"/>
        <rFont val="Arial"/>
        <family val="2"/>
      </rPr>
      <t>Document / Документ</t>
    </r>
  </si>
  <si>
    <t>Seaman Book / Паспорт моряка:</t>
  </si>
  <si>
    <t>Passport / Паспорт:</t>
  </si>
  <si>
    <r>
      <rPr>
        <b/>
        <sz val="10"/>
        <color indexed="8"/>
        <rFont val="Arial"/>
        <family val="2"/>
      </rPr>
      <t>MUI Number / Номер MUI</t>
    </r>
  </si>
  <si>
    <r>
      <rPr>
        <sz val="9"/>
        <color indexed="8"/>
        <rFont val="Arial"/>
        <family val="2"/>
      </rPr>
      <t xml:space="preserve">Have you been rejected for any visa applied for  ? </t>
    </r>
    <r>
      <rPr>
        <b/>
        <sz val="9"/>
        <color indexed="8"/>
        <rFont val="Arial"/>
        <family val="2"/>
      </rPr>
      <t xml:space="preserve">If yes please state the country and reason. / </t>
    </r>
    <r>
      <rPr>
        <sz val="9"/>
        <color indexed="8"/>
        <rFont val="Arial"/>
        <family val="2"/>
      </rPr>
      <t xml:space="preserve">Отклоняли ли ваши заявки на получение визы? </t>
    </r>
    <r>
      <rPr>
        <b/>
        <sz val="9"/>
        <color indexed="8"/>
        <rFont val="Arial"/>
        <family val="2"/>
      </rPr>
      <t>Если да, укажите страну и причину.</t>
    </r>
  </si>
  <si>
    <r>
      <rPr>
        <b/>
        <sz val="10"/>
        <color indexed="8"/>
        <rFont val="Arial"/>
        <family val="2"/>
      </rPr>
      <t>MEDICAL HISTORY / МЕДИЦИНСКАЯ ИСТОРИЯ</t>
    </r>
  </si>
  <si>
    <r>
      <rPr>
        <sz val="9"/>
        <color indexed="8"/>
        <rFont val="Arial"/>
        <family val="2"/>
      </rPr>
      <t xml:space="preserve">Have you ever signed off a ship due to medical reason ? </t>
    </r>
    <r>
      <rPr>
        <b/>
        <sz val="9"/>
        <color indexed="8"/>
        <rFont val="Arial"/>
        <family val="2"/>
      </rPr>
      <t xml:space="preserve">If yes please give details / </t>
    </r>
    <r>
      <rPr>
        <sz val="9"/>
        <color indexed="8"/>
        <rFont val="Arial"/>
        <family val="2"/>
      </rPr>
      <t xml:space="preserve">Увольнялись вы когда-либо с судна по медицинской причине? </t>
    </r>
    <r>
      <rPr>
        <b/>
        <sz val="9"/>
        <color indexed="8"/>
        <rFont val="Arial"/>
        <family val="2"/>
      </rPr>
      <t>Если да, то просьба представить подробную информацию.</t>
    </r>
  </si>
  <si>
    <r>
      <rPr>
        <sz val="9"/>
        <color indexed="8"/>
        <rFont val="Arial"/>
        <family val="2"/>
      </rPr>
      <t xml:space="preserve">Have you undergone any operation in the past ? </t>
    </r>
    <r>
      <rPr>
        <b/>
        <sz val="9"/>
        <color indexed="8"/>
        <rFont val="Arial"/>
        <family val="2"/>
      </rPr>
      <t xml:space="preserve">If yes please give details / </t>
    </r>
    <r>
      <rPr>
        <sz val="9"/>
        <color indexed="8"/>
        <rFont val="Arial"/>
        <family val="2"/>
      </rPr>
      <t xml:space="preserve">Вы перенесли какие-либо операции? </t>
    </r>
    <r>
      <rPr>
        <b/>
        <sz val="9"/>
        <color indexed="8"/>
        <rFont val="Arial"/>
        <family val="2"/>
      </rPr>
      <t>Если да, то просьба представить подробную информацию.</t>
    </r>
  </si>
  <si>
    <r>
      <rPr>
        <sz val="9"/>
        <color indexed="8"/>
        <rFont val="Arial"/>
        <family val="2"/>
      </rPr>
      <t xml:space="preserve">Have you consulted a doctor during the last 12 months for an illness / accident ?   </t>
    </r>
    <r>
      <rPr>
        <b/>
        <sz val="9"/>
        <color indexed="8"/>
        <rFont val="Arial"/>
        <family val="2"/>
      </rPr>
      <t xml:space="preserve">If yes please give details / </t>
    </r>
    <r>
      <rPr>
        <sz val="9"/>
        <color indexed="8"/>
        <rFont val="Arial"/>
        <family val="2"/>
      </rPr>
      <t xml:space="preserve">Обращались ли вы за последние 12 месяцев к врачу по болезни/из-за несчастного случая? </t>
    </r>
    <r>
      <rPr>
        <b/>
        <sz val="9"/>
        <color indexed="8"/>
        <rFont val="Arial"/>
        <family val="2"/>
      </rPr>
      <t>Если да, то просьба представить подробную информацию.</t>
    </r>
  </si>
  <si>
    <r>
      <rPr>
        <sz val="9"/>
        <color indexed="8"/>
        <rFont val="Arial"/>
        <family val="2"/>
      </rPr>
      <t xml:space="preserve">Do you have any health or disability problem now ? </t>
    </r>
    <r>
      <rPr>
        <b/>
        <sz val="9"/>
        <color indexed="8"/>
        <rFont val="Arial"/>
        <family val="2"/>
      </rPr>
      <t xml:space="preserve">If yes please give details / </t>
    </r>
    <r>
      <rPr>
        <sz val="9"/>
        <color indexed="8"/>
        <rFont val="Arial"/>
        <family val="2"/>
      </rPr>
      <t xml:space="preserve">Если ли у вас в данный момент какие-либо проблемы со здоровьем или инвалидность? </t>
    </r>
    <r>
      <rPr>
        <b/>
        <sz val="9"/>
        <color indexed="8"/>
        <rFont val="Arial"/>
        <family val="2"/>
      </rPr>
      <t>Если да, то просьба представить подробную информацию.</t>
    </r>
  </si>
  <si>
    <r>
      <rPr>
        <b/>
        <sz val="10"/>
        <color indexed="8"/>
        <rFont val="Arial"/>
        <family val="2"/>
      </rPr>
      <t>GENERAL / ОБЩИЕ СВЕДЕНИЯ</t>
    </r>
  </si>
  <si>
    <r>
      <rPr>
        <sz val="9"/>
        <color indexed="8"/>
        <rFont val="Arial"/>
        <family val="2"/>
      </rPr>
      <t xml:space="preserve">Have you ever been subject of a court of enquiry or involved in a maritime accident ?  </t>
    </r>
    <r>
      <rPr>
        <b/>
        <sz val="9"/>
        <color indexed="8"/>
        <rFont val="Arial"/>
        <family val="2"/>
      </rPr>
      <t xml:space="preserve">If yes please give details / </t>
    </r>
    <r>
      <rPr>
        <sz val="9"/>
        <color indexed="8"/>
        <rFont val="Arial"/>
        <family val="2"/>
      </rPr>
      <t xml:space="preserve">Являлись ли вы когда-либо фигурантом в суде или следствии или участвовали в морском происшествии? </t>
    </r>
    <r>
      <rPr>
        <b/>
        <sz val="9"/>
        <color indexed="8"/>
        <rFont val="Arial"/>
        <family val="2"/>
      </rPr>
      <t>Если да, то просьба представить подробную информацию.</t>
    </r>
  </si>
  <si>
    <r>
      <rPr>
        <sz val="9"/>
        <color indexed="8"/>
        <rFont val="Arial"/>
        <family val="2"/>
      </rPr>
      <t xml:space="preserve">Have you ever had a professional license suspended or revoked ?  </t>
    </r>
    <r>
      <rPr>
        <b/>
        <sz val="9"/>
        <color indexed="8"/>
        <rFont val="Arial"/>
        <family val="2"/>
      </rPr>
      <t xml:space="preserve">If yes please give details / </t>
    </r>
    <r>
      <rPr>
        <sz val="9"/>
        <color indexed="8"/>
        <rFont val="Arial"/>
        <family val="2"/>
      </rPr>
      <t xml:space="preserve">Вашу профессиональную лицензию когда-либо приостанавливали или отзывали? </t>
    </r>
    <r>
      <rPr>
        <b/>
        <sz val="9"/>
        <color indexed="8"/>
        <rFont val="Arial"/>
        <family val="2"/>
      </rPr>
      <t>Если да, то просьба представить подробную информацию.</t>
    </r>
  </si>
  <si>
    <r>
      <rPr>
        <b/>
        <sz val="10"/>
        <color indexed="8"/>
        <rFont val="Arial"/>
        <family val="2"/>
      </rPr>
      <t>REVIEW / ОБЗОР</t>
    </r>
  </si>
  <si>
    <r>
      <rPr>
        <sz val="10"/>
        <rFont val="Times New Roman"/>
        <family val="1"/>
      </rPr>
      <t>I certify that the details given by me in filling up this form are true, complete, and correct to best of my knowledge and belief. I understand that any misrepresentation or material omission made in this application     form or other documents submitted  may renders me liable for termination or dismissal. / Я удостоверяю, что предоставленные мною в данной форме сведения правдивы, полны и верны, в меру моих знаний и понимания. Я понимаю, что предоставление неверных сведений или их сокрытие в данной форме или иных документах может послужить основанием для моего увольнения.</t>
    </r>
  </si>
  <si>
    <r>
      <rPr>
        <sz val="10"/>
        <color indexed="8"/>
        <rFont val="Arial"/>
        <family val="2"/>
      </rPr>
      <t xml:space="preserve">  </t>
    </r>
  </si>
  <si>
    <r>
      <rPr>
        <b/>
        <sz val="10"/>
        <rFont val="Arial"/>
        <family val="2"/>
      </rPr>
      <t>Percentage / Набранный процент</t>
    </r>
  </si>
  <si>
    <r>
      <rPr>
        <b/>
        <sz val="10"/>
        <rFont val="Arial"/>
        <family val="2"/>
      </rPr>
      <t>Grade / Разряд</t>
    </r>
  </si>
  <si>
    <r>
      <rPr>
        <b/>
        <sz val="10"/>
        <color indexed="8"/>
        <rFont val="Arial"/>
        <family val="2"/>
      </rPr>
      <t>[date format - dd/mmm/yy / формат даты - дд/ммм/гг ]</t>
    </r>
  </si>
  <si>
    <r>
      <rPr>
        <b/>
        <sz val="10"/>
        <color indexed="9"/>
        <rFont val="Arial"/>
        <family val="2"/>
      </rPr>
      <t>Family Last / Фамилия</t>
    </r>
  </si>
  <si>
    <r>
      <rPr>
        <b/>
        <sz val="10"/>
        <color indexed="8"/>
        <rFont val="Arial"/>
        <family val="2"/>
      </rPr>
      <t>Birth Date / Дата рождения:</t>
    </r>
  </si>
  <si>
    <r>
      <rPr>
        <b/>
        <sz val="10"/>
        <color indexed="8"/>
        <rFont val="Arial"/>
        <family val="2"/>
      </rPr>
      <t>3 a</t>
    </r>
  </si>
  <si>
    <r>
      <rPr>
        <b/>
        <sz val="10"/>
        <color indexed="8"/>
        <rFont val="Arial"/>
        <family val="2"/>
      </rPr>
      <t>3 b</t>
    </r>
  </si>
  <si>
    <r>
      <rPr>
        <b/>
        <sz val="10"/>
        <rFont val="Arial"/>
        <family val="2"/>
      </rPr>
      <t>SAFETY SHOES SIZE (Inch) / РАЗМЕР СПЕЦОБУВИ (дюймы):</t>
    </r>
  </si>
  <si>
    <r>
      <rPr>
        <b/>
        <sz val="10"/>
        <color indexed="8"/>
        <rFont val="Arial"/>
        <family val="2"/>
      </rPr>
      <t>WAIST (Cms) / ОБХВАТ ТАЛИИ (см):</t>
    </r>
  </si>
  <si>
    <r>
      <rPr>
        <b/>
        <sz val="10"/>
        <color indexed="8"/>
        <rFont val="Arial"/>
        <family val="2"/>
      </rPr>
      <t>Yellow Fever / Тропическая лихорадка</t>
    </r>
  </si>
  <si>
    <r>
      <rPr>
        <b/>
        <sz val="10"/>
        <color indexed="8"/>
        <rFont val="Arial"/>
        <family val="2"/>
      </rPr>
      <t>Other Visa / Другие визы</t>
    </r>
  </si>
  <si>
    <r>
      <rPr>
        <b/>
        <sz val="8"/>
        <rFont val="Arial"/>
        <family val="2"/>
      </rPr>
      <t>Engine Type / Тип машины</t>
    </r>
  </si>
  <si>
    <r>
      <rPr>
        <b/>
        <sz val="8"/>
        <rFont val="Arial"/>
        <family val="2"/>
      </rPr>
      <t>BHP / Мощность брутто</t>
    </r>
  </si>
  <si>
    <r>
      <rPr>
        <b/>
        <sz val="8"/>
        <color indexed="8"/>
        <rFont val="Arial"/>
        <family val="2"/>
      </rPr>
      <t>Signoff Reason / Причина увольнения</t>
    </r>
  </si>
  <si>
    <r>
      <rPr>
        <b/>
        <sz val="8"/>
        <color indexed="8"/>
        <rFont val="Arial"/>
        <family val="2"/>
      </rPr>
      <t>TUEs</t>
    </r>
  </si>
  <si>
    <r>
      <rPr>
        <b/>
        <sz val="8"/>
        <color indexed="8"/>
        <rFont val="Arial"/>
        <family val="2"/>
      </rPr>
      <t>Engine Model / Модель машины</t>
    </r>
  </si>
  <si>
    <t>New Format1</t>
  </si>
  <si>
    <r>
      <rPr>
        <b/>
        <sz val="8"/>
        <rFont val="Arial"/>
        <family val="2"/>
      </rPr>
      <t>Vsl Age / Возраст судна</t>
    </r>
  </si>
  <si>
    <r>
      <rPr>
        <sz val="9"/>
        <color indexed="8"/>
        <rFont val="Arial"/>
        <family val="2"/>
      </rPr>
      <t xml:space="preserve">If immediate employment is not available do you wish to be considered for future vacancies ? </t>
    </r>
    <r>
      <rPr>
        <b/>
        <sz val="9"/>
        <color indexed="8"/>
        <rFont val="Arial"/>
        <family val="2"/>
      </rPr>
      <t xml:space="preserve">If yes please give any alternative contact details not shown in section 2 / </t>
    </r>
    <r>
      <rPr>
        <sz val="9"/>
        <color indexed="8"/>
        <rFont val="Arial"/>
        <family val="2"/>
      </rPr>
      <t xml:space="preserve">Если в данный момент трудоустроить вас не получится, рассматривать ли вашу кандидату для будущих вакансий? </t>
    </r>
    <r>
      <rPr>
        <b/>
        <sz val="9"/>
        <color indexed="8"/>
        <rFont val="Arial"/>
        <family val="2"/>
      </rPr>
      <t>Если да, укажите альтернативные способы связи с вами, помимо указанных в разделе 2</t>
    </r>
  </si>
  <si>
    <r>
      <rPr>
        <b/>
        <sz val="10"/>
        <color indexed="8"/>
        <rFont val="Arial"/>
        <family val="2"/>
      </rPr>
      <t>Licence  Grade -  [Description] / Разряд лицензии - [Описание]</t>
    </r>
  </si>
  <si>
    <r>
      <rPr>
        <b/>
        <sz val="10"/>
        <color indexed="8"/>
        <rFont val="Arial"/>
        <family val="2"/>
      </rPr>
      <t>Date of Passing Exam / Дата сдачи экзамена</t>
    </r>
  </si>
  <si>
    <r>
      <rPr>
        <b/>
        <sz val="10"/>
        <color indexed="8"/>
        <rFont val="Arial"/>
        <family val="2"/>
      </rPr>
      <t>Place Issued / Место выдачи</t>
    </r>
  </si>
  <si>
    <r>
      <rPr>
        <sz val="10"/>
        <rFont val="Arial"/>
      </rPr>
      <t>$AC$2:$AC$34</t>
    </r>
  </si>
  <si>
    <r>
      <rPr>
        <sz val="10"/>
        <rFont val="Arial"/>
      </rPr>
      <t>AB-COOK</t>
    </r>
  </si>
  <si>
    <r>
      <rPr>
        <sz val="10"/>
        <rFont val="Arial"/>
      </rPr>
      <t>ASST DIVE SUPERVISOR</t>
    </r>
  </si>
  <si>
    <r>
      <rPr>
        <sz val="10"/>
        <rFont val="Arial"/>
      </rPr>
      <t>BERTHING MASTER ASSISTANT</t>
    </r>
  </si>
  <si>
    <r>
      <rPr>
        <sz val="10"/>
        <rFont val="Arial"/>
      </rPr>
      <t>CONTRACT MANAGER</t>
    </r>
  </si>
  <si>
    <r>
      <rPr>
        <sz val="10"/>
        <rFont val="Arial"/>
      </rPr>
      <t>COOK</t>
    </r>
  </si>
  <si>
    <r>
      <rPr>
        <sz val="10"/>
        <rFont val="Arial"/>
      </rPr>
      <t>DECK CADET</t>
    </r>
  </si>
  <si>
    <r>
      <rPr>
        <sz val="10"/>
        <rFont val="Arial"/>
      </rPr>
      <t>DECK TRAINEE</t>
    </r>
  </si>
  <si>
    <r>
      <rPr>
        <sz val="10"/>
        <rFont val="Arial"/>
      </rPr>
      <t>DIVE SUPERVISOR</t>
    </r>
  </si>
  <si>
    <r>
      <rPr>
        <sz val="10"/>
        <rFont val="Arial"/>
      </rPr>
      <t>DIVER</t>
    </r>
  </si>
  <si>
    <r>
      <rPr>
        <sz val="10"/>
        <rFont val="Arial"/>
      </rPr>
      <t>DIVER MEDIC</t>
    </r>
  </si>
  <si>
    <r>
      <rPr>
        <sz val="10"/>
        <rFont val="Arial"/>
      </rPr>
      <t>DPO</t>
    </r>
  </si>
  <si>
    <r>
      <rPr>
        <sz val="10"/>
        <rFont val="Arial"/>
      </rPr>
      <t>ELECTRICIAN</t>
    </r>
  </si>
  <si>
    <r>
      <rPr>
        <sz val="10"/>
        <rFont val="Arial"/>
      </rPr>
      <t>ENGINE CADET</t>
    </r>
  </si>
  <si>
    <r>
      <rPr>
        <sz val="10"/>
        <rFont val="Arial"/>
      </rPr>
      <t>LEAD DIVER</t>
    </r>
  </si>
  <si>
    <r>
      <rPr>
        <sz val="10"/>
        <rFont val="Arial"/>
      </rPr>
      <t>LEAD SEAMAN</t>
    </r>
  </si>
  <si>
    <r>
      <rPr>
        <sz val="10"/>
        <rFont val="Arial"/>
      </rPr>
      <t>MECHANIC</t>
    </r>
  </si>
  <si>
    <r>
      <rPr>
        <sz val="10"/>
        <rFont val="Arial"/>
      </rPr>
      <t>OFFCER OF NAV WATCH</t>
    </r>
  </si>
  <si>
    <r>
      <rPr>
        <sz val="10"/>
        <rFont val="Arial"/>
      </rPr>
      <t>OFFICER ON WATCH - ENGINE</t>
    </r>
  </si>
  <si>
    <r>
      <rPr>
        <sz val="10"/>
        <rFont val="Arial"/>
      </rPr>
      <t>ORDINARY SEAMAN</t>
    </r>
  </si>
  <si>
    <r>
      <rPr>
        <sz val="10"/>
        <rFont val="Arial"/>
      </rPr>
      <t>PILOT</t>
    </r>
  </si>
  <si>
    <r>
      <rPr>
        <sz val="10"/>
        <rFont val="Arial"/>
      </rPr>
      <t>RADIO OFFICER</t>
    </r>
  </si>
  <si>
    <r>
      <rPr>
        <sz val="10"/>
        <rFont val="Arial"/>
      </rPr>
      <t>SEAMAN</t>
    </r>
  </si>
  <si>
    <r>
      <rPr>
        <sz val="10"/>
        <rFont val="Arial"/>
      </rPr>
      <t>STEWARD</t>
    </r>
  </si>
  <si>
    <r>
      <rPr>
        <sz val="10"/>
        <rFont val="Arial"/>
      </rPr>
      <t>$AD$2:$AD$163</t>
    </r>
  </si>
  <si>
    <r>
      <rPr>
        <sz val="10"/>
        <rFont val="Arial"/>
      </rPr>
      <t>2. ENG - MOTOR ENDORSEMENT   I/10.1</t>
    </r>
  </si>
  <si>
    <r>
      <rPr>
        <sz val="10"/>
        <rFont val="Arial"/>
      </rPr>
      <t>2. ENG - MOTOR III/2</t>
    </r>
  </si>
  <si>
    <r>
      <rPr>
        <sz val="10"/>
        <rFont val="Arial"/>
      </rPr>
      <t>2. ENG - MOTOR LIMITED</t>
    </r>
  </si>
  <si>
    <r>
      <rPr>
        <sz val="10"/>
        <rFont val="Arial"/>
      </rPr>
      <t>2. ENG - MOTOR TRANSITIONAL     I/10.5</t>
    </r>
  </si>
  <si>
    <r>
      <rPr>
        <sz val="10"/>
        <rFont val="Arial"/>
      </rPr>
      <t>2. ENG - STEAM              III/2</t>
    </r>
  </si>
  <si>
    <r>
      <rPr>
        <sz val="10"/>
        <rFont val="Arial"/>
      </rPr>
      <t>2. ENG - STEAM  ENDORSEMENT   I/10.1</t>
    </r>
  </si>
  <si>
    <r>
      <rPr>
        <sz val="10"/>
        <rFont val="Arial"/>
      </rPr>
      <t>2. ENG - STEAM TRANSITIONAL    I/10.5</t>
    </r>
  </si>
  <si>
    <r>
      <rPr>
        <sz val="10"/>
        <rFont val="Arial"/>
      </rPr>
      <t>2. OFF - CEC</t>
    </r>
  </si>
  <si>
    <r>
      <rPr>
        <sz val="10"/>
        <rFont val="Arial"/>
      </rPr>
      <t>2. OFF - ENDORSEMENT   I/10.1</t>
    </r>
  </si>
  <si>
    <r>
      <rPr>
        <sz val="10"/>
        <rFont val="Arial"/>
      </rPr>
      <t>2. OFF - LIMITED</t>
    </r>
  </si>
  <si>
    <r>
      <rPr>
        <sz val="10"/>
        <rFont val="Arial"/>
      </rPr>
      <t>2. OFF - TRANSITIONAL  I/10.5</t>
    </r>
  </si>
  <si>
    <r>
      <rPr>
        <sz val="10"/>
        <rFont val="Arial"/>
      </rPr>
      <t>2. OFF II/1</t>
    </r>
  </si>
  <si>
    <r>
      <rPr>
        <sz val="10"/>
        <rFont val="Arial"/>
      </rPr>
      <t>2.ENG - CEC</t>
    </r>
  </si>
  <si>
    <r>
      <rPr>
        <sz val="10"/>
        <rFont val="Arial"/>
      </rPr>
      <t>2ND CLASS ELECT. ENGINEER OFFICER</t>
    </r>
  </si>
  <si>
    <r>
      <rPr>
        <sz val="10"/>
        <rFont val="Arial"/>
      </rPr>
      <t>3. ENG - MOTOR ENDORSEMENT   I/10.1</t>
    </r>
  </si>
  <si>
    <r>
      <rPr>
        <sz val="10"/>
        <rFont val="Arial"/>
      </rPr>
      <t>3. ENG - MOTOR III/1</t>
    </r>
  </si>
  <si>
    <r>
      <rPr>
        <sz val="10"/>
        <rFont val="Arial"/>
      </rPr>
      <t>3. ENG - MOTOR LIMITED</t>
    </r>
  </si>
  <si>
    <r>
      <rPr>
        <sz val="10"/>
        <rFont val="Arial"/>
      </rPr>
      <t>3. ENG - MOTOR TRANSITIONAL    I/10.5</t>
    </r>
  </si>
  <si>
    <r>
      <rPr>
        <sz val="10"/>
        <rFont val="Arial"/>
      </rPr>
      <t>3. ENG - STEAM             III/1</t>
    </r>
  </si>
  <si>
    <r>
      <rPr>
        <sz val="10"/>
        <rFont val="Arial"/>
      </rPr>
      <t>3. ENG - STEAM ENDORSEMENT   I/10.1</t>
    </r>
  </si>
  <si>
    <r>
      <rPr>
        <sz val="10"/>
        <rFont val="Arial"/>
      </rPr>
      <t>3. ENG - STEAM TRANSITIONAL - I/10.5</t>
    </r>
  </si>
  <si>
    <r>
      <rPr>
        <sz val="10"/>
        <rFont val="Arial"/>
      </rPr>
      <t>3. OFF - ENDORSEMENT I/10.1</t>
    </r>
  </si>
  <si>
    <r>
      <rPr>
        <sz val="10"/>
        <rFont val="Arial"/>
      </rPr>
      <t>3. OFF - LIMITED</t>
    </r>
  </si>
  <si>
    <r>
      <rPr>
        <sz val="10"/>
        <rFont val="Arial"/>
      </rPr>
      <t>3. OFF - TRANSITIONAL I/10.5</t>
    </r>
  </si>
  <si>
    <r>
      <rPr>
        <sz val="10"/>
        <rFont val="Arial"/>
      </rPr>
      <t>3. OFF II/1</t>
    </r>
  </si>
  <si>
    <r>
      <rPr>
        <sz val="10"/>
        <rFont val="Arial"/>
      </rPr>
      <t>3.ENG - CEC</t>
    </r>
  </si>
  <si>
    <r>
      <rPr>
        <sz val="10"/>
        <rFont val="Arial"/>
      </rPr>
      <t>4. ENG - MOTOR  LIMITED</t>
    </r>
  </si>
  <si>
    <r>
      <rPr>
        <sz val="10"/>
        <rFont val="Arial"/>
      </rPr>
      <t>4. ENG - MOTOR  TRANSITIONAL    I/10.5</t>
    </r>
  </si>
  <si>
    <r>
      <rPr>
        <sz val="10"/>
        <rFont val="Arial"/>
      </rPr>
      <t>4. ENG - MOTOR ENDORSEMENT   I/10.1</t>
    </r>
  </si>
  <si>
    <r>
      <rPr>
        <sz val="10"/>
        <rFont val="Arial"/>
      </rPr>
      <t>4. ENG - MOTOR III/1</t>
    </r>
  </si>
  <si>
    <r>
      <rPr>
        <sz val="10"/>
        <rFont val="Arial"/>
      </rPr>
      <t>4. ENG - STEAM          III/1</t>
    </r>
  </si>
  <si>
    <r>
      <rPr>
        <sz val="10"/>
        <rFont val="Arial"/>
      </rPr>
      <t>4. ENG - STEAM ENDORSEMENT   1/10.1</t>
    </r>
  </si>
  <si>
    <r>
      <rPr>
        <sz val="10"/>
        <rFont val="Arial"/>
      </rPr>
      <t>4. ENG - STEAM TRANSITIONAL  I/10.5</t>
    </r>
  </si>
  <si>
    <r>
      <rPr>
        <sz val="10"/>
        <rFont val="Arial"/>
      </rPr>
      <t>AIR DIVE SUPERVISOR</t>
    </r>
  </si>
  <si>
    <r>
      <rPr>
        <sz val="10"/>
        <rFont val="Arial"/>
      </rPr>
      <t>AIR DIVER</t>
    </r>
  </si>
  <si>
    <r>
      <rPr>
        <sz val="10"/>
        <rFont val="Arial"/>
      </rPr>
      <t>AIR DIVER MEDIC</t>
    </r>
  </si>
  <si>
    <r>
      <rPr>
        <sz val="10"/>
        <rFont val="Arial"/>
      </rPr>
      <t>AIR INSPECTION DIVERS</t>
    </r>
  </si>
  <si>
    <r>
      <rPr>
        <sz val="10"/>
        <rFont val="Arial"/>
      </rPr>
      <t>ANTIGUA &amp; BARBUDA ENDORSEMENT</t>
    </r>
  </si>
  <si>
    <r>
      <rPr>
        <sz val="10"/>
        <rFont val="Arial"/>
      </rPr>
      <t>ANTIGUA &amp; BARBUDA GMDSS</t>
    </r>
  </si>
  <si>
    <r>
      <rPr>
        <sz val="10"/>
        <rFont val="Arial"/>
      </rPr>
      <t>ANTIGUA &amp; BARBUDA LICENSE</t>
    </r>
  </si>
  <si>
    <r>
      <rPr>
        <sz val="10"/>
        <rFont val="Arial"/>
      </rPr>
      <t>APPLICATION FOR FLAG STATE ENDORSEMENT</t>
    </r>
  </si>
  <si>
    <r>
      <rPr>
        <sz val="10"/>
        <rFont val="Arial"/>
      </rPr>
      <t>AUTHORITY TO OPERATE A RADIO STATION(ATO) HKG</t>
    </r>
  </si>
  <si>
    <r>
      <rPr>
        <sz val="10"/>
        <rFont val="Arial"/>
      </rPr>
      <t>BAHAMA GMDSS</t>
    </r>
  </si>
  <si>
    <r>
      <rPr>
        <sz val="10"/>
        <rFont val="Arial"/>
      </rPr>
      <t>BAHAMAS FLAG ENDORSEMENT</t>
    </r>
  </si>
  <si>
    <r>
      <rPr>
        <sz val="10"/>
        <rFont val="Arial"/>
      </rPr>
      <t>BAHAMAS GMDSS ENDORSEMENT</t>
    </r>
  </si>
  <si>
    <r>
      <rPr>
        <sz val="10"/>
        <rFont val="Arial"/>
      </rPr>
      <t>BERMUDA ENDORSEMENT</t>
    </r>
  </si>
  <si>
    <r>
      <rPr>
        <sz val="10"/>
        <rFont val="Arial"/>
      </rPr>
      <t>BVI FLAG ENDORSEMENT</t>
    </r>
  </si>
  <si>
    <r>
      <rPr>
        <sz val="10"/>
        <rFont val="Arial"/>
      </rPr>
      <t>CADET MARITIME DECK OFFICER</t>
    </r>
  </si>
  <si>
    <r>
      <rPr>
        <sz val="10"/>
        <rFont val="Arial"/>
      </rPr>
      <t>CADET MARITIME ELECTRICAL OFFICER</t>
    </r>
  </si>
  <si>
    <r>
      <rPr>
        <sz val="10"/>
        <rFont val="Arial"/>
      </rPr>
      <t>CADET MARITIME ENGINE OFFICER</t>
    </r>
  </si>
  <si>
    <r>
      <rPr>
        <sz val="10"/>
        <rFont val="Arial"/>
      </rPr>
      <t>CH. OFF - CEC</t>
    </r>
  </si>
  <si>
    <r>
      <rPr>
        <sz val="10"/>
        <rFont val="Arial"/>
      </rPr>
      <t>CH.ENG - MOTOR ENDORSEMENT   I/10.1</t>
    </r>
  </si>
  <si>
    <r>
      <rPr>
        <sz val="10"/>
        <rFont val="Arial"/>
      </rPr>
      <t>CH.ENG - MOTOR III/2</t>
    </r>
  </si>
  <si>
    <r>
      <rPr>
        <sz val="10"/>
        <rFont val="Arial"/>
      </rPr>
      <t>CH.ENG - MOTOR LIMITED</t>
    </r>
  </si>
  <si>
    <r>
      <rPr>
        <sz val="10"/>
        <rFont val="Arial"/>
      </rPr>
      <t>CH.ENG - STEAM          III/2</t>
    </r>
  </si>
  <si>
    <r>
      <rPr>
        <sz val="10"/>
        <rFont val="Arial"/>
      </rPr>
      <t>CH.ENG - STEAM ENDORSEMENT   I/10.1</t>
    </r>
  </si>
  <si>
    <r>
      <rPr>
        <sz val="10"/>
        <rFont val="Arial"/>
      </rPr>
      <t>CH.ENG - STEAM TRANSITIONAL - I/10.5</t>
    </r>
  </si>
  <si>
    <r>
      <rPr>
        <sz val="10"/>
        <rFont val="Arial"/>
      </rPr>
      <t>CH.OFF - ENDORSEMENT II/2 - I/2.9</t>
    </r>
  </si>
  <si>
    <r>
      <rPr>
        <sz val="10"/>
        <rFont val="Arial"/>
      </rPr>
      <t>CH.OFF II/2</t>
    </r>
  </si>
  <si>
    <r>
      <rPr>
        <sz val="10"/>
        <rFont val="Arial"/>
      </rPr>
      <t>CHIEF ENGINEER ( LIMITED)</t>
    </r>
  </si>
  <si>
    <r>
      <rPr>
        <sz val="10"/>
        <rFont val="Arial"/>
      </rPr>
      <t>CHIEF ENGINEER (UNLIMITED)</t>
    </r>
  </si>
  <si>
    <r>
      <rPr>
        <sz val="10"/>
        <rFont val="Arial"/>
      </rPr>
      <t>CHIEF OFFICER (LIMITED)</t>
    </r>
  </si>
  <si>
    <r>
      <rPr>
        <sz val="10"/>
        <rFont val="Arial"/>
      </rPr>
      <t>CHIEF OFFICER (UNLIMITED)</t>
    </r>
  </si>
  <si>
    <r>
      <rPr>
        <sz val="10"/>
        <rFont val="Arial"/>
      </rPr>
      <t>CLASS 1 MOTOR &amp; STEAM</t>
    </r>
  </si>
  <si>
    <r>
      <rPr>
        <sz val="10"/>
        <rFont val="Arial"/>
      </rPr>
      <t>CLASS 5 MOTOR</t>
    </r>
  </si>
  <si>
    <r>
      <rPr>
        <sz val="10"/>
        <rFont val="Arial"/>
      </rPr>
      <t>CLASS IV DECK</t>
    </r>
  </si>
  <si>
    <r>
      <rPr>
        <sz val="10"/>
        <rFont val="Arial"/>
      </rPr>
      <t>CLASS IV MOTOR &amp; STEAM</t>
    </r>
  </si>
  <si>
    <r>
      <rPr>
        <sz val="10"/>
        <rFont val="Arial"/>
      </rPr>
      <t>CLASS IV PART A</t>
    </r>
  </si>
  <si>
    <r>
      <rPr>
        <sz val="10"/>
        <rFont val="Arial"/>
      </rPr>
      <t>COOK- CATERING CERTIFICATE</t>
    </r>
  </si>
  <si>
    <r>
      <rPr>
        <sz val="10"/>
        <rFont val="Arial"/>
      </rPr>
      <t>CYPRUS FLAG ENDORSEMENT</t>
    </r>
  </si>
  <si>
    <r>
      <rPr>
        <sz val="10"/>
        <rFont val="Arial"/>
      </rPr>
      <t>DCE - OIL</t>
    </r>
  </si>
  <si>
    <r>
      <rPr>
        <sz val="10"/>
        <rFont val="Arial"/>
      </rPr>
      <t>DCE- CHEM</t>
    </r>
  </si>
  <si>
    <r>
      <rPr>
        <sz val="10"/>
        <rFont val="Arial"/>
      </rPr>
      <t>DCE CHEM - ENDORSEMENT</t>
    </r>
  </si>
  <si>
    <r>
      <rPr>
        <sz val="10"/>
        <rFont val="Arial"/>
      </rPr>
      <t>DCE- GAS</t>
    </r>
  </si>
  <si>
    <r>
      <rPr>
        <sz val="10"/>
        <rFont val="Arial"/>
      </rPr>
      <t>DCE GAS - ENDORSEMENT</t>
    </r>
  </si>
  <si>
    <r>
      <rPr>
        <sz val="10"/>
        <rFont val="Arial"/>
      </rPr>
      <t>DCE OIL - ENDORSEMENT</t>
    </r>
  </si>
  <si>
    <r>
      <rPr>
        <sz val="10"/>
        <rFont val="Arial"/>
      </rPr>
      <t>DYNAMIC POSITIONING OFFICER (LIMITED)</t>
    </r>
  </si>
  <si>
    <r>
      <rPr>
        <sz val="10"/>
        <rFont val="Arial"/>
      </rPr>
      <t>DYNAMIC POSITIONING OFFICER (UNLIMITED)</t>
    </r>
  </si>
  <si>
    <r>
      <rPr>
        <sz val="10"/>
        <rFont val="Arial"/>
      </rPr>
      <t>ELECTRICAL ENGINEER</t>
    </r>
  </si>
  <si>
    <r>
      <rPr>
        <sz val="10"/>
        <rFont val="Arial"/>
      </rPr>
      <t>ELECTRICAL ENGINEER ENDORSEMENT</t>
    </r>
  </si>
  <si>
    <r>
      <rPr>
        <sz val="10"/>
        <rFont val="Arial"/>
      </rPr>
      <t>ELECTRICIAN - TRANSITIONAL</t>
    </r>
  </si>
  <si>
    <r>
      <rPr>
        <sz val="10"/>
        <rFont val="Arial"/>
      </rPr>
      <t>ELECTRICIAN ENDORSEMENT</t>
    </r>
  </si>
  <si>
    <r>
      <rPr>
        <sz val="10"/>
        <rFont val="Arial"/>
      </rPr>
      <t>ENDORSEMENT</t>
    </r>
  </si>
  <si>
    <r>
      <rPr>
        <sz val="10"/>
        <rFont val="Arial"/>
      </rPr>
      <t>ENDORSEMENT FOR LICENSE</t>
    </r>
  </si>
  <si>
    <r>
      <rPr>
        <sz val="10"/>
        <rFont val="Arial"/>
      </rPr>
      <t>ENG. WATCHKEEPER III/4</t>
    </r>
  </si>
  <si>
    <r>
      <rPr>
        <sz val="10"/>
        <rFont val="Arial"/>
      </rPr>
      <t>FOURTH OFFICER NWKO</t>
    </r>
  </si>
  <si>
    <r>
      <rPr>
        <sz val="10"/>
        <rFont val="Arial"/>
      </rPr>
      <t>GAS ENGINEER ENDORSEMENT</t>
    </r>
  </si>
  <si>
    <r>
      <rPr>
        <sz val="10"/>
        <rFont val="Arial"/>
      </rPr>
      <t>GAS/ENG - TRANSITIONAL</t>
    </r>
  </si>
  <si>
    <r>
      <rPr>
        <sz val="10"/>
        <rFont val="Arial"/>
      </rPr>
      <t>GEORGIAN ENDORSEMENT</t>
    </r>
  </si>
  <si>
    <r>
      <rPr>
        <sz val="10"/>
        <rFont val="Arial"/>
      </rPr>
      <t>GMDSS - LICENSE</t>
    </r>
  </si>
  <si>
    <r>
      <rPr>
        <sz val="10"/>
        <rFont val="Arial"/>
      </rPr>
      <t>GMDSS ENDORSEMENT</t>
    </r>
  </si>
  <si>
    <r>
      <rPr>
        <sz val="10"/>
        <rFont val="Arial"/>
      </rPr>
      <t>GMDSS ENDORSEMENT I/10.1</t>
    </r>
  </si>
  <si>
    <r>
      <rPr>
        <sz val="10"/>
        <rFont val="Arial"/>
      </rPr>
      <t>GMDSS GENERAL OPERATOR IV/2</t>
    </r>
  </si>
  <si>
    <r>
      <rPr>
        <sz val="10"/>
        <rFont val="Arial"/>
      </rPr>
      <t>GMDSS TRANSITIONAL I/10.1</t>
    </r>
  </si>
  <si>
    <r>
      <rPr>
        <sz val="10"/>
        <rFont val="Arial"/>
      </rPr>
      <t>HONG KONG LICENCE</t>
    </r>
  </si>
  <si>
    <r>
      <rPr>
        <sz val="10"/>
        <rFont val="Arial"/>
      </rPr>
      <t>ITALIAN LICENCE</t>
    </r>
  </si>
  <si>
    <r>
      <rPr>
        <sz val="10"/>
        <rFont val="Arial"/>
      </rPr>
      <t>KUWAIT FLAG ENDORSEMENT</t>
    </r>
  </si>
  <si>
    <r>
      <rPr>
        <sz val="10"/>
        <rFont val="Arial"/>
      </rPr>
      <t>LIBERIAN FLAG ENDORSEMENT</t>
    </r>
  </si>
  <si>
    <r>
      <rPr>
        <sz val="10"/>
        <rFont val="Arial"/>
      </rPr>
      <t>LIBERIAN LICENCE</t>
    </r>
  </si>
  <si>
    <r>
      <rPr>
        <sz val="10"/>
        <rFont val="Arial"/>
      </rPr>
      <t>MARSHALL ISLANDS LICENCE</t>
    </r>
  </si>
  <si>
    <r>
      <rPr>
        <sz val="10"/>
        <rFont val="Arial"/>
      </rPr>
      <t>MASTER - ENDORSEMENT   I/10.1</t>
    </r>
  </si>
  <si>
    <r>
      <rPr>
        <sz val="10"/>
        <rFont val="Arial"/>
      </rPr>
      <t>MASTER - N/A PERMISSION</t>
    </r>
  </si>
  <si>
    <r>
      <rPr>
        <sz val="10"/>
        <rFont val="Arial"/>
      </rPr>
      <t>MASTER - TRANSITIONAL  I/10.5</t>
    </r>
  </si>
  <si>
    <r>
      <rPr>
        <sz val="10"/>
        <rFont val="Arial"/>
      </rPr>
      <t>MASTER ( LIMITED)</t>
    </r>
  </si>
  <si>
    <r>
      <rPr>
        <sz val="10"/>
        <rFont val="Arial"/>
      </rPr>
      <t>MASTER (UNLIMITED)</t>
    </r>
  </si>
  <si>
    <r>
      <rPr>
        <sz val="10"/>
        <rFont val="Arial"/>
      </rPr>
      <t>MASTER II/2</t>
    </r>
  </si>
  <si>
    <r>
      <rPr>
        <sz val="10"/>
        <rFont val="Arial"/>
      </rPr>
      <t>N.W.K.O</t>
    </r>
  </si>
  <si>
    <r>
      <rPr>
        <sz val="10"/>
        <rFont val="Arial"/>
      </rPr>
      <t>NATIONAL LICENCE</t>
    </r>
  </si>
  <si>
    <r>
      <rPr>
        <sz val="10"/>
        <rFont val="Arial"/>
      </rPr>
      <t>NAV. WATCHKEEPER II/4</t>
    </r>
  </si>
  <si>
    <r>
      <rPr>
        <sz val="10"/>
        <rFont val="Arial"/>
      </rPr>
      <t>NETHERLANDS LICENCE</t>
    </r>
  </si>
  <si>
    <r>
      <rPr>
        <sz val="10"/>
        <rFont val="Arial"/>
      </rPr>
      <t>NORWEGIAN LICENCE</t>
    </r>
  </si>
  <si>
    <r>
      <rPr>
        <sz val="10"/>
        <rFont val="Arial"/>
      </rPr>
      <t>NURSE PROFESSIONAL QLFCTN</t>
    </r>
  </si>
  <si>
    <r>
      <rPr>
        <sz val="10"/>
        <rFont val="Arial"/>
      </rPr>
      <t>OOW DECK</t>
    </r>
  </si>
  <si>
    <r>
      <rPr>
        <sz val="10"/>
        <rFont val="Arial"/>
      </rPr>
      <t>OOW ENGINE</t>
    </r>
  </si>
  <si>
    <r>
      <rPr>
        <sz val="10"/>
        <rFont val="Arial"/>
      </rPr>
      <t>OS - TRANSITIONAL</t>
    </r>
  </si>
  <si>
    <r>
      <rPr>
        <sz val="10"/>
        <rFont val="Arial"/>
      </rPr>
      <t>PART 3 DIVER</t>
    </r>
  </si>
  <si>
    <r>
      <rPr>
        <sz val="10"/>
        <rFont val="Arial"/>
      </rPr>
      <t>PHILIPPINES LICENCE</t>
    </r>
  </si>
  <si>
    <r>
      <rPr>
        <sz val="10"/>
        <rFont val="Arial"/>
      </rPr>
      <t>PHILIPPINES NATIONAL LICENCE</t>
    </r>
  </si>
  <si>
    <r>
      <rPr>
        <sz val="10"/>
        <rFont val="Arial"/>
      </rPr>
      <t>PHYSICIAN PROFESSIONAL QLFCTN</t>
    </r>
  </si>
  <si>
    <r>
      <rPr>
        <sz val="10"/>
        <rFont val="Arial"/>
      </rPr>
      <t>POLAND NATIONAL LICENCE</t>
    </r>
  </si>
  <si>
    <r>
      <rPr>
        <sz val="10"/>
        <rFont val="Arial"/>
      </rPr>
      <t>POLISH LICENCE</t>
    </r>
  </si>
  <si>
    <r>
      <rPr>
        <sz val="10"/>
        <rFont val="Arial"/>
      </rPr>
      <t>QLFD DECK RATING A/B TRANSITIONAL</t>
    </r>
  </si>
  <si>
    <r>
      <rPr>
        <sz val="10"/>
        <rFont val="Arial"/>
      </rPr>
      <t>QUALFD - ENG RAT -OILER TRANSITIONAL</t>
    </r>
  </si>
  <si>
    <r>
      <rPr>
        <sz val="10"/>
        <rFont val="Arial"/>
      </rPr>
      <t>QUALFD CAT RAT COOK - TRANSITIONAL</t>
    </r>
  </si>
  <si>
    <r>
      <rPr>
        <sz val="10"/>
        <rFont val="Arial"/>
      </rPr>
      <t>QUALFD. CATERING RAT.- STEWARD</t>
    </r>
  </si>
  <si>
    <r>
      <rPr>
        <sz val="10"/>
        <rFont val="Arial"/>
      </rPr>
      <t>QUALFD. DECK RAT.- AB</t>
    </r>
  </si>
  <si>
    <r>
      <rPr>
        <sz val="10"/>
        <rFont val="Arial"/>
      </rPr>
      <t>QUALFD. DECK RAT.- BOSUN</t>
    </r>
  </si>
  <si>
    <r>
      <rPr>
        <sz val="10"/>
        <rFont val="Arial"/>
      </rPr>
      <t>QUALFD. DECK RAT.- OS</t>
    </r>
  </si>
  <si>
    <r>
      <rPr>
        <sz val="10"/>
        <rFont val="Arial"/>
      </rPr>
      <t>QUALFD. DECK RAT.- WIPER</t>
    </r>
  </si>
  <si>
    <r>
      <rPr>
        <sz val="10"/>
        <rFont val="Arial"/>
      </rPr>
      <t>QUALFD. ENGINE RAT- M/M ENDORSEMENT</t>
    </r>
  </si>
  <si>
    <r>
      <rPr>
        <sz val="10"/>
        <rFont val="Arial"/>
      </rPr>
      <t>QUALFD. ENGINE RAT- OILER</t>
    </r>
  </si>
  <si>
    <r>
      <rPr>
        <sz val="10"/>
        <rFont val="Arial"/>
      </rPr>
      <t>QUALFD. ENGINE RAT. - FITTER</t>
    </r>
  </si>
  <si>
    <r>
      <rPr>
        <sz val="10"/>
        <rFont val="Arial"/>
      </rPr>
      <t>QUALFD. ENGINE RAT.- MOTORMAN</t>
    </r>
  </si>
  <si>
    <r>
      <rPr>
        <sz val="10"/>
        <rFont val="Arial"/>
      </rPr>
      <t>QUALFD. ENGINE RAT. -WELDER</t>
    </r>
  </si>
  <si>
    <r>
      <rPr>
        <sz val="10"/>
        <rFont val="Arial"/>
      </rPr>
      <t>QUALFD. ENGINE RAT.- WIPER</t>
    </r>
  </si>
  <si>
    <r>
      <rPr>
        <sz val="10"/>
        <rFont val="Arial"/>
      </rPr>
      <t>QUALFD. ENGINE RAT.- WIPER 1</t>
    </r>
  </si>
  <si>
    <r>
      <rPr>
        <sz val="10"/>
        <rFont val="Arial"/>
      </rPr>
      <t>QUALFD. FITTER - TRANSITIONAL</t>
    </r>
  </si>
  <si>
    <r>
      <rPr>
        <sz val="10"/>
        <rFont val="Arial"/>
      </rPr>
      <t>QUALFD. GENERAL PURPOSE RATING</t>
    </r>
  </si>
  <si>
    <r>
      <rPr>
        <sz val="10"/>
        <rFont val="Arial"/>
      </rPr>
      <t>QUALFD. RAT - PUMPMAN</t>
    </r>
  </si>
  <si>
    <r>
      <rPr>
        <sz val="10"/>
        <rFont val="Arial"/>
      </rPr>
      <t>QUALFD.DECK RAT.-OS</t>
    </r>
  </si>
  <si>
    <r>
      <rPr>
        <sz val="10"/>
        <rFont val="Arial"/>
      </rPr>
      <t>RADIO OFFICER ENDORSEMENT</t>
    </r>
  </si>
  <si>
    <r>
      <rPr>
        <sz val="10"/>
        <rFont val="Arial"/>
      </rPr>
      <t>RADIO TELEPHONE OPERATOR</t>
    </r>
  </si>
  <si>
    <r>
      <rPr>
        <sz val="10"/>
        <rFont val="Arial"/>
      </rPr>
      <t>REFRIGERATION ENGINEER</t>
    </r>
  </si>
  <si>
    <r>
      <rPr>
        <sz val="10"/>
        <rFont val="Arial"/>
      </rPr>
      <t>SECOND ENGINEER (LIMITED)</t>
    </r>
  </si>
  <si>
    <r>
      <rPr>
        <sz val="10"/>
        <rFont val="Arial"/>
      </rPr>
      <t>SECOND ENGINEER (UNLIMITED)</t>
    </r>
  </si>
  <si>
    <r>
      <rPr>
        <sz val="10"/>
        <rFont val="Arial"/>
      </rPr>
      <t>SECOND MATE FOUNDATION</t>
    </r>
  </si>
  <si>
    <r>
      <rPr>
        <sz val="10"/>
        <rFont val="Arial"/>
      </rPr>
      <t>SECONDMATE</t>
    </r>
  </si>
  <si>
    <r>
      <rPr>
        <sz val="10"/>
        <rFont val="Arial"/>
      </rPr>
      <t>SINGAPORE ENDORSEMENT</t>
    </r>
  </si>
  <si>
    <r>
      <rPr>
        <sz val="10"/>
        <rFont val="Arial"/>
      </rPr>
      <t>SINGAPORE GMDSS</t>
    </r>
  </si>
  <si>
    <r>
      <rPr>
        <sz val="10"/>
        <rFont val="Arial"/>
      </rPr>
      <t>SINGAPORE LICENCE</t>
    </r>
  </si>
  <si>
    <r>
      <rPr>
        <sz val="10"/>
        <rFont val="Arial"/>
      </rPr>
      <t>TANKERMAN GENERAL ENDORSEMENT</t>
    </r>
  </si>
  <si>
    <r>
      <rPr>
        <sz val="10"/>
        <rFont val="Arial"/>
      </rPr>
      <t>TRAINEE AIR DIVE SUPERVISOR</t>
    </r>
  </si>
  <si>
    <r>
      <rPr>
        <sz val="10"/>
        <rFont val="Arial"/>
      </rPr>
      <t>TRAINEE ENGINEER PART A CLASS 2</t>
    </r>
  </si>
  <si>
    <r>
      <rPr>
        <sz val="10"/>
        <rFont val="Arial"/>
      </rPr>
      <t>TURBO ENG.</t>
    </r>
  </si>
  <si>
    <r>
      <rPr>
        <sz val="10"/>
        <rFont val="Arial"/>
      </rPr>
      <t>U.A.E.LICENCE</t>
    </r>
  </si>
  <si>
    <r>
      <rPr>
        <sz val="10"/>
        <rFont val="Arial"/>
      </rPr>
      <t>U.K. LICENCE</t>
    </r>
  </si>
  <si>
    <r>
      <rPr>
        <sz val="10"/>
        <rFont val="Arial"/>
      </rPr>
      <t>UAE FLAG ENDORSEMENT</t>
    </r>
  </si>
  <si>
    <r>
      <rPr>
        <sz val="10"/>
        <rFont val="Arial"/>
      </rPr>
      <t>UK ENDORSEMENT</t>
    </r>
  </si>
  <si>
    <r>
      <rPr>
        <sz val="10"/>
        <rFont val="Arial"/>
      </rPr>
      <t>VANUATU GMDSS</t>
    </r>
  </si>
  <si>
    <r>
      <rPr>
        <sz val="10"/>
        <rFont val="Arial"/>
      </rPr>
      <t>VANUATU LICENCE</t>
    </r>
  </si>
  <si>
    <r>
      <rPr>
        <sz val="10"/>
        <rFont val="Arial"/>
      </rPr>
      <t>$AE$2:$AE$596</t>
    </r>
  </si>
  <si>
    <r>
      <rPr>
        <sz val="10"/>
        <rFont val="Arial"/>
      </rPr>
      <t>A I S - AUTOMATIC IDENTIFICATION SYSTEM</t>
    </r>
  </si>
  <si>
    <r>
      <rPr>
        <sz val="10"/>
        <rFont val="Arial"/>
      </rPr>
      <t>ABS CONTINUOUS SURVEY</t>
    </r>
  </si>
  <si>
    <r>
      <rPr>
        <sz val="10"/>
        <rFont val="Arial"/>
      </rPr>
      <t>ABS NS TRAINING</t>
    </r>
  </si>
  <si>
    <r>
      <rPr>
        <sz val="10"/>
        <rFont val="Arial"/>
      </rPr>
      <t>ACCIDENT AND NEAR-MISS INVESTIGATION</t>
    </r>
  </si>
  <si>
    <r>
      <rPr>
        <sz val="10"/>
        <rFont val="Arial"/>
      </rPr>
      <t>ACCIDENT INVESTIGATION &amp; RISK ANALYSIS</t>
    </r>
  </si>
  <si>
    <r>
      <rPr>
        <sz val="10"/>
        <rFont val="Arial"/>
      </rPr>
      <t>ADVANCED CHEMICAL TANKER SAFETY COURSE</t>
    </r>
  </si>
  <si>
    <r>
      <rPr>
        <sz val="10"/>
        <rFont val="Arial"/>
      </rPr>
      <t>ADVANCED ELECTRONICS</t>
    </r>
  </si>
  <si>
    <r>
      <rPr>
        <sz val="10"/>
        <rFont val="Arial"/>
      </rPr>
      <t>ADVANCED LIQUEFIED GAS TANKER COURSE</t>
    </r>
  </si>
  <si>
    <r>
      <rPr>
        <sz val="10"/>
        <rFont val="Arial"/>
      </rPr>
      <t>ADVANCED MARINE REFRIGERATION</t>
    </r>
  </si>
  <si>
    <r>
      <rPr>
        <sz val="10"/>
        <rFont val="Arial"/>
      </rPr>
      <t>ADVANCED MEDICAL COURSE</t>
    </r>
  </si>
  <si>
    <r>
      <rPr>
        <sz val="10"/>
        <rFont val="Arial"/>
      </rPr>
      <t>ADVANCED MEDICAL RESPONSE</t>
    </r>
  </si>
  <si>
    <r>
      <rPr>
        <sz val="10"/>
        <rFont val="Arial"/>
      </rPr>
      <t>ADVANCED SAFETY AUDIT</t>
    </r>
  </si>
  <si>
    <r>
      <rPr>
        <sz val="10"/>
        <rFont val="Arial"/>
      </rPr>
      <t>ADVANCED SAFETY COURSE</t>
    </r>
  </si>
  <si>
    <r>
      <rPr>
        <sz val="10"/>
        <rFont val="Arial"/>
      </rPr>
      <t>AFF - ADVANCED FIRE-FIGHTING A-VI/3</t>
    </r>
  </si>
  <si>
    <r>
      <rPr>
        <sz val="10"/>
        <rFont val="Arial"/>
      </rPr>
      <t>AIR DIVING SUPERVISOR CLASS II</t>
    </r>
  </si>
  <si>
    <r>
      <rPr>
        <sz val="10"/>
        <rFont val="Arial"/>
      </rPr>
      <t>AIRCONDTIONING AND REFRIGERATION</t>
    </r>
  </si>
  <si>
    <r>
      <rPr>
        <sz val="10"/>
        <rFont val="Arial"/>
      </rPr>
      <t>AIS - AUTOMATIC IDENTIFICATION SYSTEM</t>
    </r>
  </si>
  <si>
    <r>
      <rPr>
        <sz val="10"/>
        <rFont val="Arial"/>
      </rPr>
      <t>ALCAP (ALFA LAVAL SEPARATOR, PUSNES) - CBT</t>
    </r>
  </si>
  <si>
    <r>
      <rPr>
        <sz val="10"/>
        <rFont val="Arial"/>
      </rPr>
      <t>ALCOTEST - 1</t>
    </r>
  </si>
  <si>
    <r>
      <rPr>
        <sz val="10"/>
        <rFont val="Arial"/>
      </rPr>
      <t>ALCOTEST - 2</t>
    </r>
  </si>
  <si>
    <r>
      <rPr>
        <sz val="10"/>
        <rFont val="Arial"/>
      </rPr>
      <t>ALCOTEST - 3</t>
    </r>
  </si>
  <si>
    <r>
      <rPr>
        <sz val="10"/>
        <rFont val="Arial"/>
      </rPr>
      <t>ALFA LAVAL (MODULE 1)</t>
    </r>
  </si>
  <si>
    <r>
      <rPr>
        <sz val="10"/>
        <rFont val="Arial"/>
      </rPr>
      <t>AMOS FOR WINDOWS</t>
    </r>
  </si>
  <si>
    <r>
      <rPr>
        <sz val="10"/>
        <rFont val="Arial"/>
      </rPr>
      <t>AMOS-D PLANNED MAINTENANCE</t>
    </r>
  </si>
  <si>
    <r>
      <rPr>
        <sz val="10"/>
        <rFont val="Arial"/>
      </rPr>
      <t>APPLIED ELECTRONICS FOR ENGINEERS * AUTOMATION PART I</t>
    </r>
  </si>
  <si>
    <r>
      <rPr>
        <sz val="10"/>
        <rFont val="Arial"/>
      </rPr>
      <t>APPRAISAL TRAINING</t>
    </r>
  </si>
  <si>
    <r>
      <rPr>
        <sz val="10"/>
        <rFont val="Arial"/>
      </rPr>
      <t>ARPA SIMULATOR – A-II/1.5, A-II/2.2</t>
    </r>
  </si>
  <si>
    <r>
      <rPr>
        <sz val="10"/>
        <rFont val="Arial"/>
      </rPr>
      <t>ASD SIMULATOR TRAINING</t>
    </r>
  </si>
  <si>
    <r>
      <rPr>
        <sz val="10"/>
        <rFont val="Arial"/>
      </rPr>
      <t>AUTO CHIEF AC4 DGS - CBT</t>
    </r>
  </si>
  <si>
    <r>
      <rPr>
        <sz val="10"/>
        <rFont val="Arial"/>
      </rPr>
      <t>AUTOMATION</t>
    </r>
  </si>
  <si>
    <r>
      <rPr>
        <sz val="10"/>
        <rFont val="Arial"/>
      </rPr>
      <t>AUX. ENGINE MANUFACTURER</t>
    </r>
  </si>
  <si>
    <r>
      <rPr>
        <sz val="10"/>
        <rFont val="Arial"/>
      </rPr>
      <t>AUXILIARY MACHINERY SYSTEMS</t>
    </r>
  </si>
  <si>
    <r>
      <rPr>
        <sz val="10"/>
        <rFont val="Arial"/>
      </rPr>
      <t>AZIMUTH DRIVE PROPULSION FOR THE TUG MASTERS</t>
    </r>
  </si>
  <si>
    <r>
      <rPr>
        <sz val="10"/>
        <rFont val="Arial"/>
      </rPr>
      <t>B. SC. (NAUTICAL SCIENCE)</t>
    </r>
  </si>
  <si>
    <r>
      <rPr>
        <sz val="10"/>
        <rFont val="Arial"/>
      </rPr>
      <t>BALAST WATER MANAGEMENT CBT 27</t>
    </r>
  </si>
  <si>
    <r>
      <rPr>
        <sz val="10"/>
        <rFont val="Arial"/>
      </rPr>
      <t>BALLAST WATER MANAGEMENT</t>
    </r>
  </si>
  <si>
    <r>
      <rPr>
        <sz val="10"/>
        <rFont val="Arial"/>
      </rPr>
      <t>BALLAST WATER MANAGEMENT COURSE HMTS</t>
    </r>
  </si>
  <si>
    <r>
      <rPr>
        <sz val="10"/>
        <rFont val="Arial"/>
      </rPr>
      <t>BASIC ELECTRONICS</t>
    </r>
  </si>
  <si>
    <r>
      <rPr>
        <sz val="10"/>
        <rFont val="Arial"/>
      </rPr>
      <t>BASIC ELECTRONICS CBT 44</t>
    </r>
  </si>
  <si>
    <r>
      <rPr>
        <sz val="10"/>
        <rFont val="Arial"/>
      </rPr>
      <t>BASIC FIRE FIGHTING</t>
    </r>
  </si>
  <si>
    <r>
      <rPr>
        <sz val="10"/>
        <rFont val="Arial"/>
      </rPr>
      <t>BASIC HYDRAULICS CBT 72</t>
    </r>
  </si>
  <si>
    <r>
      <rPr>
        <sz val="10"/>
        <rFont val="Arial"/>
      </rPr>
      <t>BASIC MARINE REFRIGERATION</t>
    </r>
  </si>
  <si>
    <r>
      <rPr>
        <sz val="10"/>
        <rFont val="Arial"/>
      </rPr>
      <t>BASIC OFFSHORE SAFETY INDUCTION &amp; EMERGENCY TRAINING</t>
    </r>
  </si>
  <si>
    <r>
      <rPr>
        <sz val="10"/>
        <rFont val="Arial"/>
      </rPr>
      <t>BASIC OFFSHORE SAFETY INDUCTION AND EMERGENCY</t>
    </r>
  </si>
  <si>
    <r>
      <rPr>
        <sz val="10"/>
        <rFont val="Arial"/>
      </rPr>
      <t>BASIC RIGGING (MODULES 1 &amp; 2)</t>
    </r>
  </si>
  <si>
    <r>
      <rPr>
        <sz val="10"/>
        <rFont val="Arial"/>
      </rPr>
      <t>BASIC RIGGING/SLINGING SAFETY</t>
    </r>
  </si>
  <si>
    <r>
      <rPr>
        <sz val="10"/>
        <rFont val="Arial"/>
      </rPr>
      <t>BASIC SAFETY COURSE</t>
    </r>
  </si>
  <si>
    <r>
      <rPr>
        <sz val="10"/>
        <rFont val="Arial"/>
      </rPr>
      <t>BASIC SAFETY OFFSHORE</t>
    </r>
  </si>
  <si>
    <r>
      <rPr>
        <sz val="10"/>
        <rFont val="Arial"/>
      </rPr>
      <t>BASIC SAFETY TANKER AWARENESS</t>
    </r>
  </si>
  <si>
    <r>
      <rPr>
        <sz val="10"/>
        <rFont val="Arial"/>
      </rPr>
      <t>BASIC SAFETY TRAINING A-VI/1 2.1.1-4</t>
    </r>
  </si>
  <si>
    <r>
      <rPr>
        <sz val="10"/>
        <rFont val="Arial"/>
      </rPr>
      <t>BASIC SHIP SECURITY</t>
    </r>
  </si>
  <si>
    <r>
      <rPr>
        <sz val="10"/>
        <rFont val="Arial"/>
      </rPr>
      <t>BASIC SHIPHANDLING CBT 66</t>
    </r>
  </si>
  <si>
    <r>
      <rPr>
        <sz val="10"/>
        <rFont val="Arial"/>
      </rPr>
      <t>BASIC SURVIVAL AT SEA</t>
    </r>
  </si>
  <si>
    <r>
      <rPr>
        <sz val="10"/>
        <rFont val="Arial"/>
      </rPr>
      <t>BEING AUDITED</t>
    </r>
  </si>
  <si>
    <r>
      <rPr>
        <sz val="10"/>
        <rFont val="Arial"/>
      </rPr>
      <t>BILGE WATER SEPERATOR CBT 43</t>
    </r>
  </si>
  <si>
    <r>
      <rPr>
        <sz val="10"/>
        <rFont val="Arial"/>
      </rPr>
      <t>BMG GAS COURSE</t>
    </r>
  </si>
  <si>
    <r>
      <rPr>
        <sz val="10"/>
        <rFont val="Arial"/>
      </rPr>
      <t>BORDFACHKRAFT / ARBEITSSICHERHEIT</t>
    </r>
  </si>
  <si>
    <r>
      <rPr>
        <sz val="10"/>
        <rFont val="Arial"/>
      </rPr>
      <t>BOSIET – OPITO APPROVED</t>
    </r>
  </si>
  <si>
    <r>
      <rPr>
        <sz val="10"/>
        <rFont val="Arial"/>
      </rPr>
      <t>BP - 2ND COOK</t>
    </r>
  </si>
  <si>
    <r>
      <rPr>
        <sz val="10"/>
        <rFont val="Arial"/>
      </rPr>
      <t>BP - COOK</t>
    </r>
  </si>
  <si>
    <r>
      <rPr>
        <sz val="10"/>
        <rFont val="Arial"/>
      </rPr>
      <t>BP C/O AND 2/E WORKSHOP</t>
    </r>
  </si>
  <si>
    <r>
      <rPr>
        <sz val="10"/>
        <rFont val="Arial"/>
      </rPr>
      <t>BP ETO WORKSHOP</t>
    </r>
  </si>
  <si>
    <r>
      <rPr>
        <sz val="10"/>
        <rFont val="Arial"/>
      </rPr>
      <t>BP GAS WORKSHOP</t>
    </r>
  </si>
  <si>
    <r>
      <rPr>
        <sz val="10"/>
        <rFont val="Arial"/>
      </rPr>
      <t>BP INDUCTION CBT</t>
    </r>
  </si>
  <si>
    <r>
      <rPr>
        <sz val="10"/>
        <rFont val="Arial"/>
      </rPr>
      <t>BP MANAGING PERFORMANCE</t>
    </r>
  </si>
  <si>
    <r>
      <rPr>
        <sz val="10"/>
        <rFont val="Arial"/>
      </rPr>
      <t>BP MANAGING PERFORMANCE JUNIOR</t>
    </r>
  </si>
  <si>
    <r>
      <rPr>
        <sz val="10"/>
        <rFont val="Arial"/>
      </rPr>
      <t>BP MANAGING PERFORMANCE SENIOR</t>
    </r>
  </si>
  <si>
    <r>
      <rPr>
        <sz val="10"/>
        <rFont val="Arial"/>
      </rPr>
      <t>BP PRACTICAL FIRE FIGHTING</t>
    </r>
  </si>
  <si>
    <r>
      <rPr>
        <sz val="10"/>
        <rFont val="Arial"/>
      </rPr>
      <t>BP ROADSHOW</t>
    </r>
  </si>
  <si>
    <r>
      <rPr>
        <sz val="10"/>
        <rFont val="Arial"/>
      </rPr>
      <t>BP SAFETY SEAMANSHIP</t>
    </r>
  </si>
  <si>
    <r>
      <rPr>
        <sz val="10"/>
        <rFont val="Arial"/>
      </rPr>
      <t>BP SHIPPING INDUCTION</t>
    </r>
  </si>
  <si>
    <r>
      <rPr>
        <sz val="10"/>
        <rFont val="Arial"/>
      </rPr>
      <t>BP WORKSHOP</t>
    </r>
  </si>
  <si>
    <r>
      <rPr>
        <sz val="10"/>
        <rFont val="Arial"/>
      </rPr>
      <t>BREATHING APPARATUS</t>
    </r>
  </si>
  <si>
    <r>
      <rPr>
        <sz val="10"/>
        <rFont val="Arial"/>
      </rPr>
      <t>BRIDGE EQUIPMENT MANUFACTURER</t>
    </r>
  </si>
  <si>
    <r>
      <rPr>
        <sz val="10"/>
        <rFont val="Arial"/>
      </rPr>
      <t>BRIDGE MANOEUVRING &amp; ENGINE CONTROL</t>
    </r>
  </si>
  <si>
    <r>
      <rPr>
        <sz val="10"/>
        <rFont val="Arial"/>
      </rPr>
      <t>BRIDGE RESOURCE MANAGEMENT</t>
    </r>
  </si>
  <si>
    <r>
      <rPr>
        <sz val="10"/>
        <rFont val="Arial"/>
      </rPr>
      <t>BRIDGE TEAM MANAGEMENT</t>
    </r>
  </si>
  <si>
    <r>
      <rPr>
        <sz val="10"/>
        <rFont val="Arial"/>
      </rPr>
      <t>BRIDGE WORKS, FAMILIARISATION, DECK MACHINERY(HSC)</t>
    </r>
  </si>
  <si>
    <r>
      <rPr>
        <sz val="10"/>
        <rFont val="Arial"/>
      </rPr>
      <t>BRM - BRIDGE RESOURCE MANAGEMENT</t>
    </r>
  </si>
  <si>
    <r>
      <rPr>
        <sz val="10"/>
        <rFont val="Arial"/>
      </rPr>
      <t>BTM - BRIDGE TEAM MANAGEMENT</t>
    </r>
  </si>
  <si>
    <r>
      <rPr>
        <sz val="10"/>
        <rFont val="Arial"/>
      </rPr>
      <t>BULK CARRIER OPERATION</t>
    </r>
  </si>
  <si>
    <r>
      <rPr>
        <sz val="10"/>
        <rFont val="Arial"/>
      </rPr>
      <t>BUNKERING PROCEDURES (HSC)</t>
    </r>
  </si>
  <si>
    <r>
      <rPr>
        <sz val="10"/>
        <rFont val="Arial"/>
      </rPr>
      <t>BUNKERS &amp; BUNKERING PROCEDURES</t>
    </r>
  </si>
  <si>
    <r>
      <rPr>
        <sz val="10"/>
        <rFont val="Arial"/>
      </rPr>
      <t>BV  CONTINUOUS SURVEY</t>
    </r>
  </si>
  <si>
    <r>
      <rPr>
        <sz val="10"/>
        <rFont val="Arial"/>
      </rPr>
      <t>CAA HELIDECK TEAM MEMBERS EMERGENCY RESPONSE</t>
    </r>
  </si>
  <si>
    <r>
      <rPr>
        <sz val="10"/>
        <rFont val="Arial"/>
      </rPr>
      <t>CALIBRATION OF PORTABLE GAS DETECTION SYSTEMS</t>
    </r>
  </si>
  <si>
    <r>
      <rPr>
        <sz val="10"/>
        <rFont val="Arial"/>
      </rPr>
      <t>CAR CARRIER FAMILIARIZATION COURSE</t>
    </r>
  </si>
  <si>
    <r>
      <rPr>
        <sz val="10"/>
        <rFont val="Arial"/>
      </rPr>
      <t>CAR CARRIER STEERING SIMULATOR COURSE</t>
    </r>
  </si>
  <si>
    <r>
      <rPr>
        <sz val="10"/>
        <rFont val="Arial"/>
      </rPr>
      <t>CARGO HANDLING</t>
    </r>
  </si>
  <si>
    <r>
      <rPr>
        <sz val="10"/>
        <rFont val="Arial"/>
      </rPr>
      <t>CARGO SIMULATOR COURSE</t>
    </r>
  </si>
  <si>
    <r>
      <rPr>
        <sz val="10"/>
        <rFont val="Arial"/>
      </rPr>
      <t>CARRIAGE OF DANGEROUS AND HAZARDOUS SUBSTANCES</t>
    </r>
  </si>
  <si>
    <r>
      <rPr>
        <sz val="10"/>
        <rFont val="Arial"/>
      </rPr>
      <t>CDI TRAINING</t>
    </r>
  </si>
  <si>
    <r>
      <rPr>
        <sz val="10"/>
        <rFont val="Arial"/>
      </rPr>
      <t>CDI TRANING</t>
    </r>
  </si>
  <si>
    <r>
      <rPr>
        <sz val="10"/>
        <rFont val="Arial"/>
      </rPr>
      <t>CHAMBER OPERATOR</t>
    </r>
  </si>
  <si>
    <r>
      <rPr>
        <sz val="10"/>
        <rFont val="Arial"/>
      </rPr>
      <t>CHART CORRECTIONS</t>
    </r>
  </si>
  <si>
    <r>
      <rPr>
        <sz val="10"/>
        <rFont val="Arial"/>
      </rPr>
      <t>CHEMICAL MEDICAL</t>
    </r>
  </si>
  <si>
    <r>
      <rPr>
        <sz val="10"/>
        <rFont val="Arial"/>
      </rPr>
      <t>CHEMICAL TANKERS SPECIALIZED TRAINING</t>
    </r>
  </si>
  <si>
    <r>
      <rPr>
        <sz val="10"/>
        <rFont val="Arial"/>
      </rPr>
      <t>CHIEF COOK UPGRADING</t>
    </r>
  </si>
  <si>
    <r>
      <rPr>
        <sz val="10"/>
        <rFont val="Arial"/>
      </rPr>
      <t>CHIEF ENGINEER WORKSHOP</t>
    </r>
  </si>
  <si>
    <r>
      <rPr>
        <sz val="10"/>
        <rFont val="Arial"/>
      </rPr>
      <t>CIRCUIT BREAKERS COURSE</t>
    </r>
  </si>
  <si>
    <r>
      <rPr>
        <sz val="10"/>
        <rFont val="Arial"/>
      </rPr>
      <t>COLLECTING EVIDENCE</t>
    </r>
  </si>
  <si>
    <r>
      <rPr>
        <sz val="10"/>
        <rFont val="Arial"/>
      </rPr>
      <t>COLLISION REGULATIONS</t>
    </r>
  </si>
  <si>
    <r>
      <rPr>
        <sz val="10"/>
        <rFont val="Arial"/>
      </rPr>
      <t>COLREG CBT 58</t>
    </r>
  </si>
  <si>
    <r>
      <rPr>
        <sz val="10"/>
        <rFont val="Arial"/>
      </rPr>
      <t>COMMERCIAL AIR DIVER – CLASS II</t>
    </r>
  </si>
  <si>
    <r>
      <rPr>
        <sz val="10"/>
        <rFont val="Arial"/>
      </rPr>
      <t>COMMERCIAL AIR DIVER – CLASS III</t>
    </r>
  </si>
  <si>
    <r>
      <rPr>
        <sz val="10"/>
        <rFont val="Arial"/>
      </rPr>
      <t>COMMERCIAL PRACTICES</t>
    </r>
  </si>
  <si>
    <r>
      <rPr>
        <sz val="10"/>
        <rFont val="Arial"/>
      </rPr>
      <t>COMMERCIAL WORKSHOP</t>
    </r>
  </si>
  <si>
    <r>
      <rPr>
        <sz val="10"/>
        <rFont val="Arial"/>
      </rPr>
      <t>COMPANY SECURITY OFFICER COURSE</t>
    </r>
  </si>
  <si>
    <r>
      <rPr>
        <sz val="10"/>
        <rFont val="Arial"/>
      </rPr>
      <t>COMPUTERISED PLANNED MAINTENANCE SYSTEM-OVERV</t>
    </r>
  </si>
  <si>
    <r>
      <rPr>
        <sz val="10"/>
        <rFont val="Arial"/>
      </rPr>
      <t>CONSOLIDATED MARPOL 73/78</t>
    </r>
  </si>
  <si>
    <r>
      <rPr>
        <sz val="10"/>
        <rFont val="Arial"/>
      </rPr>
      <t>CONTINUOUS SURVEY UNKNOWN</t>
    </r>
  </si>
  <si>
    <r>
      <rPr>
        <sz val="10"/>
        <rFont val="Arial"/>
      </rPr>
      <t>CONTR. SHIP OPS &amp; CARE FOR PERS. STCW A III/2</t>
    </r>
  </si>
  <si>
    <r>
      <rPr>
        <sz val="10"/>
        <rFont val="Arial"/>
      </rPr>
      <t>CONTROL ENGINEERING</t>
    </r>
  </si>
  <si>
    <r>
      <rPr>
        <sz val="10"/>
        <rFont val="Arial"/>
      </rPr>
      <t>COOKS TRAINING</t>
    </r>
  </si>
  <si>
    <r>
      <rPr>
        <sz val="10"/>
        <rFont val="Arial"/>
      </rPr>
      <t>COOLING SYSTEM - CBT</t>
    </r>
  </si>
  <si>
    <r>
      <rPr>
        <sz val="10"/>
        <rFont val="Arial"/>
      </rPr>
      <t>CORROSION PROTECTION I- CBT</t>
    </r>
  </si>
  <si>
    <r>
      <rPr>
        <sz val="10"/>
        <rFont val="Arial"/>
      </rPr>
      <t>CORROSION PROTECTION II - CBT</t>
    </r>
  </si>
  <si>
    <r>
      <rPr>
        <sz val="10"/>
        <rFont val="Arial"/>
      </rPr>
      <t>COSSH (HAZARDOUS MATERIALS)</t>
    </r>
  </si>
  <si>
    <r>
      <rPr>
        <sz val="10"/>
        <rFont val="Arial"/>
      </rPr>
      <t>COW - CBT</t>
    </r>
  </si>
  <si>
    <r>
      <rPr>
        <sz val="10"/>
        <rFont val="Arial"/>
      </rPr>
      <t>COW - CRUDE OIL WASHING</t>
    </r>
  </si>
  <si>
    <r>
      <rPr>
        <sz val="10"/>
        <rFont val="Arial"/>
      </rPr>
      <t>CRANE OPERATIONS AND MAINTENANCE</t>
    </r>
  </si>
  <si>
    <r>
      <rPr>
        <sz val="10"/>
        <rFont val="Arial"/>
      </rPr>
      <t>CRANE OPERATOR</t>
    </r>
  </si>
  <si>
    <r>
      <rPr>
        <sz val="10"/>
        <rFont val="Arial"/>
      </rPr>
      <t>CREW RESOURCE MANAGEMENT</t>
    </r>
  </si>
  <si>
    <r>
      <rPr>
        <sz val="10"/>
        <rFont val="Arial"/>
      </rPr>
      <t>CROWD &amp; CRISIS MANAGEMENT</t>
    </r>
  </si>
  <si>
    <r>
      <rPr>
        <sz val="10"/>
        <rFont val="Arial"/>
      </rPr>
      <t>CRUDE OIL WASHING</t>
    </r>
  </si>
  <si>
    <r>
      <rPr>
        <sz val="10"/>
        <rFont val="Arial"/>
      </rPr>
      <t>CRYSOSTAR CARGO COMPRESSOR</t>
    </r>
  </si>
  <si>
    <r>
      <rPr>
        <sz val="10"/>
        <rFont val="Arial"/>
      </rPr>
      <t>CTF - CHEMICAL TANKER FAMILIARISATION</t>
    </r>
  </si>
  <si>
    <r>
      <rPr>
        <sz val="10"/>
        <rFont val="Arial"/>
      </rPr>
      <t>DANGEROUS CARGO BULK B-V/B</t>
    </r>
  </si>
  <si>
    <r>
      <rPr>
        <sz val="10"/>
        <rFont val="Arial"/>
      </rPr>
      <t>DANGEROUS CARGO ENDORSEMENT - CHEMICAL</t>
    </r>
  </si>
  <si>
    <r>
      <rPr>
        <sz val="10"/>
        <rFont val="Arial"/>
      </rPr>
      <t>DANGEROUS CARGO ENDORSEMENT - GAS</t>
    </r>
  </si>
  <si>
    <r>
      <rPr>
        <sz val="10"/>
        <rFont val="Arial"/>
      </rPr>
      <t>DANGEROUS CARGO ENDORSEMENT - OIL</t>
    </r>
  </si>
  <si>
    <r>
      <rPr>
        <sz val="10"/>
        <rFont val="Arial"/>
      </rPr>
      <t>DANGEROUS CARGO ENDORSEMENT - OIL/CHEM/GAS</t>
    </r>
  </si>
  <si>
    <r>
      <rPr>
        <sz val="10"/>
        <rFont val="Arial"/>
      </rPr>
      <t>DANGEROUS CARGO PACKAGED B-V/C / CFR 49</t>
    </r>
  </si>
  <si>
    <r>
      <rPr>
        <sz val="10"/>
        <rFont val="Arial"/>
      </rPr>
      <t>DC ENDORSEMENT - CHEMICAL ( LEVEL II )</t>
    </r>
  </si>
  <si>
    <r>
      <rPr>
        <sz val="10"/>
        <rFont val="Arial"/>
      </rPr>
      <t>DC ENDORSEMENT - GAS ( LEVEL II )</t>
    </r>
  </si>
  <si>
    <r>
      <rPr>
        <sz val="10"/>
        <rFont val="Arial"/>
      </rPr>
      <t>DC ENDORSEMENT - OIL ( LEVEL II )</t>
    </r>
  </si>
  <si>
    <r>
      <rPr>
        <sz val="10"/>
        <rFont val="Arial"/>
      </rPr>
      <t>DECK WATCHKEEPING COURSE</t>
    </r>
  </si>
  <si>
    <r>
      <rPr>
        <sz val="10"/>
        <rFont val="Arial"/>
      </rPr>
      <t>DEFENSIVE DRIVING</t>
    </r>
  </si>
  <si>
    <r>
      <rPr>
        <sz val="10"/>
        <rFont val="Arial"/>
      </rPr>
      <t>DIDACTICS FOR INSTRUCTORS</t>
    </r>
  </si>
  <si>
    <r>
      <rPr>
        <sz val="10"/>
        <rFont val="Arial"/>
      </rPr>
      <t>DIESEL ENGINE DIAGNOSTIC</t>
    </r>
  </si>
  <si>
    <r>
      <rPr>
        <sz val="10"/>
        <rFont val="Arial"/>
      </rPr>
      <t>DISCIPLINARY PROCEDURES</t>
    </r>
  </si>
  <si>
    <r>
      <rPr>
        <sz val="10"/>
        <rFont val="Arial"/>
      </rPr>
      <t>DIVER MEDICAL TECHNICIAN</t>
    </r>
  </si>
  <si>
    <r>
      <rPr>
        <sz val="10"/>
        <rFont val="Arial"/>
      </rPr>
      <t>DIVING EMERGENCY OXYGEN ADMINISTRATION FOR COMMERCIAL DIVERS</t>
    </r>
  </si>
  <si>
    <r>
      <rPr>
        <sz val="10"/>
        <rFont val="Arial"/>
      </rPr>
      <t>DML MASTERS WORKSHOP</t>
    </r>
  </si>
  <si>
    <r>
      <rPr>
        <sz val="10"/>
        <rFont val="Arial"/>
      </rPr>
      <t>DNV CONTINUOUS SURVEY</t>
    </r>
  </si>
  <si>
    <r>
      <rPr>
        <sz val="10"/>
        <rFont val="Arial"/>
      </rPr>
      <t>DNV PLANNED IMPLEMENTATION SYSTEMS</t>
    </r>
  </si>
  <si>
    <r>
      <rPr>
        <sz val="10"/>
        <rFont val="Arial"/>
      </rPr>
      <t>DNV WELDING</t>
    </r>
  </si>
  <si>
    <r>
      <rPr>
        <sz val="10"/>
        <rFont val="Arial"/>
      </rPr>
      <t>DO NOT USE - BOSIET</t>
    </r>
  </si>
  <si>
    <r>
      <rPr>
        <sz val="10"/>
        <rFont val="Arial"/>
      </rPr>
      <t>DO NOT USE -SPECIAL CARE PROVIDER</t>
    </r>
  </si>
  <si>
    <r>
      <rPr>
        <sz val="10"/>
        <rFont val="Arial"/>
      </rPr>
      <t>DO NOTRADAR CERTIFICATE</t>
    </r>
  </si>
  <si>
    <r>
      <rPr>
        <sz val="10"/>
        <rFont val="Arial"/>
      </rPr>
      <t>DP INDUCTION</t>
    </r>
  </si>
  <si>
    <r>
      <rPr>
        <sz val="10"/>
        <rFont val="Arial"/>
      </rPr>
      <t>DP INTRODUCTION COURSE</t>
    </r>
  </si>
  <si>
    <r>
      <rPr>
        <sz val="10"/>
        <rFont val="Arial"/>
      </rPr>
      <t>DP MAINTENANCE COURSE</t>
    </r>
  </si>
  <si>
    <r>
      <rPr>
        <sz val="10"/>
        <rFont val="Arial"/>
      </rPr>
      <t>DP SIMULATOR</t>
    </r>
  </si>
  <si>
    <r>
      <rPr>
        <sz val="10"/>
        <rFont val="Arial"/>
      </rPr>
      <t>DP SIMULATOR  LEVEL 1</t>
    </r>
  </si>
  <si>
    <r>
      <rPr>
        <sz val="10"/>
        <rFont val="Arial"/>
      </rPr>
      <t>DP SIMULATOR LEVEL 2</t>
    </r>
  </si>
  <si>
    <r>
      <rPr>
        <sz val="10"/>
        <rFont val="Arial"/>
      </rPr>
      <t>DP SIMULATOR LEVEL 3</t>
    </r>
  </si>
  <si>
    <r>
      <rPr>
        <sz val="10"/>
        <rFont val="Arial"/>
      </rPr>
      <t>DP SIMULATOR LEVEL 4</t>
    </r>
  </si>
  <si>
    <r>
      <rPr>
        <sz val="10"/>
        <rFont val="Arial"/>
      </rPr>
      <t>DRUG TEST - 1</t>
    </r>
  </si>
  <si>
    <r>
      <rPr>
        <sz val="10"/>
        <rFont val="Arial"/>
      </rPr>
      <t>DRUG TEST - 2</t>
    </r>
  </si>
  <si>
    <r>
      <rPr>
        <sz val="10"/>
        <rFont val="Arial"/>
      </rPr>
      <t>DRUG TEST - 3</t>
    </r>
  </si>
  <si>
    <r>
      <rPr>
        <sz val="10"/>
        <rFont val="Arial"/>
      </rPr>
      <t>DYNAMIC POSITIONING OPERATOR</t>
    </r>
  </si>
  <si>
    <r>
      <rPr>
        <sz val="10"/>
        <rFont val="Arial"/>
      </rPr>
      <t>ECDIS - ELECTRONIC CHART DISPLAY SYSTEMS</t>
    </r>
  </si>
  <si>
    <r>
      <rPr>
        <sz val="10"/>
        <rFont val="Arial"/>
      </rPr>
      <t>ECDIS COURSE</t>
    </r>
  </si>
  <si>
    <r>
      <rPr>
        <sz val="10"/>
        <rFont val="Arial"/>
      </rPr>
      <t>EFA - ELEMENTARY FIRST AID A-VI/1 2.1.3</t>
    </r>
  </si>
  <si>
    <r>
      <rPr>
        <sz val="10"/>
        <rFont val="Arial"/>
      </rPr>
      <t>EFFECTIVE USE OF PAINTS</t>
    </r>
  </si>
  <si>
    <r>
      <rPr>
        <sz val="10"/>
        <rFont val="Arial"/>
      </rPr>
      <t>EFFICIENT DECK HAND</t>
    </r>
  </si>
  <si>
    <r>
      <rPr>
        <sz val="10"/>
        <rFont val="Arial"/>
      </rPr>
      <t>EFFICIENT DECK HAND COURSE</t>
    </r>
  </si>
  <si>
    <r>
      <rPr>
        <sz val="10"/>
        <rFont val="Arial"/>
      </rPr>
      <t>ELEC., ELECTRON. AND CONTR. ENG. STCW A III/2</t>
    </r>
  </si>
  <si>
    <r>
      <rPr>
        <sz val="10"/>
        <rFont val="Arial"/>
      </rPr>
      <t>ELECTR. EQUIPMENT / SCHEMATICS</t>
    </r>
  </si>
  <si>
    <r>
      <rPr>
        <sz val="10"/>
        <rFont val="Arial"/>
      </rPr>
      <t>ELECTRICAL EQUIPMENT FOR HAZARDOUS AREAS</t>
    </r>
  </si>
  <si>
    <r>
      <rPr>
        <sz val="10"/>
        <rFont val="Arial"/>
      </rPr>
      <t>ELECTRICAL SUPERVISORS COMPETING CERT.</t>
    </r>
  </si>
  <si>
    <r>
      <rPr>
        <sz val="10"/>
        <rFont val="Arial"/>
      </rPr>
      <t>ELECTRICAL, ELECTRONIC AND CONTROL ENGINEERING A-III/2</t>
    </r>
  </si>
  <si>
    <r>
      <rPr>
        <sz val="10"/>
        <rFont val="Arial"/>
      </rPr>
      <t>ELECTRONIC CHART AND DISPLAY INFORMATION SYSTEM</t>
    </r>
  </si>
  <si>
    <r>
      <rPr>
        <sz val="10"/>
        <rFont val="Arial"/>
      </rPr>
      <t>ELEMENTARY FIRE FIGHTING</t>
    </r>
  </si>
  <si>
    <r>
      <rPr>
        <sz val="10"/>
        <rFont val="Arial"/>
      </rPr>
      <t>EMERGENCY RESPONSE</t>
    </r>
  </si>
  <si>
    <r>
      <rPr>
        <sz val="10"/>
        <rFont val="Arial"/>
      </rPr>
      <t>EMERGENCY RESPONSE ON THE FIRE RISK OBJECTS LVL 1 (RESCUER)</t>
    </r>
  </si>
  <si>
    <r>
      <rPr>
        <sz val="10"/>
        <rFont val="Arial"/>
      </rPr>
      <t>E-MONITOR 4 WINDOWS</t>
    </r>
  </si>
  <si>
    <r>
      <rPr>
        <sz val="10"/>
        <rFont val="Arial"/>
      </rPr>
      <t>EMT-REMOTE CARE</t>
    </r>
  </si>
  <si>
    <r>
      <rPr>
        <sz val="10"/>
        <rFont val="Arial"/>
      </rPr>
      <t>ENERGY CONSERVATION CBT 97</t>
    </r>
  </si>
  <si>
    <r>
      <rPr>
        <sz val="10"/>
        <rFont val="Arial"/>
      </rPr>
      <t>ENGINE FITTERS COURSE</t>
    </r>
  </si>
  <si>
    <r>
      <rPr>
        <sz val="10"/>
        <rFont val="Arial"/>
      </rPr>
      <t>ENGINE RESOURCE MANAGEMENT</t>
    </r>
  </si>
  <si>
    <r>
      <rPr>
        <sz val="10"/>
        <rFont val="Arial"/>
      </rPr>
      <t>ENGINE ROOM SIMULATOR COURSE</t>
    </r>
  </si>
  <si>
    <r>
      <rPr>
        <sz val="10"/>
        <rFont val="Arial"/>
      </rPr>
      <t>ENGINE ROOM WATCHKEEPING PRACTICES ON SIMULATOR</t>
    </r>
  </si>
  <si>
    <r>
      <rPr>
        <sz val="10"/>
        <rFont val="Arial"/>
      </rPr>
      <t>ENGINEER WATCHKEEPING COURSE</t>
    </r>
  </si>
  <si>
    <r>
      <rPr>
        <sz val="10"/>
        <rFont val="Arial"/>
      </rPr>
      <t>ENGINEERING KNOWLEDGE COURSE (DECK)</t>
    </r>
  </si>
  <si>
    <r>
      <rPr>
        <sz val="10"/>
        <rFont val="Arial"/>
      </rPr>
      <t>ENGINEERING KNOWLEDGE FOR JR RANK ENGINEERS</t>
    </r>
  </si>
  <si>
    <r>
      <rPr>
        <sz val="10"/>
        <rFont val="Arial"/>
      </rPr>
      <t>ENGINEERING KNOWLEDGE FOR SR. RANK ENGINEERS</t>
    </r>
  </si>
  <si>
    <r>
      <rPr>
        <sz val="10"/>
        <rFont val="Arial"/>
      </rPr>
      <t>ENGINEERING OPERATIONS ON LNG CARRIERS</t>
    </r>
  </si>
  <si>
    <r>
      <rPr>
        <sz val="10"/>
        <rFont val="Arial"/>
      </rPr>
      <t>ENGINE-ROOM WATCHKEEPING CERT.</t>
    </r>
  </si>
  <si>
    <r>
      <rPr>
        <sz val="10"/>
        <rFont val="Arial"/>
      </rPr>
      <t>ENGLISH LANGUAGE</t>
    </r>
  </si>
  <si>
    <r>
      <rPr>
        <sz val="10"/>
        <rFont val="Arial"/>
      </rPr>
      <t>ENHANCE SURVEY PROGRAMME</t>
    </r>
  </si>
  <si>
    <r>
      <rPr>
        <sz val="10"/>
        <rFont val="Arial"/>
      </rPr>
      <t>ENVIRONMENTAL MANAGEMENT SYSTEMS</t>
    </r>
  </si>
  <si>
    <r>
      <rPr>
        <sz val="10"/>
        <rFont val="Arial"/>
      </rPr>
      <t>ER WORKS, FAMILIARISATION , MANAGEMENT, MACHINERY(HSC)</t>
    </r>
  </si>
  <si>
    <r>
      <rPr>
        <sz val="10"/>
        <rFont val="Arial"/>
      </rPr>
      <t>ERM - ENGINE ROOM RESOURCE MANAGEMENT</t>
    </r>
  </si>
  <si>
    <r>
      <rPr>
        <sz val="10"/>
        <rFont val="Arial"/>
      </rPr>
      <t>ERS - ENGINE ROOM SIMULATOR - DIESEL ENGINE</t>
    </r>
  </si>
  <si>
    <r>
      <rPr>
        <sz val="10"/>
        <rFont val="Arial"/>
      </rPr>
      <t>ESSENTIAL FOOD HYGIENE</t>
    </r>
  </si>
  <si>
    <r>
      <rPr>
        <sz val="10"/>
        <rFont val="Arial"/>
      </rPr>
      <t>ETM - ENGINE-ROOM TEAM MANAGEMENT</t>
    </r>
  </si>
  <si>
    <r>
      <rPr>
        <sz val="10"/>
        <rFont val="Arial"/>
      </rPr>
      <t>ETO - ELECTRO/TECHNICAL COURSE</t>
    </r>
  </si>
  <si>
    <r>
      <rPr>
        <sz val="10"/>
        <rFont val="Arial"/>
      </rPr>
      <t>ETS-EMERGENCY TOWING SYSTEM, PUSNES- CBT</t>
    </r>
  </si>
  <si>
    <r>
      <rPr>
        <sz val="10"/>
        <rFont val="Arial"/>
      </rPr>
      <t>EXCELMATE</t>
    </r>
  </si>
  <si>
    <r>
      <rPr>
        <sz val="10"/>
        <rFont val="Arial"/>
      </rPr>
      <t>EXHAUST GAS TURBO CHARGER COURSE</t>
    </r>
  </si>
  <si>
    <r>
      <rPr>
        <sz val="10"/>
        <rFont val="Arial"/>
      </rPr>
      <t>FAMILIARIZATION WITH ISPS CODE</t>
    </r>
  </si>
  <si>
    <r>
      <rPr>
        <sz val="10"/>
        <rFont val="Arial"/>
      </rPr>
      <t>FAST RESCUE CRAFT BOATMAN</t>
    </r>
  </si>
  <si>
    <r>
      <rPr>
        <sz val="10"/>
        <rFont val="Arial"/>
      </rPr>
      <t>FIRE EXTINGUISHERS COURSE</t>
    </r>
  </si>
  <si>
    <r>
      <rPr>
        <sz val="10"/>
        <rFont val="Arial"/>
      </rPr>
      <t>FIRE FIGHTING - BASIC - CBT</t>
    </r>
  </si>
  <si>
    <r>
      <rPr>
        <sz val="10"/>
        <rFont val="Arial"/>
      </rPr>
      <t>FIRE FIGHTING ADVANCED - CBT</t>
    </r>
  </si>
  <si>
    <r>
      <rPr>
        <sz val="10"/>
        <rFont val="Arial"/>
      </rPr>
      <t>FIRE FIGHTING APPLIANCES FFA (HSC)</t>
    </r>
  </si>
  <si>
    <r>
      <rPr>
        <sz val="10"/>
        <rFont val="Arial"/>
      </rPr>
      <t>FIRE FIGHTING COMMAND AND CONTROL</t>
    </r>
  </si>
  <si>
    <r>
      <rPr>
        <sz val="10"/>
        <rFont val="Arial"/>
      </rPr>
      <t>FIRE PROTECTION ON OIL TANKERS COURSE</t>
    </r>
  </si>
  <si>
    <r>
      <rPr>
        <sz val="10"/>
        <rFont val="Arial"/>
      </rPr>
      <t>FIREFIGHTING</t>
    </r>
  </si>
  <si>
    <r>
      <rPr>
        <sz val="10"/>
        <rFont val="Arial"/>
      </rPr>
      <t>FIRST AID LEVEL 1</t>
    </r>
  </si>
  <si>
    <r>
      <rPr>
        <sz val="10"/>
        <rFont val="Arial"/>
      </rPr>
      <t>FIRST AID LEVEL 3</t>
    </r>
  </si>
  <si>
    <r>
      <rPr>
        <sz val="10"/>
        <rFont val="Arial"/>
      </rPr>
      <t>FIRST AID REFRESHER</t>
    </r>
  </si>
  <si>
    <r>
      <rPr>
        <sz val="10"/>
        <rFont val="Arial"/>
      </rPr>
      <t>FITTER UPGRADING</t>
    </r>
  </si>
  <si>
    <r>
      <rPr>
        <sz val="10"/>
        <rFont val="Arial"/>
      </rPr>
      <t>FLEET TEAM BRIEFING</t>
    </r>
  </si>
  <si>
    <r>
      <rPr>
        <sz val="10"/>
        <rFont val="Arial"/>
      </rPr>
      <t>FOET ADDITIONAL OLF MODULES (OPITO APPROVED)</t>
    </r>
  </si>
  <si>
    <r>
      <rPr>
        <sz val="10"/>
        <rFont val="Arial"/>
      </rPr>
      <t>FOOD HANDLING</t>
    </r>
  </si>
  <si>
    <r>
      <rPr>
        <sz val="10"/>
        <rFont val="Arial"/>
      </rPr>
      <t>FOXBORO GAS TRAINING</t>
    </r>
  </si>
  <si>
    <r>
      <rPr>
        <sz val="10"/>
        <rFont val="Arial"/>
      </rPr>
      <t>FPFF - FIRE PREVENTION &amp; FIRE-FIGHTING A-VI/1 2.1.2</t>
    </r>
  </si>
  <si>
    <r>
      <rPr>
        <sz val="10"/>
        <rFont val="Arial"/>
      </rPr>
      <t>FRAMO PUMPS</t>
    </r>
  </si>
  <si>
    <r>
      <rPr>
        <sz val="10"/>
        <rFont val="Arial"/>
      </rPr>
      <t>FREE FALL LIFE BOAT TRAINING (HSC)</t>
    </r>
  </si>
  <si>
    <r>
      <rPr>
        <sz val="10"/>
        <rFont val="Arial"/>
      </rPr>
      <t>FREEFALL LIFEBOAT IN CHARGE</t>
    </r>
  </si>
  <si>
    <r>
      <rPr>
        <sz val="10"/>
        <rFont val="Arial"/>
      </rPr>
      <t>FREEFALL LIFEBOAT PASSENGER</t>
    </r>
  </si>
  <si>
    <r>
      <rPr>
        <sz val="10"/>
        <rFont val="Arial"/>
      </rPr>
      <t>FRESH WATER GENERATOR - CBT</t>
    </r>
  </si>
  <si>
    <r>
      <rPr>
        <sz val="10"/>
        <rFont val="Arial"/>
      </rPr>
      <t>FSO BERTHING SIMULATOR</t>
    </r>
  </si>
  <si>
    <r>
      <rPr>
        <sz val="10"/>
        <rFont val="Arial"/>
      </rPr>
      <t>FUEL COMBUSTION EFFICIENCY - CBT</t>
    </r>
  </si>
  <si>
    <r>
      <rPr>
        <sz val="10"/>
        <rFont val="Arial"/>
      </rPr>
      <t>FUEL GAS PLANT- CBT</t>
    </r>
  </si>
  <si>
    <r>
      <rPr>
        <sz val="10"/>
        <rFont val="Arial"/>
      </rPr>
      <t>GAS DETECTION COURSE</t>
    </r>
  </si>
  <si>
    <r>
      <rPr>
        <sz val="10"/>
        <rFont val="Arial"/>
      </rPr>
      <t>GAS DETECTION EQUIPMENT (HSC)</t>
    </r>
  </si>
  <si>
    <r>
      <rPr>
        <sz val="10"/>
        <rFont val="Arial"/>
      </rPr>
      <t>GAS MEASUREMENT CBT 48</t>
    </r>
  </si>
  <si>
    <r>
      <rPr>
        <sz val="10"/>
        <rFont val="Arial"/>
      </rPr>
      <t>GAS MEASUREMENT COURSE</t>
    </r>
  </si>
  <si>
    <r>
      <rPr>
        <sz val="10"/>
        <rFont val="Arial"/>
      </rPr>
      <t>GENERAL ENGINEERS WORKSHOP</t>
    </r>
  </si>
  <si>
    <r>
      <rPr>
        <sz val="10"/>
        <rFont val="Arial"/>
      </rPr>
      <t>GENERAL EQUIPMENT MANUFACTURER</t>
    </r>
  </si>
  <si>
    <r>
      <rPr>
        <sz val="10"/>
        <rFont val="Arial"/>
      </rPr>
      <t>GENERAL TANKER CERTIFICATE</t>
    </r>
  </si>
  <si>
    <r>
      <rPr>
        <sz val="10"/>
        <rFont val="Arial"/>
      </rPr>
      <t>GENERAL TANKER FAMILIARIZATION. A-V/1 1</t>
    </r>
  </si>
  <si>
    <r>
      <rPr>
        <sz val="10"/>
        <rFont val="Arial"/>
      </rPr>
      <t>GENERAL VESSEL MANAGEMENT</t>
    </r>
  </si>
  <si>
    <r>
      <rPr>
        <sz val="10"/>
        <rFont val="Arial"/>
      </rPr>
      <t>GERMAN SHIPPING LAW COURSE</t>
    </r>
  </si>
  <si>
    <r>
      <rPr>
        <sz val="10"/>
        <rFont val="Arial"/>
      </rPr>
      <t>GL  CONTINUOUS SURVEY</t>
    </r>
  </si>
  <si>
    <r>
      <rPr>
        <sz val="10"/>
        <rFont val="Arial"/>
      </rPr>
      <t>GMDSS CERTIFICATE</t>
    </r>
  </si>
  <si>
    <r>
      <rPr>
        <sz val="10"/>
        <rFont val="Arial"/>
      </rPr>
      <t>GMDSS EQUIPMENT (HSC)</t>
    </r>
  </si>
  <si>
    <r>
      <rPr>
        <sz val="10"/>
        <rFont val="Arial"/>
      </rPr>
      <t>GMDSS RADIO MAINTENANCE</t>
    </r>
  </si>
  <si>
    <r>
      <rPr>
        <sz val="10"/>
        <rFont val="Arial"/>
      </rPr>
      <t>GMDSS(MARITIME EDUCATION) - CBT</t>
    </r>
  </si>
  <si>
    <r>
      <rPr>
        <sz val="10"/>
        <rFont val="Arial"/>
      </rPr>
      <t>GTF - GAS TANKER FAMILIARISATION</t>
    </r>
  </si>
  <si>
    <r>
      <rPr>
        <sz val="10"/>
        <rFont val="Arial"/>
      </rPr>
      <t>H2S AND BA TRAINING COURSE</t>
    </r>
  </si>
  <si>
    <r>
      <rPr>
        <sz val="10"/>
        <rFont val="Arial"/>
      </rPr>
      <t>H2S/BA (OPITO APPROVED)</t>
    </r>
  </si>
  <si>
    <r>
      <rPr>
        <sz val="10"/>
        <rFont val="Arial"/>
      </rPr>
      <t>HARMONIZED SYSTEM OF SURVEYS AND CERT</t>
    </r>
  </si>
  <si>
    <r>
      <rPr>
        <sz val="10"/>
        <rFont val="Arial"/>
      </rPr>
      <t>HAZMAT - HAZARDOUS MATERIALS</t>
    </r>
  </si>
  <si>
    <r>
      <rPr>
        <sz val="10"/>
        <rFont val="Arial"/>
      </rPr>
      <t>HAZMAT &amp; IMDG CODE CBT 53</t>
    </r>
  </si>
  <si>
    <r>
      <rPr>
        <sz val="10"/>
        <rFont val="Arial"/>
      </rPr>
      <t>HEALTH&amp; SAFETY</t>
    </r>
  </si>
  <si>
    <r>
      <rPr>
        <sz val="10"/>
        <rFont val="Arial"/>
      </rPr>
      <t>HELICOPTER DITCHING (HUET)</t>
    </r>
  </si>
  <si>
    <r>
      <rPr>
        <sz val="10"/>
        <rFont val="Arial"/>
      </rPr>
      <t>HELICOPTER LANDING OFFICERS COURSE</t>
    </r>
  </si>
  <si>
    <r>
      <rPr>
        <sz val="10"/>
        <rFont val="Arial"/>
      </rPr>
      <t>HIGH VOLTAGE</t>
    </r>
  </si>
  <si>
    <r>
      <rPr>
        <sz val="10"/>
        <rFont val="Arial"/>
      </rPr>
      <t>HMS MASTERS AQUAINT</t>
    </r>
  </si>
  <si>
    <r>
      <rPr>
        <sz val="10"/>
        <rFont val="Arial"/>
      </rPr>
      <t>HMTS FRESHMAN</t>
    </r>
  </si>
  <si>
    <r>
      <rPr>
        <sz val="10"/>
        <rFont val="Arial"/>
      </rPr>
      <t>HMTS JUN. OFF. / ENG. UPGRADING</t>
    </r>
  </si>
  <si>
    <r>
      <rPr>
        <sz val="10"/>
        <rFont val="Arial"/>
      </rPr>
      <t>HMTS REFRESHER</t>
    </r>
  </si>
  <si>
    <r>
      <rPr>
        <sz val="10"/>
        <rFont val="Arial"/>
      </rPr>
      <t>HMTS SENIOR OFFICERS UPGRADING COURSE</t>
    </r>
  </si>
  <si>
    <r>
      <rPr>
        <sz val="10"/>
        <rFont val="Arial"/>
      </rPr>
      <t>HND - HIGHER NATIONAL DIPLOMA</t>
    </r>
  </si>
  <si>
    <r>
      <rPr>
        <sz val="10"/>
        <rFont val="Arial"/>
      </rPr>
      <t>HORTEN INTEGRATED BRIDGE</t>
    </r>
  </si>
  <si>
    <r>
      <rPr>
        <sz val="10"/>
        <rFont val="Arial"/>
      </rPr>
      <t>HSC CADET PROGRAM</t>
    </r>
  </si>
  <si>
    <r>
      <rPr>
        <sz val="10"/>
        <rFont val="Arial"/>
      </rPr>
      <t>HSC SPECIAL TRAINING DECK OFFICERS</t>
    </r>
  </si>
  <si>
    <r>
      <rPr>
        <sz val="10"/>
        <rFont val="Arial"/>
      </rPr>
      <t>HSC SPECIAL TRAINING ENGINE OFFICERS</t>
    </r>
  </si>
  <si>
    <r>
      <rPr>
        <sz val="10"/>
        <rFont val="Arial"/>
      </rPr>
      <t>HSC TRAINING &amp; COMPETENCE MANAGEMENT CARD</t>
    </r>
  </si>
  <si>
    <r>
      <rPr>
        <sz val="10"/>
        <rFont val="Arial"/>
      </rPr>
      <t>HUET</t>
    </r>
  </si>
  <si>
    <r>
      <rPr>
        <sz val="10"/>
        <rFont val="Arial"/>
      </rPr>
      <t>HUET &amp; SEA SURVIVAL TRAINING</t>
    </r>
  </si>
  <si>
    <r>
      <rPr>
        <sz val="10"/>
        <rFont val="Arial"/>
      </rPr>
      <t>HULL &amp; MACHINERY CBT 29</t>
    </r>
  </si>
  <si>
    <r>
      <rPr>
        <sz val="10"/>
        <rFont val="Arial"/>
      </rPr>
      <t>HULL PLANNED MAINTENANCE</t>
    </r>
  </si>
  <si>
    <r>
      <rPr>
        <sz val="10"/>
        <rFont val="Arial"/>
      </rPr>
      <t>HUMAN RELATIONS &amp; MANAGEMENT</t>
    </r>
  </si>
  <si>
    <r>
      <rPr>
        <sz val="10"/>
        <rFont val="Arial"/>
      </rPr>
      <t>HV/LV POWER SYSTEM PROTECTION</t>
    </r>
  </si>
  <si>
    <r>
      <rPr>
        <sz val="10"/>
        <rFont val="Arial"/>
      </rPr>
      <t>HYDRAULIC SYSTEMS</t>
    </r>
  </si>
  <si>
    <r>
      <rPr>
        <sz val="10"/>
        <rFont val="Arial"/>
      </rPr>
      <t>ICE (EXPERIENCED)</t>
    </r>
  </si>
  <si>
    <r>
      <rPr>
        <sz val="10"/>
        <rFont val="Arial"/>
      </rPr>
      <t>ICE (LIMITED)</t>
    </r>
  </si>
  <si>
    <r>
      <rPr>
        <sz val="10"/>
        <rFont val="Arial"/>
      </rPr>
      <t>ICE NAVIGATION</t>
    </r>
  </si>
  <si>
    <r>
      <rPr>
        <sz val="10"/>
        <rFont val="Arial"/>
      </rPr>
      <t>IG - INERT GAS COURSE</t>
    </r>
  </si>
  <si>
    <r>
      <rPr>
        <sz val="10"/>
        <rFont val="Arial"/>
      </rPr>
      <t>IMCA DIVER MEDIC</t>
    </r>
  </si>
  <si>
    <r>
      <rPr>
        <sz val="10"/>
        <rFont val="Arial"/>
      </rPr>
      <t>INACTIVE COURSE</t>
    </r>
  </si>
  <si>
    <r>
      <rPr>
        <sz val="10"/>
        <rFont val="Arial"/>
      </rPr>
      <t>INCIDENT ANALYSYS COURSE</t>
    </r>
  </si>
  <si>
    <r>
      <rPr>
        <sz val="10"/>
        <rFont val="Arial"/>
      </rPr>
      <t>INCIDENT INVESTIGATION</t>
    </r>
  </si>
  <si>
    <r>
      <rPr>
        <sz val="10"/>
        <rFont val="Arial"/>
      </rPr>
      <t>INCIDENT/ACCIDENT INVESTIG.&amp;ROOT CAUSE ANALYS</t>
    </r>
  </si>
  <si>
    <r>
      <rPr>
        <sz val="10"/>
        <rFont val="Arial"/>
      </rPr>
      <t>INCINERATOR TRAINING (HSC)</t>
    </r>
  </si>
  <si>
    <r>
      <rPr>
        <sz val="10"/>
        <rFont val="Arial"/>
      </rPr>
      <t>INDOS CERTIFICATE</t>
    </r>
  </si>
  <si>
    <r>
      <rPr>
        <sz val="10"/>
        <rFont val="Arial"/>
      </rPr>
      <t>INDUSTRIAL AUTOMATION SYSTEMS</t>
    </r>
  </si>
  <si>
    <r>
      <rPr>
        <sz val="10"/>
        <rFont val="Arial"/>
      </rPr>
      <t>INDUSTRIAL SAFETY TRAINING</t>
    </r>
  </si>
  <si>
    <r>
      <rPr>
        <sz val="10"/>
        <rFont val="Arial"/>
      </rPr>
      <t>INERT GAS SYSTEM CRUDE OIL WASHING</t>
    </r>
  </si>
  <si>
    <r>
      <rPr>
        <sz val="10"/>
        <rFont val="Arial"/>
      </rPr>
      <t>INFOMANAGER</t>
    </r>
  </si>
  <si>
    <r>
      <rPr>
        <sz val="10"/>
        <rFont val="Arial"/>
      </rPr>
      <t>INITIAL TRAINING FOR SHIPBOARD OPERATIONS</t>
    </r>
  </si>
  <si>
    <r>
      <rPr>
        <sz val="10"/>
        <rFont val="Arial"/>
      </rPr>
      <t>INMARSAT</t>
    </r>
  </si>
  <si>
    <r>
      <rPr>
        <sz val="10"/>
        <rFont val="Arial"/>
      </rPr>
      <t>INSPECTIONS -CBT</t>
    </r>
  </si>
  <si>
    <r>
      <rPr>
        <sz val="10"/>
        <rFont val="Arial"/>
      </rPr>
      <t>INSTRUMENTATION</t>
    </r>
  </si>
  <si>
    <r>
      <rPr>
        <sz val="10"/>
        <rFont val="Arial"/>
      </rPr>
      <t>INTERNAL AUDITORS</t>
    </r>
  </si>
  <si>
    <r>
      <rPr>
        <sz val="10"/>
        <rFont val="Arial"/>
      </rPr>
      <t>INTRODUCTION TO NAVIGATION CBT 51</t>
    </r>
  </si>
  <si>
    <r>
      <rPr>
        <sz val="10"/>
        <rFont val="Arial"/>
      </rPr>
      <t>INTRODUCTION TO RIGGING &amp; LIFTING OPERATIONS (OPITO APPROVED</t>
    </r>
  </si>
  <si>
    <r>
      <rPr>
        <sz val="10"/>
        <rFont val="Arial"/>
      </rPr>
      <t>ISF MARLINS ENGLISH LANGUAGE TEST</t>
    </r>
  </si>
  <si>
    <r>
      <rPr>
        <sz val="10"/>
        <rFont val="Arial"/>
      </rPr>
      <t>ISM AWARENESS &amp; SAFETY ORIENTATION</t>
    </r>
  </si>
  <si>
    <r>
      <rPr>
        <sz val="10"/>
        <rFont val="Arial"/>
      </rPr>
      <t>ISM CODE(SMS)- CBT</t>
    </r>
  </si>
  <si>
    <r>
      <rPr>
        <sz val="10"/>
        <rFont val="Arial"/>
      </rPr>
      <t>ISM-CODE DOCUMENT CONTROL</t>
    </r>
  </si>
  <si>
    <r>
      <rPr>
        <sz val="10"/>
        <rFont val="Arial"/>
      </rPr>
      <t>ISM-CODE INTRODUCTION</t>
    </r>
  </si>
  <si>
    <r>
      <rPr>
        <sz val="10"/>
        <rFont val="Arial"/>
      </rPr>
      <t>ISMS SHIPBOARD MANAGEMENT SYSTEM</t>
    </r>
  </si>
  <si>
    <r>
      <rPr>
        <sz val="10"/>
        <rFont val="Arial"/>
      </rPr>
      <t>ISMS SOFTWARE</t>
    </r>
  </si>
  <si>
    <r>
      <rPr>
        <sz val="10"/>
        <rFont val="Arial"/>
      </rPr>
      <t>ISO 14001</t>
    </r>
  </si>
  <si>
    <r>
      <rPr>
        <sz val="10"/>
        <rFont val="Arial"/>
      </rPr>
      <t>ISPS - IN'TL SHIP &amp; PORT FACILITY SECURITY COURSE</t>
    </r>
  </si>
  <si>
    <r>
      <rPr>
        <sz val="10"/>
        <rFont val="Arial"/>
      </rPr>
      <t>ISPS CODE / VESSEL SECURITY TRAINING (HSC)</t>
    </r>
  </si>
  <si>
    <r>
      <rPr>
        <sz val="10"/>
        <rFont val="Arial"/>
      </rPr>
      <t>ISPS FAMILIARIZATION</t>
    </r>
  </si>
  <si>
    <r>
      <rPr>
        <sz val="10"/>
        <rFont val="Arial"/>
      </rPr>
      <t>IT INFORMATION MANAGMENT SYSTEMS</t>
    </r>
  </si>
  <si>
    <r>
      <rPr>
        <sz val="10"/>
        <rFont val="Arial"/>
      </rPr>
      <t>JUNIOR MANAGEMENT COURSE</t>
    </r>
  </si>
  <si>
    <r>
      <rPr>
        <sz val="10"/>
        <rFont val="Arial"/>
      </rPr>
      <t>JUNIOR MOTORMAN COURSE</t>
    </r>
  </si>
  <si>
    <r>
      <rPr>
        <sz val="10"/>
        <rFont val="Arial"/>
      </rPr>
      <t>JUNIOR OFFICER GAS TANKER OPERATIONS</t>
    </r>
  </si>
  <si>
    <r>
      <rPr>
        <sz val="10"/>
        <rFont val="Arial"/>
      </rPr>
      <t>JUNIOR OFFICER LNG GAS TANKER OPERATIONS</t>
    </r>
  </si>
  <si>
    <r>
      <rPr>
        <sz val="10"/>
        <rFont val="Arial"/>
      </rPr>
      <t>JUNIOR OFFICER LPG TANKER OPERATIONS</t>
    </r>
  </si>
  <si>
    <r>
      <rPr>
        <sz val="10"/>
        <rFont val="Arial"/>
      </rPr>
      <t>JUNIOR OFFICER TANKER OPERATIONS</t>
    </r>
  </si>
  <si>
    <r>
      <rPr>
        <sz val="10"/>
        <rFont val="Arial"/>
      </rPr>
      <t>JUNIOR WORKSHOP</t>
    </r>
  </si>
  <si>
    <r>
      <rPr>
        <sz val="10"/>
        <rFont val="Arial"/>
      </rPr>
      <t>KONGSBERG GENERAL OPERATORS</t>
    </r>
  </si>
  <si>
    <r>
      <rPr>
        <sz val="10"/>
        <rFont val="Arial"/>
      </rPr>
      <t>KONGSBERG IAS TECHNICAL</t>
    </r>
  </si>
  <si>
    <r>
      <rPr>
        <sz val="10"/>
        <rFont val="Arial"/>
      </rPr>
      <t>LARGE SHIP HANDLING B-V/A</t>
    </r>
  </si>
  <si>
    <r>
      <rPr>
        <sz val="10"/>
        <rFont val="Arial"/>
      </rPr>
      <t>LATHE MACHINE</t>
    </r>
  </si>
  <si>
    <r>
      <rPr>
        <sz val="10"/>
        <rFont val="Arial"/>
      </rPr>
      <t>LCHS - LIQUID CARGO HANDLING SIMULATOR</t>
    </r>
  </si>
  <si>
    <r>
      <rPr>
        <sz val="10"/>
        <rFont val="Arial"/>
      </rPr>
      <t>LDP - LEADERSHIP DEVELOPMENT PROGRAM</t>
    </r>
  </si>
  <si>
    <r>
      <rPr>
        <sz val="10"/>
        <rFont val="Arial"/>
      </rPr>
      <t>LIBERIAN TANKERMAN INCHARGE - CHEMICAL</t>
    </r>
  </si>
  <si>
    <r>
      <rPr>
        <sz val="10"/>
        <rFont val="Arial"/>
      </rPr>
      <t>LIBERIAN TANKERMAN INCHARGE - GAS</t>
    </r>
  </si>
  <si>
    <r>
      <rPr>
        <sz val="10"/>
        <rFont val="Arial"/>
      </rPr>
      <t>LIFE SAVING APPLIANCES TRAINING LSA (HSC)</t>
    </r>
  </si>
  <si>
    <r>
      <rPr>
        <sz val="10"/>
        <rFont val="Arial"/>
      </rPr>
      <t>LIFEBOAT SEMINAR</t>
    </r>
  </si>
  <si>
    <r>
      <rPr>
        <sz val="10"/>
        <rFont val="Arial"/>
      </rPr>
      <t>LIFTING AND RIGGING TRAINING</t>
    </r>
  </si>
  <si>
    <r>
      <rPr>
        <sz val="10"/>
        <rFont val="Arial"/>
      </rPr>
      <t>LIFTING GEARS EXAMINERS COURSE</t>
    </r>
  </si>
  <si>
    <r>
      <rPr>
        <sz val="10"/>
        <rFont val="Arial"/>
      </rPr>
      <t>LIQUEFIED GAS TANKERS SPECIALIZED TRAINING</t>
    </r>
  </si>
  <si>
    <r>
      <rPr>
        <sz val="10"/>
        <rFont val="Arial"/>
      </rPr>
      <t>LIQUID CARGO PROPERTIES - CBT</t>
    </r>
  </si>
  <si>
    <r>
      <rPr>
        <sz val="10"/>
        <rFont val="Arial"/>
      </rPr>
      <t>LNG FAMILIARISATION PERIOD</t>
    </r>
  </si>
  <si>
    <r>
      <rPr>
        <sz val="10"/>
        <rFont val="Arial"/>
      </rPr>
      <t>LNG LICOS CARGO HANDLING</t>
    </r>
  </si>
  <si>
    <r>
      <rPr>
        <sz val="10"/>
        <rFont val="Arial"/>
      </rPr>
      <t>LNG SEMINAR</t>
    </r>
  </si>
  <si>
    <r>
      <rPr>
        <sz val="10"/>
        <rFont val="Arial"/>
      </rPr>
      <t>LNG SHIPBOARD FAMILIARISATION CHECKLIST</t>
    </r>
  </si>
  <si>
    <r>
      <rPr>
        <sz val="10"/>
        <rFont val="Arial"/>
      </rPr>
      <t>LNG SHIPHANDLING</t>
    </r>
  </si>
  <si>
    <r>
      <rPr>
        <sz val="10"/>
        <rFont val="Arial"/>
      </rPr>
      <t>LNG SPECIFIC GAS TRAINING</t>
    </r>
  </si>
  <si>
    <r>
      <rPr>
        <sz val="10"/>
        <rFont val="Arial"/>
      </rPr>
      <t>LNG UNDERPINNING KNOWLEDGE OF CARGO</t>
    </r>
  </si>
  <si>
    <r>
      <rPr>
        <sz val="10"/>
        <rFont val="Arial"/>
      </rPr>
      <t>LNG UNDERPINNING KNOWLEDGE OF STEAM</t>
    </r>
  </si>
  <si>
    <r>
      <rPr>
        <sz val="10"/>
        <rFont val="Arial"/>
      </rPr>
      <t>LPG REFRESHER TRAINING</t>
    </r>
  </si>
  <si>
    <r>
      <rPr>
        <sz val="10"/>
        <rFont val="Arial"/>
      </rPr>
      <t>LR  CONTINUOUS SURVEY</t>
    </r>
  </si>
  <si>
    <r>
      <rPr>
        <sz val="10"/>
        <rFont val="Arial"/>
      </rPr>
      <t>LYNGSO ALARM SYSTEMS</t>
    </r>
  </si>
  <si>
    <r>
      <rPr>
        <sz val="10"/>
        <rFont val="Arial"/>
      </rPr>
      <t>MAIN ENGINE MANUFACTURER</t>
    </r>
  </si>
  <si>
    <r>
      <rPr>
        <sz val="10"/>
        <rFont val="Arial"/>
      </rPr>
      <t>MAINTENANCE AND REPAIR STCW III/2</t>
    </r>
  </si>
  <si>
    <r>
      <rPr>
        <sz val="10"/>
        <rFont val="Arial"/>
      </rPr>
      <t>MAINTENANCE OF ELECTORONIC NAVIG. EQUIPMENT</t>
    </r>
  </si>
  <si>
    <r>
      <rPr>
        <sz val="10"/>
        <rFont val="Arial"/>
      </rPr>
      <t>MAINTENANCE OF ELECTRICAL &amp; ELECTRONIC EQUIPMENT A-III/2</t>
    </r>
  </si>
  <si>
    <r>
      <rPr>
        <sz val="10"/>
        <rFont val="Arial"/>
      </rPr>
      <t>MAN B&amp;W DIESEL ENGINES</t>
    </r>
  </si>
  <si>
    <r>
      <rPr>
        <sz val="10"/>
        <rFont val="Arial"/>
      </rPr>
      <t>MARINA ENDORSEMENT CERTIFICATE</t>
    </r>
  </si>
  <si>
    <r>
      <rPr>
        <sz val="10"/>
        <rFont val="Arial"/>
      </rPr>
      <t>MARINE COOLING SYSTEMS</t>
    </r>
  </si>
  <si>
    <r>
      <rPr>
        <sz val="10"/>
        <rFont val="Arial"/>
      </rPr>
      <t>MARINE ELECTRICAL AND ELECTRONICS</t>
    </r>
  </si>
  <si>
    <r>
      <rPr>
        <sz val="10"/>
        <rFont val="Arial"/>
      </rPr>
      <t>MARINE ELECTRICAL MAINTENANCE</t>
    </r>
  </si>
  <si>
    <r>
      <rPr>
        <sz val="10"/>
        <rFont val="Arial"/>
      </rPr>
      <t>MARINE ENGINEERING STCW A III/2</t>
    </r>
  </si>
  <si>
    <r>
      <rPr>
        <sz val="10"/>
        <rFont val="Arial"/>
      </rPr>
      <t>MARINE FUEL HANDLING&amp;PRE- TREATMENT- CBT</t>
    </r>
  </si>
  <si>
    <r>
      <rPr>
        <sz val="10"/>
        <rFont val="Arial"/>
      </rPr>
      <t>MARINE FUEL PROPERTIES CBT 11</t>
    </r>
  </si>
  <si>
    <r>
      <rPr>
        <sz val="10"/>
        <rFont val="Arial"/>
      </rPr>
      <t>MARINE LUBRICANTS - CBT</t>
    </r>
  </si>
  <si>
    <r>
      <rPr>
        <sz val="10"/>
        <rFont val="Arial"/>
      </rPr>
      <t>MARINE LUBRICATING SYSTEMS</t>
    </r>
  </si>
  <si>
    <r>
      <rPr>
        <sz val="10"/>
        <rFont val="Arial"/>
      </rPr>
      <t>MARINE RISK MANAGEMENT</t>
    </r>
  </si>
  <si>
    <r>
      <rPr>
        <sz val="10"/>
        <rFont val="Arial"/>
      </rPr>
      <t>MARINE WORKSHOP</t>
    </r>
  </si>
  <si>
    <r>
      <rPr>
        <sz val="10"/>
        <rFont val="Arial"/>
      </rPr>
      <t>MARITIME ACADEMY</t>
    </r>
  </si>
  <si>
    <r>
      <rPr>
        <sz val="10"/>
        <rFont val="Arial"/>
      </rPr>
      <t>MARITIME ENGLISH - ADVANCED</t>
    </r>
  </si>
  <si>
    <r>
      <rPr>
        <sz val="10"/>
        <rFont val="Arial"/>
      </rPr>
      <t>MARITIME ENGLISH - BASIC</t>
    </r>
  </si>
  <si>
    <r>
      <rPr>
        <sz val="10"/>
        <rFont val="Arial"/>
      </rPr>
      <t>MARITIME ENGLISH - INTERMEDIATE</t>
    </r>
  </si>
  <si>
    <r>
      <rPr>
        <sz val="10"/>
        <rFont val="Arial"/>
      </rPr>
      <t>MARITIME LAW FOR SHIP'S OFFICERS</t>
    </r>
  </si>
  <si>
    <r>
      <rPr>
        <sz val="10"/>
        <rFont val="Arial"/>
      </rPr>
      <t>MARITIME LEGISLATION</t>
    </r>
  </si>
  <si>
    <r>
      <rPr>
        <sz val="10"/>
        <rFont val="Arial"/>
      </rPr>
      <t>MARITIME RADIOCOMMUNICATIONS GENERAL CERT.</t>
    </r>
  </si>
  <si>
    <r>
      <rPr>
        <sz val="10"/>
        <rFont val="Arial"/>
      </rPr>
      <t>MARITIME RESOURCE MANAGEMENT</t>
    </r>
  </si>
  <si>
    <r>
      <rPr>
        <sz val="10"/>
        <rFont val="Arial"/>
      </rPr>
      <t>MARPOL - MARINE POLLUTION</t>
    </r>
  </si>
  <si>
    <r>
      <rPr>
        <sz val="10"/>
        <rFont val="Arial"/>
      </rPr>
      <t>MARPOL 73/78 ANNEX I</t>
    </r>
  </si>
  <si>
    <r>
      <rPr>
        <sz val="10"/>
        <rFont val="Arial"/>
      </rPr>
      <t>MARPOL 73/78 ANNEX II</t>
    </r>
  </si>
  <si>
    <r>
      <rPr>
        <sz val="10"/>
        <rFont val="Arial"/>
      </rPr>
      <t>MARPOL 73/78-ANNEX I</t>
    </r>
  </si>
  <si>
    <r>
      <rPr>
        <sz val="10"/>
        <rFont val="Arial"/>
      </rPr>
      <t>MARPOL 73/78-ANNEX II</t>
    </r>
  </si>
  <si>
    <r>
      <rPr>
        <sz val="10"/>
        <rFont val="Arial"/>
      </rPr>
      <t>MARPOL 73/78-ANNEX III</t>
    </r>
  </si>
  <si>
    <r>
      <rPr>
        <sz val="10"/>
        <rFont val="Arial"/>
      </rPr>
      <t>MARPOL 73/78-ANNEX VI</t>
    </r>
  </si>
  <si>
    <r>
      <rPr>
        <sz val="10"/>
        <rFont val="Arial"/>
      </rPr>
      <t>MARPOL CBT 92</t>
    </r>
  </si>
  <si>
    <r>
      <rPr>
        <sz val="10"/>
        <rFont val="Arial"/>
      </rPr>
      <t>MDP - MANAGEMENT DEVELOPMENT PROGRAMME</t>
    </r>
  </si>
  <si>
    <r>
      <rPr>
        <sz val="10"/>
        <rFont val="Arial"/>
      </rPr>
      <t>MEDIA TRAINING</t>
    </r>
  </si>
  <si>
    <r>
      <rPr>
        <sz val="10"/>
        <rFont val="Arial"/>
      </rPr>
      <t>MEDICAL CARE - CBT</t>
    </r>
  </si>
  <si>
    <r>
      <rPr>
        <sz val="10"/>
        <rFont val="Arial"/>
      </rPr>
      <t>MEDICAL CARE A-VI/4 4-6</t>
    </r>
  </si>
  <si>
    <r>
      <rPr>
        <sz val="10"/>
        <rFont val="Arial"/>
      </rPr>
      <t>MEDICAL CARE ON BOARD SHIP – VI/4.2</t>
    </r>
  </si>
  <si>
    <r>
      <rPr>
        <sz val="10"/>
        <rFont val="Arial"/>
      </rPr>
      <t>MEDICAL CERT. I/9</t>
    </r>
  </si>
  <si>
    <r>
      <rPr>
        <sz val="10"/>
        <rFont val="Arial"/>
      </rPr>
      <t>MEDICAL FIRST AID - CBT</t>
    </r>
  </si>
  <si>
    <r>
      <rPr>
        <sz val="10"/>
        <rFont val="Arial"/>
      </rPr>
      <t>MFA - MEDICAL FIRST AID A-VI/4 1-3</t>
    </r>
  </si>
  <si>
    <r>
      <rPr>
        <sz val="10"/>
        <rFont val="Arial"/>
      </rPr>
      <t>MINERAL OIL SEPARATOR</t>
    </r>
  </si>
  <si>
    <r>
      <rPr>
        <sz val="10"/>
        <rFont val="Arial"/>
      </rPr>
      <t>MOORING - CBT</t>
    </r>
  </si>
  <si>
    <r>
      <rPr>
        <sz val="10"/>
        <rFont val="Arial"/>
      </rPr>
      <t>MOVESMART</t>
    </r>
  </si>
  <si>
    <r>
      <rPr>
        <sz val="10"/>
        <rFont val="Arial"/>
      </rPr>
      <t>MOVESMART INSTRUCTOR</t>
    </r>
  </si>
  <si>
    <r>
      <rPr>
        <sz val="10"/>
        <rFont val="Arial"/>
      </rPr>
      <t>NABCO M/E MANOEUVRING &amp; CONTROL COURSE (MANAGEMENT LEVEL)</t>
    </r>
  </si>
  <si>
    <r>
      <rPr>
        <sz val="10"/>
        <rFont val="Arial"/>
      </rPr>
      <t>NAVIGATIONAL WATCHKEEPING COURSE</t>
    </r>
  </si>
  <si>
    <r>
      <rPr>
        <sz val="10"/>
        <rFont val="Arial"/>
      </rPr>
      <t>NIS RULES AND REGULATIONS</t>
    </r>
  </si>
  <si>
    <r>
      <rPr>
        <sz val="10"/>
        <rFont val="Arial"/>
      </rPr>
      <t>NIS, TANKERMAN LOWEST GRADE - GAS</t>
    </r>
  </si>
  <si>
    <r>
      <rPr>
        <sz val="10"/>
        <rFont val="Arial"/>
      </rPr>
      <t>NKK CONTINUOUS SURVEY</t>
    </r>
  </si>
  <si>
    <r>
      <rPr>
        <sz val="10"/>
        <rFont val="Arial"/>
      </rPr>
      <t>NVQ ASSESSORS</t>
    </r>
  </si>
  <si>
    <r>
      <rPr>
        <sz val="10"/>
        <rFont val="Arial"/>
      </rPr>
      <t>OFFSHORE CRANE OPERATOR</t>
    </r>
  </si>
  <si>
    <r>
      <rPr>
        <sz val="10"/>
        <rFont val="Arial"/>
      </rPr>
      <t>OFFSHORE RADIO OPERATOR</t>
    </r>
  </si>
  <si>
    <r>
      <rPr>
        <sz val="10"/>
        <rFont val="Arial"/>
      </rPr>
      <t>OFFSHORE SAFETY</t>
    </r>
  </si>
  <si>
    <r>
      <rPr>
        <sz val="10"/>
        <rFont val="Arial"/>
      </rPr>
      <t>OIL SPILL CONTROL COURSE</t>
    </r>
  </si>
  <si>
    <r>
      <rPr>
        <sz val="10"/>
        <rFont val="Arial"/>
      </rPr>
      <t>OIL SPILL RESPONSE</t>
    </r>
  </si>
  <si>
    <r>
      <rPr>
        <sz val="10"/>
        <rFont val="Arial"/>
      </rPr>
      <t>OIL TANKER SPECIALIZED TRAINING PROGRAMME – V/1.2.2</t>
    </r>
  </si>
  <si>
    <r>
      <rPr>
        <sz val="10"/>
        <rFont val="Arial"/>
      </rPr>
      <t>OILER - SPECIAL QUALIFICATIONS</t>
    </r>
  </si>
  <si>
    <r>
      <rPr>
        <sz val="10"/>
        <rFont val="Arial"/>
      </rPr>
      <t>ONBOARD COMPUTER SET UP &amp; EQUIPMENT</t>
    </r>
  </si>
  <si>
    <r>
      <rPr>
        <sz val="10"/>
        <rFont val="Arial"/>
      </rPr>
      <t>OPA - OIL POLLUTION ACT</t>
    </r>
  </si>
  <si>
    <r>
      <rPr>
        <sz val="10"/>
        <rFont val="Arial"/>
      </rPr>
      <t>OPA 90 - CBT</t>
    </r>
  </si>
  <si>
    <r>
      <rPr>
        <sz val="10"/>
        <rFont val="Arial"/>
      </rPr>
      <t>OPERATION CRANES &amp; LIFTING APPLIANCES (HSC)</t>
    </r>
  </si>
  <si>
    <r>
      <rPr>
        <sz val="10"/>
        <rFont val="Arial"/>
      </rPr>
      <t>OPERATION OF EMERGENCY STEERING (HSC)</t>
    </r>
  </si>
  <si>
    <r>
      <rPr>
        <sz val="10"/>
        <rFont val="Arial"/>
      </rPr>
      <t>OPERATION OF GENERATORS - CBT</t>
    </r>
  </si>
  <si>
    <r>
      <rPr>
        <sz val="10"/>
        <rFont val="Arial"/>
      </rPr>
      <t>OPERATION OF LIQUEFIED GAS TANKER</t>
    </r>
  </si>
  <si>
    <r>
      <rPr>
        <sz val="10"/>
        <rFont val="Arial"/>
      </rPr>
      <t>OPERATIONAL USE OF ARPA - CBT</t>
    </r>
  </si>
  <si>
    <r>
      <rPr>
        <sz val="10"/>
        <rFont val="Arial"/>
      </rPr>
      <t>OPERATIONS SEMINAR DML TECH</t>
    </r>
  </si>
  <si>
    <r>
      <rPr>
        <sz val="10"/>
        <rFont val="Arial"/>
      </rPr>
      <t>OSR TRAINING COURSE</t>
    </r>
  </si>
  <si>
    <r>
      <rPr>
        <sz val="10"/>
        <rFont val="Arial"/>
      </rPr>
      <t>OTF - OIL TANKER FAMILIARIZATION</t>
    </r>
  </si>
  <si>
    <r>
      <rPr>
        <sz val="10"/>
        <rFont val="Arial"/>
      </rPr>
      <t>OVERTIME MANAGEMENT</t>
    </r>
  </si>
  <si>
    <r>
      <rPr>
        <sz val="10"/>
        <rFont val="Arial"/>
      </rPr>
      <t>OXYGEN RESUSCITATOR</t>
    </r>
  </si>
  <si>
    <r>
      <rPr>
        <sz val="10"/>
        <rFont val="Arial"/>
      </rPr>
      <t>P&amp;I (GARD) -CBT</t>
    </r>
  </si>
  <si>
    <r>
      <rPr>
        <sz val="10"/>
        <rFont val="Arial"/>
      </rPr>
      <t>PAINT MAINTENANCE &amp; REPAIR</t>
    </r>
  </si>
  <si>
    <r>
      <rPr>
        <sz val="10"/>
        <rFont val="Arial"/>
      </rPr>
      <t>PASS CRISIS MANAGEMENT TRNG. A-V/3 5</t>
    </r>
  </si>
  <si>
    <r>
      <rPr>
        <sz val="10"/>
        <rFont val="Arial"/>
      </rPr>
      <t>PASS CROWD MANAGEMENT TRNG. A-V/3 1</t>
    </r>
  </si>
  <si>
    <r>
      <rPr>
        <sz val="10"/>
        <rFont val="Arial"/>
      </rPr>
      <t>PASS FAMILIARIZATION TRNG. A-V/3 2</t>
    </r>
  </si>
  <si>
    <r>
      <rPr>
        <sz val="10"/>
        <rFont val="Arial"/>
      </rPr>
      <t>PASS PAX SAFETY TRNG. A-V/3 4</t>
    </r>
  </si>
  <si>
    <r>
      <rPr>
        <sz val="10"/>
        <rFont val="Arial"/>
      </rPr>
      <t>PASS SAFETY TRNG.            A-V/3 4</t>
    </r>
  </si>
  <si>
    <r>
      <rPr>
        <sz val="10"/>
        <rFont val="Arial"/>
      </rPr>
      <t>PASS VSL COMPREHENSIVE TRNG. A-V/3 1-5</t>
    </r>
  </si>
  <si>
    <r>
      <rPr>
        <sz val="10"/>
        <rFont val="Arial"/>
      </rPr>
      <t>PERS PREDISPOSITION FOR WORK ON BOARD A SHIP</t>
    </r>
  </si>
  <si>
    <r>
      <rPr>
        <sz val="10"/>
        <rFont val="Arial"/>
      </rPr>
      <t>PERSONAL COMPUTER ADVANCED</t>
    </r>
  </si>
  <si>
    <r>
      <rPr>
        <sz val="10"/>
        <rFont val="Arial"/>
      </rPr>
      <t>PERSONAL COMPUTER BASIC</t>
    </r>
  </si>
  <si>
    <r>
      <rPr>
        <sz val="10"/>
        <rFont val="Arial"/>
      </rPr>
      <t>PERSONAL INJURY PREVENTION</t>
    </r>
  </si>
  <si>
    <r>
      <rPr>
        <sz val="10"/>
        <rFont val="Arial"/>
      </rPr>
      <t>PERSONAL SAFETY - CBT</t>
    </r>
  </si>
  <si>
    <r>
      <rPr>
        <sz val="10"/>
        <rFont val="Arial"/>
      </rPr>
      <t>PERSONAL SURVIVAL - CBT</t>
    </r>
  </si>
  <si>
    <r>
      <rPr>
        <sz val="10"/>
        <rFont val="Arial"/>
      </rPr>
      <t>PERSONNEL MANAGEMENT</t>
    </r>
  </si>
  <si>
    <r>
      <rPr>
        <sz val="10"/>
        <rFont val="Arial"/>
      </rPr>
      <t>PERSONNEL SERVING ON PASSENGER SHIPS OTHER THAN RO-RO PASSEN</t>
    </r>
  </si>
  <si>
    <r>
      <rPr>
        <sz val="10"/>
        <rFont val="Arial"/>
      </rPr>
      <t>PHS JUNIOR OFFICERS MEETING</t>
    </r>
  </si>
  <si>
    <r>
      <rPr>
        <sz val="10"/>
        <rFont val="Arial"/>
      </rPr>
      <t>PLANNED MAINTENANCE SYSTEMS - PMS</t>
    </r>
  </si>
  <si>
    <r>
      <rPr>
        <sz val="10"/>
        <rFont val="Arial"/>
      </rPr>
      <t>PLANT OPERATIONS FOR MARINE ENGINEERS</t>
    </r>
  </si>
  <si>
    <r>
      <rPr>
        <sz val="10"/>
        <rFont val="Arial"/>
      </rPr>
      <t>PNEUMATICS AND HYDRAULICS</t>
    </r>
  </si>
  <si>
    <r>
      <rPr>
        <sz val="10"/>
        <rFont val="Arial"/>
      </rPr>
      <t>POLLUTION PREVENTION</t>
    </r>
  </si>
  <si>
    <t>BANK ACCOUNT INFORMATION / РЕКВИЗИТЫ БАНКОВСКОГО СЧЕТА</t>
  </si>
  <si>
    <t xml:space="preserve">  Pre-Join medical Questionnaire / 
Медицинская анкета до прибытия</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</si>
</sst>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mmm\-yyyy"/>
    <numFmt numFmtId="165" formatCode="0.0"/>
    <numFmt numFmtId="166" formatCode="0;[Red]0"/>
  </numFmts>
  <fonts count="69" x14ac:knownFonts="1">
    <font>
      <sz val="10"/>
      <name val="Arial"/>
    </font>
    <font>
      <sz val="10"/>
      <name val="Arial"/>
      <family val="2"/>
    </font>
    <font>
      <sz val="8"/>
      <name val="Arial"/>
      <family val="2"/>
    </font>
    <font>
      <b/>
      <sz val="10"/>
      <color indexed="10"/>
      <name val="Arial"/>
      <family val="2"/>
    </font>
    <font>
      <b/>
      <sz val="10"/>
      <name val="Arial"/>
      <family val="2"/>
    </font>
    <font>
      <b/>
      <sz val="16"/>
      <name val="Arial"/>
      <family val="2"/>
    </font>
    <font>
      <b/>
      <sz val="10"/>
      <color indexed="11"/>
      <name val="Arial"/>
      <family val="2"/>
    </font>
    <font>
      <u/>
      <sz val="8"/>
      <color indexed="12"/>
      <name val="Arial"/>
      <family val="2"/>
    </font>
    <font>
      <b/>
      <i/>
      <sz val="10"/>
      <name val="Arial"/>
      <family val="2"/>
    </font>
    <font>
      <sz val="8"/>
      <color indexed="62"/>
      <name val="Arial"/>
      <family val="2"/>
    </font>
    <font>
      <sz val="8"/>
      <color indexed="18"/>
      <name val="Arial"/>
      <family val="2"/>
    </font>
    <font>
      <sz val="8"/>
      <color indexed="8"/>
      <name val="Arial"/>
      <family val="2"/>
    </font>
    <font>
      <sz val="12"/>
      <color indexed="9"/>
      <name val="Arial"/>
      <family val="2"/>
    </font>
    <font>
      <sz val="10"/>
      <color indexed="9"/>
      <name val="Arial"/>
      <family val="2"/>
    </font>
    <font>
      <b/>
      <sz val="10"/>
      <color indexed="9"/>
      <name val="Arial"/>
      <family val="2"/>
    </font>
    <font>
      <sz val="11"/>
      <color indexed="9"/>
      <name val="Arial"/>
      <family val="2"/>
    </font>
    <font>
      <b/>
      <sz val="16"/>
      <color indexed="9"/>
      <name val="Arial"/>
      <family val="2"/>
    </font>
    <font>
      <b/>
      <sz val="11"/>
      <color indexed="9"/>
      <name val="Arial"/>
      <family val="2"/>
    </font>
    <font>
      <sz val="8"/>
      <color indexed="81"/>
      <name val="Tahoma"/>
      <family val="2"/>
    </font>
    <font>
      <b/>
      <sz val="8"/>
      <color indexed="81"/>
      <name val="Tahoma"/>
      <family val="2"/>
    </font>
    <font>
      <b/>
      <sz val="9"/>
      <color indexed="10"/>
      <name val="Tahoma"/>
      <family val="2"/>
    </font>
    <font>
      <b/>
      <sz val="8"/>
      <color indexed="13"/>
      <name val="Tahoma"/>
      <family val="2"/>
    </font>
    <font>
      <b/>
      <sz val="8"/>
      <color indexed="10"/>
      <name val="Tahoma"/>
      <family val="2"/>
    </font>
    <font>
      <b/>
      <sz val="8"/>
      <color indexed="43"/>
      <name val="Tahoma"/>
      <family val="2"/>
    </font>
    <font>
      <sz val="10"/>
      <color indexed="8"/>
      <name val="Arial"/>
      <family val="2"/>
    </font>
    <font>
      <b/>
      <sz val="12"/>
      <color indexed="8"/>
      <name val="Arial"/>
      <family val="2"/>
    </font>
    <font>
      <sz val="10"/>
      <color indexed="8"/>
      <name val="Arial"/>
      <family val="2"/>
    </font>
    <font>
      <sz val="8"/>
      <color indexed="8"/>
      <name val="Arial"/>
      <family val="2"/>
    </font>
    <font>
      <b/>
      <sz val="10"/>
      <color indexed="8"/>
      <name val="Arial"/>
      <family val="2"/>
    </font>
    <font>
      <sz val="9"/>
      <color indexed="8"/>
      <name val="Arial"/>
      <family val="2"/>
    </font>
    <font>
      <b/>
      <sz val="10"/>
      <color indexed="8"/>
      <name val="Arial"/>
      <family val="2"/>
    </font>
    <font>
      <b/>
      <sz val="9"/>
      <color indexed="8"/>
      <name val="Arial"/>
      <family val="2"/>
    </font>
    <font>
      <sz val="14"/>
      <color indexed="8"/>
      <name val="Arial"/>
      <family val="2"/>
    </font>
    <font>
      <b/>
      <sz val="9"/>
      <color indexed="8"/>
      <name val="Arial"/>
      <family val="2"/>
    </font>
    <font>
      <b/>
      <sz val="8"/>
      <color indexed="8"/>
      <name val="Arial"/>
      <family val="2"/>
    </font>
    <font>
      <b/>
      <i/>
      <sz val="8"/>
      <color indexed="8"/>
      <name val="Arial"/>
      <family val="2"/>
    </font>
    <font>
      <b/>
      <i/>
      <sz val="9"/>
      <color indexed="8"/>
      <name val="Arial"/>
      <family val="2"/>
    </font>
    <font>
      <sz val="8"/>
      <name val="Arial"/>
      <family val="2"/>
    </font>
    <font>
      <sz val="10"/>
      <name val="Times New Roman"/>
      <family val="1"/>
    </font>
    <font>
      <sz val="10"/>
      <name val="Arial"/>
      <family val="2"/>
    </font>
    <font>
      <sz val="10"/>
      <name val="Arial"/>
      <family val="2"/>
    </font>
    <font>
      <b/>
      <sz val="11"/>
      <name val="Arial"/>
      <family val="2"/>
    </font>
    <font>
      <b/>
      <sz val="8"/>
      <name val="Arial"/>
      <family val="2"/>
    </font>
    <font>
      <b/>
      <sz val="11"/>
      <color indexed="8"/>
      <name val="Arial"/>
      <family val="2"/>
    </font>
    <font>
      <sz val="11"/>
      <color indexed="8"/>
      <name val="Arial"/>
      <family val="2"/>
    </font>
    <font>
      <b/>
      <sz val="10"/>
      <color indexed="9"/>
      <name val="Arial"/>
      <family val="2"/>
    </font>
    <font>
      <b/>
      <sz val="8"/>
      <color indexed="8"/>
      <name val="Arial"/>
      <family val="2"/>
    </font>
    <font>
      <b/>
      <sz val="8"/>
      <name val="Arial"/>
      <family val="2"/>
    </font>
    <font>
      <b/>
      <sz val="9"/>
      <color indexed="81"/>
      <name val="Tahoma"/>
      <family val="2"/>
    </font>
    <font>
      <sz val="9"/>
      <color indexed="81"/>
      <name val="Tahoma"/>
      <family val="2"/>
    </font>
    <font>
      <sz val="10"/>
      <color indexed="8"/>
      <name val="Arial"/>
      <family val="2"/>
    </font>
    <font>
      <sz val="14"/>
      <color indexed="63"/>
      <name val="Arial"/>
      <family val="2"/>
    </font>
    <font>
      <b/>
      <sz val="10"/>
      <color indexed="8"/>
      <name val="Tahoma"/>
      <family val="2"/>
    </font>
    <font>
      <b/>
      <sz val="10"/>
      <color indexed="8"/>
      <name val="Tahoma"/>
      <family val="2"/>
    </font>
    <font>
      <sz val="11"/>
      <color indexed="8"/>
      <name val="Arial"/>
      <family val="2"/>
    </font>
    <font>
      <sz val="9"/>
      <color indexed="8"/>
      <name val="Arial"/>
      <family val="2"/>
    </font>
    <font>
      <b/>
      <sz val="12"/>
      <color indexed="12"/>
      <name val="Arial"/>
      <family val="2"/>
    </font>
    <font>
      <b/>
      <sz val="10"/>
      <color indexed="8"/>
      <name val="Arial"/>
      <family val="2"/>
    </font>
    <font>
      <b/>
      <sz val="10"/>
      <color indexed="8"/>
      <name val="Arial"/>
      <family val="2"/>
    </font>
    <font>
      <sz val="10"/>
      <color indexed="12"/>
      <name val="Arial"/>
      <family val="2"/>
    </font>
    <font>
      <sz val="10"/>
      <color indexed="8"/>
      <name val="Arial"/>
      <family val="2"/>
    </font>
    <font>
      <i/>
      <sz val="10"/>
      <color indexed="8"/>
      <name val="Arial"/>
      <family val="2"/>
    </font>
    <font>
      <b/>
      <sz val="10"/>
      <color indexed="9"/>
      <name val="Arial"/>
      <family val="2"/>
    </font>
    <font>
      <b/>
      <sz val="10"/>
      <color indexed="22"/>
      <name val="Arial"/>
      <family val="2"/>
    </font>
    <font>
      <sz val="14"/>
      <color indexed="12"/>
      <name val="Arial"/>
      <family val="2"/>
    </font>
    <font>
      <b/>
      <sz val="10"/>
      <name val="Arial"/>
    </font>
    <font>
      <i/>
      <sz val="10"/>
      <name val="Arial"/>
    </font>
    <font>
      <sz val="8"/>
      <name val="Arial"/>
    </font>
    <font>
      <sz val="10"/>
      <color theme="1"/>
      <name val="Arial"/>
      <family val="2"/>
    </font>
  </fonts>
  <fills count="8">
    <fill>
      <patternFill patternType="none"/>
    </fill>
    <fill>
      <patternFill patternType="gray125"/>
    </fill>
    <fill>
      <patternFill patternType="solid">
        <fgColor indexed="41"/>
        <bgColor indexed="64"/>
      </patternFill>
    </fill>
    <fill>
      <patternFill patternType="solid">
        <fgColor indexed="8"/>
        <bgColor indexed="64"/>
      </patternFill>
    </fill>
    <fill>
      <patternFill patternType="solid">
        <fgColor indexed="22"/>
        <bgColor indexed="64"/>
      </patternFill>
    </fill>
    <fill>
      <patternFill patternType="solid">
        <fgColor indexed="48"/>
        <bgColor indexed="64"/>
      </patternFill>
    </fill>
    <fill>
      <patternFill patternType="solid">
        <fgColor indexed="43"/>
        <bgColor indexed="64"/>
      </patternFill>
    </fill>
    <fill>
      <patternFill patternType="solid">
        <fgColor indexed="9"/>
        <bgColor indexed="64"/>
      </patternFill>
    </fill>
  </fills>
  <borders count="6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8"/>
      </left>
      <right/>
      <top style="thin">
        <color indexed="64"/>
      </top>
      <bottom style="thin">
        <color indexed="64"/>
      </bottom>
      <diagonal/>
    </border>
    <border>
      <left/>
      <right style="thin">
        <color indexed="8"/>
      </right>
      <top style="thin">
        <color indexed="64"/>
      </top>
      <bottom style="thin">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medium">
        <color indexed="64"/>
      </bottom>
      <diagonal/>
    </border>
    <border>
      <left style="medium">
        <color indexed="64"/>
      </left>
      <right/>
      <top/>
      <bottom style="medium">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s>
  <cellStyleXfs count="4">
    <xf numFmtId="0" fontId="0" fillId="0" borderId="0"/>
    <xf numFmtId="0" fontId="68" fillId="0" borderId="0"/>
    <xf numFmtId="0" fontId="40" fillId="0" borderId="0"/>
    <xf numFmtId="0" fontId="7" fillId="0" borderId="0" applyNumberFormat="0" applyFill="0" applyBorder="0" applyAlignment="0" applyProtection="0">
      <alignment vertical="top"/>
      <protection locked="0"/>
    </xf>
  </cellStyleXfs>
  <cellXfs count="713">
    <xf numFmtId="0" fontId="0" fillId="0" borderId="0" xfId="0"/>
    <xf numFmtId="0" fontId="0" fillId="0" borderId="0" xfId="0" applyProtection="1"/>
    <xf numFmtId="0" fontId="4" fillId="0" borderId="0" xfId="0" applyFont="1" applyProtection="1"/>
    <xf numFmtId="0" fontId="0" fillId="0" borderId="1" xfId="0" applyBorder="1" applyProtection="1"/>
    <xf numFmtId="0" fontId="0" fillId="0" borderId="2" xfId="0" applyBorder="1" applyProtection="1"/>
    <xf numFmtId="0" fontId="9" fillId="2" borderId="0" xfId="0" applyFont="1" applyFill="1" applyAlignment="1" applyProtection="1">
      <alignment wrapText="1"/>
    </xf>
    <xf numFmtId="0" fontId="10" fillId="2" borderId="0" xfId="0" applyFont="1" applyFill="1" applyProtection="1"/>
    <xf numFmtId="0" fontId="10" fillId="2" borderId="0" xfId="0" quotePrefix="1" applyFont="1" applyFill="1" applyProtection="1"/>
    <xf numFmtId="0" fontId="0" fillId="2" borderId="0" xfId="0" applyFill="1" applyProtection="1"/>
    <xf numFmtId="0" fontId="0" fillId="3" borderId="0" xfId="0" applyFill="1" applyProtection="1"/>
    <xf numFmtId="0" fontId="0" fillId="3" borderId="0" xfId="0" applyFill="1" applyBorder="1" applyProtection="1"/>
    <xf numFmtId="0" fontId="13" fillId="3" borderId="0" xfId="0" applyFont="1" applyFill="1" applyBorder="1" applyProtection="1"/>
    <xf numFmtId="0" fontId="14" fillId="3" borderId="0" xfId="0" applyFont="1" applyFill="1" applyBorder="1" applyAlignment="1" applyProtection="1">
      <alignment wrapText="1"/>
    </xf>
    <xf numFmtId="14" fontId="0" fillId="0" borderId="0" xfId="0" applyNumberFormat="1"/>
    <xf numFmtId="0" fontId="15" fillId="3" borderId="0" xfId="0" applyFont="1" applyFill="1" applyBorder="1" applyProtection="1"/>
    <xf numFmtId="0" fontId="0" fillId="3" borderId="0" xfId="0" applyFill="1" applyProtection="1">
      <protection locked="0"/>
    </xf>
    <xf numFmtId="0" fontId="0" fillId="0" borderId="0" xfId="0" applyProtection="1">
      <protection locked="0"/>
    </xf>
    <xf numFmtId="0" fontId="3" fillId="3" borderId="0" xfId="0" applyFont="1" applyFill="1" applyBorder="1" applyAlignment="1" applyProtection="1">
      <alignment wrapText="1"/>
    </xf>
    <xf numFmtId="0" fontId="6" fillId="3" borderId="0" xfId="0" applyFont="1" applyFill="1" applyBorder="1" applyAlignment="1" applyProtection="1">
      <alignment wrapText="1"/>
    </xf>
    <xf numFmtId="0" fontId="24" fillId="0" borderId="0" xfId="0" applyFont="1" applyFill="1" applyProtection="1">
      <protection locked="0"/>
    </xf>
    <xf numFmtId="0" fontId="27" fillId="0" borderId="0" xfId="0" applyFont="1" applyFill="1" applyProtection="1"/>
    <xf numFmtId="0" fontId="24" fillId="0" borderId="0" xfId="0" applyFont="1" applyFill="1" applyProtection="1"/>
    <xf numFmtId="0" fontId="30" fillId="0" borderId="3" xfId="0" applyFont="1" applyFill="1" applyBorder="1" applyAlignment="1" applyProtection="1">
      <alignment horizontal="left" wrapText="1"/>
    </xf>
    <xf numFmtId="0" fontId="30" fillId="0" borderId="0" xfId="0" applyFont="1" applyFill="1" applyBorder="1" applyAlignment="1" applyProtection="1">
      <alignment horizontal="left" wrapText="1"/>
    </xf>
    <xf numFmtId="0" fontId="30" fillId="0" borderId="0" xfId="0" applyFont="1" applyFill="1" applyBorder="1" applyAlignment="1" applyProtection="1">
      <alignment horizontal="left" vertical="center"/>
    </xf>
    <xf numFmtId="0" fontId="29" fillId="0" borderId="4" xfId="0" applyNumberFormat="1" applyFont="1" applyFill="1" applyBorder="1" applyAlignment="1" applyProtection="1">
      <alignment vertical="top" wrapText="1"/>
    </xf>
    <xf numFmtId="0" fontId="29" fillId="0" borderId="0" xfId="0" applyNumberFormat="1" applyFont="1" applyFill="1" applyBorder="1" applyAlignment="1" applyProtection="1">
      <alignment vertical="top" wrapText="1"/>
    </xf>
    <xf numFmtId="0" fontId="26" fillId="0" borderId="3" xfId="0" applyFont="1" applyFill="1" applyBorder="1" applyProtection="1"/>
    <xf numFmtId="0" fontId="26" fillId="0" borderId="0" xfId="0" applyFont="1" applyFill="1" applyBorder="1" applyProtection="1"/>
    <xf numFmtId="0" fontId="26" fillId="0" borderId="5" xfId="0" applyFont="1" applyFill="1" applyBorder="1" applyProtection="1"/>
    <xf numFmtId="0" fontId="24" fillId="0" borderId="0" xfId="0" applyFont="1" applyFill="1" applyAlignment="1" applyProtection="1">
      <alignment shrinkToFit="1"/>
      <protection locked="0"/>
    </xf>
    <xf numFmtId="0" fontId="24" fillId="0" borderId="0" xfId="0" applyNumberFormat="1" applyFont="1" applyFill="1" applyProtection="1">
      <protection locked="0"/>
    </xf>
    <xf numFmtId="0" fontId="30" fillId="0" borderId="0" xfId="0" applyFont="1" applyFill="1" applyAlignment="1" applyProtection="1">
      <alignment horizontal="left" vertical="center"/>
    </xf>
    <xf numFmtId="0" fontId="30" fillId="0" borderId="0" xfId="0" applyFont="1" applyFill="1" applyProtection="1"/>
    <xf numFmtId="0" fontId="30" fillId="0" borderId="0" xfId="0" applyFont="1" applyFill="1" applyAlignment="1" applyProtection="1">
      <alignment horizontal="left"/>
    </xf>
    <xf numFmtId="0" fontId="30" fillId="0" borderId="6" xfId="0" quotePrefix="1" applyFont="1" applyFill="1" applyBorder="1" applyAlignment="1" applyProtection="1">
      <alignment horizontal="center" vertical="top"/>
    </xf>
    <xf numFmtId="0" fontId="30" fillId="0" borderId="7" xfId="0" quotePrefix="1" applyFont="1" applyFill="1" applyBorder="1" applyAlignment="1" applyProtection="1">
      <alignment horizontal="center" vertical="top"/>
    </xf>
    <xf numFmtId="0" fontId="30" fillId="0" borderId="0" xfId="0" applyFont="1" applyFill="1" applyBorder="1" applyProtection="1"/>
    <xf numFmtId="1" fontId="30" fillId="0" borderId="7" xfId="0" quotePrefix="1" applyNumberFormat="1" applyFont="1" applyFill="1" applyBorder="1" applyAlignment="1" applyProtection="1">
      <alignment horizontal="center" vertical="top"/>
    </xf>
    <xf numFmtId="0" fontId="30" fillId="0" borderId="4" xfId="0" applyFont="1" applyFill="1" applyBorder="1" applyAlignment="1" applyProtection="1">
      <alignment horizontal="left"/>
    </xf>
    <xf numFmtId="0" fontId="30" fillId="0" borderId="0" xfId="0" applyFont="1" applyFill="1" applyBorder="1" applyAlignment="1" applyProtection="1">
      <alignment horizontal="left"/>
    </xf>
    <xf numFmtId="0" fontId="30" fillId="0" borderId="7" xfId="0" applyFont="1" applyFill="1" applyBorder="1" applyAlignment="1" applyProtection="1">
      <alignment horizontal="center" vertical="top"/>
    </xf>
    <xf numFmtId="0" fontId="30" fillId="0" borderId="0" xfId="0" applyFont="1" applyFill="1" applyBorder="1" applyAlignment="1" applyProtection="1">
      <alignment horizontal="left" vertical="center" wrapText="1"/>
    </xf>
    <xf numFmtId="0" fontId="26" fillId="0" borderId="0" xfId="0" applyFont="1" applyFill="1" applyProtection="1"/>
    <xf numFmtId="2" fontId="30" fillId="0" borderId="7" xfId="0" quotePrefix="1" applyNumberFormat="1" applyFont="1" applyFill="1" applyBorder="1" applyAlignment="1" applyProtection="1">
      <alignment vertical="top"/>
    </xf>
    <xf numFmtId="0" fontId="30" fillId="0" borderId="7" xfId="0" quotePrefix="1" applyFont="1" applyFill="1" applyBorder="1" applyProtection="1"/>
    <xf numFmtId="0" fontId="24" fillId="0" borderId="2" xfId="0" applyFont="1" applyFill="1" applyBorder="1" applyProtection="1"/>
    <xf numFmtId="0" fontId="30" fillId="0" borderId="7" xfId="0" quotePrefix="1" applyFont="1" applyFill="1" applyBorder="1" applyAlignment="1" applyProtection="1">
      <alignment vertical="center"/>
    </xf>
    <xf numFmtId="0" fontId="24" fillId="0" borderId="7" xfId="0" applyFont="1" applyFill="1" applyBorder="1" applyProtection="1"/>
    <xf numFmtId="0" fontId="30" fillId="0" borderId="7" xfId="0" applyFont="1" applyFill="1" applyBorder="1" applyAlignment="1" applyProtection="1">
      <alignment horizontal="center" vertical="center"/>
    </xf>
    <xf numFmtId="0" fontId="27" fillId="0" borderId="7" xfId="0" applyFont="1" applyFill="1" applyBorder="1" applyProtection="1"/>
    <xf numFmtId="0" fontId="30" fillId="0" borderId="4" xfId="0" applyFont="1" applyFill="1" applyBorder="1" applyAlignment="1" applyProtection="1">
      <alignment horizontal="left" vertical="top"/>
    </xf>
    <xf numFmtId="0" fontId="30" fillId="0" borderId="0" xfId="0" applyFont="1" applyFill="1" applyBorder="1" applyAlignment="1" applyProtection="1">
      <alignment horizontal="left" vertical="top"/>
    </xf>
    <xf numFmtId="0" fontId="27" fillId="0" borderId="7" xfId="0" applyFont="1" applyFill="1" applyBorder="1" applyAlignment="1" applyProtection="1">
      <alignment horizontal="right"/>
    </xf>
    <xf numFmtId="0" fontId="30" fillId="0" borderId="7" xfId="0" applyFont="1" applyFill="1" applyBorder="1" applyAlignment="1" applyProtection="1">
      <alignment vertical="top"/>
    </xf>
    <xf numFmtId="0" fontId="24" fillId="0" borderId="4" xfId="0" applyFont="1" applyFill="1" applyBorder="1" applyProtection="1"/>
    <xf numFmtId="0" fontId="27" fillId="0" borderId="7" xfId="0" applyFont="1" applyFill="1" applyBorder="1" applyAlignment="1" applyProtection="1">
      <alignment horizontal="center"/>
    </xf>
    <xf numFmtId="0" fontId="24" fillId="0" borderId="0" xfId="0" applyFont="1" applyFill="1" applyAlignment="1" applyProtection="1">
      <alignment horizontal="left"/>
    </xf>
    <xf numFmtId="0" fontId="24" fillId="0" borderId="8" xfId="0" applyFont="1" applyFill="1" applyBorder="1" applyProtection="1"/>
    <xf numFmtId="0" fontId="30" fillId="0" borderId="0" xfId="0" applyFont="1" applyFill="1" applyBorder="1" applyAlignment="1" applyProtection="1">
      <alignment horizontal="center"/>
    </xf>
    <xf numFmtId="0" fontId="30" fillId="0" borderId="7" xfId="0" applyFont="1" applyFill="1" applyBorder="1" applyAlignment="1" applyProtection="1">
      <alignment horizontal="center"/>
    </xf>
    <xf numFmtId="0" fontId="30" fillId="0" borderId="0" xfId="0" applyFont="1" applyFill="1" applyAlignment="1" applyProtection="1">
      <alignment horizontal="left" vertical="center"/>
      <protection locked="0"/>
    </xf>
    <xf numFmtId="0" fontId="24" fillId="0" borderId="9" xfId="0" applyFont="1" applyFill="1" applyBorder="1" applyProtection="1"/>
    <xf numFmtId="0" fontId="30" fillId="0" borderId="7" xfId="0" applyFont="1" applyFill="1" applyBorder="1" applyProtection="1"/>
    <xf numFmtId="0" fontId="24" fillId="0" borderId="10" xfId="0" applyFont="1" applyFill="1" applyBorder="1" applyProtection="1"/>
    <xf numFmtId="0" fontId="25" fillId="4" borderId="0" xfId="0" applyFont="1" applyFill="1" applyBorder="1" applyAlignment="1" applyProtection="1">
      <alignment horizontal="center"/>
    </xf>
    <xf numFmtId="0" fontId="25" fillId="4" borderId="11" xfId="0" applyFont="1" applyFill="1" applyBorder="1" applyAlignment="1" applyProtection="1">
      <alignment horizontal="center"/>
    </xf>
    <xf numFmtId="0" fontId="24" fillId="0" borderId="12" xfId="0" applyFont="1" applyFill="1" applyBorder="1" applyProtection="1">
      <protection locked="0"/>
    </xf>
    <xf numFmtId="0" fontId="12" fillId="3" borderId="0" xfId="0" applyFont="1" applyFill="1" applyBorder="1" applyProtection="1"/>
    <xf numFmtId="0" fontId="0" fillId="0" borderId="0" xfId="0" applyFill="1" applyProtection="1"/>
    <xf numFmtId="0" fontId="30" fillId="0" borderId="0" xfId="0" applyFont="1" applyFill="1" applyBorder="1" applyAlignment="1" applyProtection="1">
      <alignment vertical="center"/>
    </xf>
    <xf numFmtId="0" fontId="24" fillId="0" borderId="0" xfId="0" applyFont="1" applyFill="1" applyBorder="1" applyAlignment="1" applyProtection="1">
      <alignment horizontal="left"/>
    </xf>
    <xf numFmtId="0" fontId="31" fillId="0" borderId="0" xfId="0" applyFont="1" applyFill="1" applyBorder="1" applyAlignment="1" applyProtection="1">
      <alignment horizontal="center" vertical="center"/>
    </xf>
    <xf numFmtId="0" fontId="31" fillId="0" borderId="0" xfId="0" applyFont="1" applyFill="1" applyBorder="1" applyAlignment="1" applyProtection="1">
      <alignment vertical="center"/>
    </xf>
    <xf numFmtId="0" fontId="24" fillId="0" borderId="0" xfId="0" applyFont="1" applyFill="1" applyBorder="1" applyAlignment="1" applyProtection="1">
      <alignment vertical="center"/>
    </xf>
    <xf numFmtId="0" fontId="34" fillId="0" borderId="0" xfId="0" applyFont="1" applyFill="1" applyBorder="1" applyAlignment="1" applyProtection="1">
      <alignment horizontal="center" vertical="top"/>
    </xf>
    <xf numFmtId="0" fontId="30" fillId="0" borderId="0" xfId="0" applyFont="1" applyFill="1" applyBorder="1" applyAlignment="1" applyProtection="1"/>
    <xf numFmtId="0" fontId="24" fillId="0" borderId="0" xfId="0" applyFont="1" applyFill="1" applyBorder="1" applyAlignment="1" applyProtection="1"/>
    <xf numFmtId="0" fontId="30" fillId="0" borderId="0" xfId="0" applyFont="1" applyFill="1" applyBorder="1" applyAlignment="1" applyProtection="1">
      <alignment vertical="top"/>
    </xf>
    <xf numFmtId="0" fontId="24" fillId="0" borderId="0" xfId="0" applyFont="1" applyFill="1" applyAlignment="1" applyProtection="1"/>
    <xf numFmtId="0" fontId="30" fillId="0" borderId="13" xfId="0" applyFont="1" applyFill="1" applyBorder="1" applyAlignment="1" applyProtection="1">
      <alignment horizontal="left" vertical="center"/>
    </xf>
    <xf numFmtId="0" fontId="0" fillId="0" borderId="0" xfId="0" applyBorder="1" applyAlignment="1"/>
    <xf numFmtId="0" fontId="31" fillId="0" borderId="3" xfId="0" applyFont="1" applyFill="1" applyBorder="1" applyAlignment="1" applyProtection="1">
      <alignment wrapText="1"/>
    </xf>
    <xf numFmtId="0" fontId="31" fillId="0" borderId="0" xfId="0" applyFont="1" applyFill="1" applyBorder="1" applyAlignment="1" applyProtection="1">
      <alignment wrapText="1"/>
    </xf>
    <xf numFmtId="0" fontId="31" fillId="0" borderId="5" xfId="0" applyFont="1" applyFill="1" applyBorder="1" applyAlignment="1" applyProtection="1">
      <alignment wrapText="1"/>
    </xf>
    <xf numFmtId="0" fontId="24" fillId="0" borderId="1" xfId="0" applyFont="1" applyFill="1" applyBorder="1" applyProtection="1"/>
    <xf numFmtId="0" fontId="30" fillId="0" borderId="4" xfId="0" applyFont="1" applyFill="1" applyBorder="1" applyAlignment="1" applyProtection="1">
      <alignment horizontal="left" vertical="center"/>
    </xf>
    <xf numFmtId="0" fontId="30" fillId="0" borderId="4" xfId="0" applyFont="1" applyFill="1" applyBorder="1" applyAlignment="1" applyProtection="1"/>
    <xf numFmtId="0" fontId="4" fillId="0" borderId="2" xfId="0" applyFont="1" applyFill="1" applyBorder="1" applyAlignment="1"/>
    <xf numFmtId="0" fontId="4" fillId="0" borderId="1" xfId="0" applyFont="1" applyFill="1" applyBorder="1" applyAlignment="1"/>
    <xf numFmtId="0" fontId="4" fillId="0" borderId="9" xfId="0" applyFont="1" applyFill="1" applyBorder="1" applyAlignment="1"/>
    <xf numFmtId="0" fontId="0" fillId="0" borderId="3" xfId="0" applyBorder="1" applyAlignment="1"/>
    <xf numFmtId="0" fontId="0" fillId="0" borderId="2" xfId="0" applyBorder="1" applyAlignment="1" applyProtection="1">
      <protection locked="0"/>
    </xf>
    <xf numFmtId="0" fontId="1" fillId="0" borderId="0" xfId="0" applyFont="1" applyFill="1"/>
    <xf numFmtId="0" fontId="30" fillId="0" borderId="7" xfId="0" applyFont="1" applyFill="1" applyBorder="1" applyAlignment="1" applyProtection="1">
      <alignment horizontal="center" vertical="center" wrapText="1"/>
    </xf>
    <xf numFmtId="0" fontId="30" fillId="0" borderId="14" xfId="0" quotePrefix="1" applyFont="1" applyFill="1" applyBorder="1" applyAlignment="1" applyProtection="1">
      <alignment horizontal="center" vertical="center"/>
    </xf>
    <xf numFmtId="0" fontId="30" fillId="0" borderId="7" xfId="0" applyFont="1" applyFill="1" applyBorder="1" applyAlignment="1" applyProtection="1"/>
    <xf numFmtId="0" fontId="30" fillId="0" borderId="4" xfId="0" applyFont="1" applyFill="1" applyBorder="1" applyAlignment="1" applyProtection="1">
      <alignment horizontal="left" vertical="center"/>
      <protection locked="0"/>
    </xf>
    <xf numFmtId="49" fontId="29" fillId="0" borderId="2" xfId="0" applyNumberFormat="1" applyFont="1" applyFill="1" applyBorder="1" applyAlignment="1" applyProtection="1">
      <alignment vertical="center" wrapText="1"/>
    </xf>
    <xf numFmtId="49" fontId="29" fillId="0" borderId="9" xfId="0" applyNumberFormat="1" applyFont="1" applyFill="1" applyBorder="1" applyAlignment="1" applyProtection="1">
      <alignment vertical="center" wrapText="1"/>
    </xf>
    <xf numFmtId="49" fontId="0" fillId="0" borderId="2" xfId="0" applyNumberFormat="1" applyBorder="1" applyAlignment="1">
      <alignment vertical="center"/>
    </xf>
    <xf numFmtId="49" fontId="0" fillId="0" borderId="9" xfId="0" applyNumberFormat="1" applyBorder="1" applyAlignment="1">
      <alignment vertical="center"/>
    </xf>
    <xf numFmtId="0" fontId="45" fillId="0" borderId="0" xfId="0" applyFont="1" applyFill="1" applyAlignment="1" applyProtection="1">
      <alignment horizontal="left"/>
    </xf>
    <xf numFmtId="0" fontId="30" fillId="0" borderId="8" xfId="0" applyFont="1" applyFill="1" applyBorder="1" applyAlignment="1" applyProtection="1">
      <alignment horizontal="left"/>
    </xf>
    <xf numFmtId="0" fontId="26" fillId="0" borderId="0" xfId="0" applyFont="1" applyFill="1" applyAlignment="1" applyProtection="1">
      <alignment horizontal="left" vertical="center"/>
      <protection locked="0"/>
    </xf>
    <xf numFmtId="0" fontId="26" fillId="0" borderId="0" xfId="0" applyFont="1" applyFill="1" applyAlignment="1" applyProtection="1">
      <alignment horizontal="left"/>
      <protection locked="0"/>
    </xf>
    <xf numFmtId="0" fontId="30" fillId="0" borderId="4" xfId="0" applyFont="1" applyFill="1" applyBorder="1" applyAlignment="1" applyProtection="1">
      <alignment horizontal="left"/>
      <protection locked="0"/>
    </xf>
    <xf numFmtId="0" fontId="35" fillId="0" borderId="0" xfId="0" applyFont="1" applyFill="1" applyBorder="1" applyAlignment="1" applyProtection="1"/>
    <xf numFmtId="0" fontId="68" fillId="0" borderId="0" xfId="1" applyBorder="1"/>
    <xf numFmtId="0" fontId="51" fillId="0" borderId="0" xfId="1" applyFont="1" applyFill="1" applyBorder="1"/>
    <xf numFmtId="0" fontId="68" fillId="0" borderId="0" xfId="1" applyFill="1" applyBorder="1"/>
    <xf numFmtId="0" fontId="50" fillId="0" borderId="15" xfId="1" applyFont="1" applyFill="1" applyBorder="1" applyAlignment="1">
      <alignment horizontal="left"/>
    </xf>
    <xf numFmtId="0" fontId="52" fillId="0" borderId="0" xfId="1" applyFont="1" applyFill="1" applyBorder="1"/>
    <xf numFmtId="0" fontId="52" fillId="0" borderId="0" xfId="1" applyFont="1" applyFill="1" applyBorder="1" applyAlignment="1">
      <alignment horizontal="left"/>
    </xf>
    <xf numFmtId="0" fontId="53" fillId="0" borderId="0" xfId="1" applyFont="1" applyFill="1" applyBorder="1"/>
    <xf numFmtId="0" fontId="50" fillId="0" borderId="16" xfId="1" applyFont="1" applyFill="1" applyBorder="1" applyAlignment="1">
      <alignment horizontal="left"/>
    </xf>
    <xf numFmtId="0" fontId="50" fillId="0" borderId="0" xfId="1" applyFont="1" applyFill="1" applyBorder="1" applyAlignment="1">
      <alignment horizontal="left"/>
    </xf>
    <xf numFmtId="0" fontId="50" fillId="0" borderId="0" xfId="1" applyFont="1" applyBorder="1" applyAlignment="1">
      <alignment horizontal="left"/>
    </xf>
    <xf numFmtId="0" fontId="50" fillId="0" borderId="17" xfId="1" applyFont="1" applyFill="1" applyBorder="1" applyAlignment="1">
      <alignment horizontal="left"/>
    </xf>
    <xf numFmtId="49" fontId="50" fillId="0" borderId="17" xfId="1" applyNumberFormat="1" applyFont="1" applyFill="1" applyBorder="1" applyAlignment="1">
      <alignment horizontal="left" vertical="center" wrapText="1"/>
    </xf>
    <xf numFmtId="14" fontId="50" fillId="0" borderId="17" xfId="1" applyNumberFormat="1" applyFont="1" applyFill="1" applyBorder="1" applyAlignment="1">
      <alignment horizontal="left"/>
    </xf>
    <xf numFmtId="0" fontId="68" fillId="0" borderId="0" xfId="1"/>
    <xf numFmtId="0" fontId="54" fillId="0" borderId="0" xfId="1" applyFont="1" applyAlignment="1">
      <alignment vertical="center"/>
    </xf>
    <xf numFmtId="0" fontId="55" fillId="0" borderId="0" xfId="1" applyFont="1"/>
    <xf numFmtId="0" fontId="55" fillId="0" borderId="0" xfId="1" applyFont="1" applyBorder="1"/>
    <xf numFmtId="0" fontId="40" fillId="0" borderId="0" xfId="0" applyFont="1"/>
    <xf numFmtId="0" fontId="50" fillId="0" borderId="18" xfId="1" applyFont="1" applyFill="1" applyBorder="1"/>
    <xf numFmtId="0" fontId="50" fillId="0" borderId="14" xfId="1" applyFont="1" applyFill="1" applyBorder="1"/>
    <xf numFmtId="0" fontId="57" fillId="0" borderId="17" xfId="1" applyFont="1" applyFill="1" applyBorder="1" applyAlignment="1">
      <alignment horizontal="left" vertical="center"/>
    </xf>
    <xf numFmtId="0" fontId="57" fillId="0" borderId="17" xfId="1" applyFont="1" applyFill="1" applyBorder="1" applyAlignment="1">
      <alignment vertical="center"/>
    </xf>
    <xf numFmtId="0" fontId="57" fillId="0" borderId="17" xfId="1" applyFont="1" applyFill="1" applyBorder="1"/>
    <xf numFmtId="0" fontId="50" fillId="0" borderId="17" xfId="1" applyFont="1" applyFill="1" applyBorder="1"/>
    <xf numFmtId="0" fontId="50" fillId="0" borderId="0" xfId="1" applyFont="1" applyFill="1" applyBorder="1"/>
    <xf numFmtId="0" fontId="50" fillId="0" borderId="17" xfId="1" applyFont="1" applyFill="1" applyBorder="1" applyAlignment="1">
      <alignment horizontal="left" vertical="center"/>
    </xf>
    <xf numFmtId="0" fontId="50" fillId="0" borderId="16" xfId="1" applyNumberFormat="1" applyFont="1" applyFill="1" applyBorder="1" applyAlignment="1">
      <alignment horizontal="left"/>
    </xf>
    <xf numFmtId="14" fontId="50" fillId="0" borderId="16" xfId="1" applyNumberFormat="1" applyFont="1" applyFill="1" applyBorder="1" applyAlignment="1">
      <alignment horizontal="left"/>
    </xf>
    <xf numFmtId="0" fontId="50" fillId="0" borderId="17" xfId="1" applyFont="1" applyFill="1" applyBorder="1" applyAlignment="1">
      <alignment vertical="center"/>
    </xf>
    <xf numFmtId="0" fontId="50" fillId="0" borderId="16" xfId="1" applyFont="1" applyFill="1" applyBorder="1" applyAlignment="1">
      <alignment horizontal="left" wrapText="1"/>
    </xf>
    <xf numFmtId="0" fontId="50" fillId="0" borderId="19" xfId="1" applyFont="1" applyFill="1" applyBorder="1"/>
    <xf numFmtId="49" fontId="50" fillId="0" borderId="16" xfId="1" applyNumberFormat="1" applyFont="1" applyFill="1" applyBorder="1" applyAlignment="1">
      <alignment horizontal="left"/>
    </xf>
    <xf numFmtId="0" fontId="59" fillId="0" borderId="19" xfId="1" applyFont="1" applyFill="1" applyBorder="1" applyAlignment="1">
      <alignment horizontal="center" vertical="center"/>
    </xf>
    <xf numFmtId="0" fontId="59" fillId="0" borderId="17" xfId="1" applyFont="1" applyFill="1" applyBorder="1" applyAlignment="1">
      <alignment horizontal="center" vertical="center"/>
    </xf>
    <xf numFmtId="0" fontId="59" fillId="0" borderId="16" xfId="1" applyFont="1" applyFill="1" applyBorder="1" applyAlignment="1">
      <alignment horizontal="center" vertical="center"/>
    </xf>
    <xf numFmtId="0" fontId="60" fillId="0" borderId="16" xfId="1" applyFont="1" applyFill="1" applyBorder="1" applyAlignment="1">
      <alignment horizontal="center" vertical="center"/>
    </xf>
    <xf numFmtId="0" fontId="60" fillId="0" borderId="17" xfId="1" applyFont="1" applyFill="1" applyBorder="1" applyAlignment="1"/>
    <xf numFmtId="0" fontId="50" fillId="0" borderId="0" xfId="1" applyFont="1" applyAlignment="1">
      <alignment vertical="center"/>
    </xf>
    <xf numFmtId="0" fontId="50" fillId="0" borderId="0" xfId="1" applyFont="1"/>
    <xf numFmtId="0" fontId="50" fillId="5" borderId="20" xfId="1" applyFont="1" applyFill="1" applyBorder="1" applyAlignment="1">
      <alignment horizontal="center" vertical="center" wrapText="1"/>
    </xf>
    <xf numFmtId="0" fontId="62" fillId="5" borderId="21" xfId="1" applyFont="1" applyFill="1" applyBorder="1" applyAlignment="1">
      <alignment horizontal="center" vertical="center" wrapText="1"/>
    </xf>
    <xf numFmtId="0" fontId="50" fillId="5" borderId="22" xfId="1" applyFont="1" applyFill="1" applyBorder="1" applyAlignment="1">
      <alignment horizontal="center" vertical="center" wrapText="1"/>
    </xf>
    <xf numFmtId="0" fontId="57" fillId="0" borderId="18" xfId="1" applyFont="1" applyBorder="1" applyAlignment="1">
      <alignment vertical="center"/>
    </xf>
    <xf numFmtId="0" fontId="50" fillId="0" borderId="15" xfId="1" applyFont="1" applyBorder="1" applyAlignment="1">
      <alignment vertical="center"/>
    </xf>
    <xf numFmtId="0" fontId="50" fillId="0" borderId="0" xfId="1" applyFont="1" applyBorder="1"/>
    <xf numFmtId="0" fontId="57" fillId="0" borderId="19" xfId="1" applyFont="1" applyBorder="1" applyAlignment="1">
      <alignment vertical="center"/>
    </xf>
    <xf numFmtId="0" fontId="50" fillId="0" borderId="16" xfId="1" applyFont="1" applyBorder="1" applyAlignment="1">
      <alignment vertical="center"/>
    </xf>
    <xf numFmtId="0" fontId="57" fillId="0" borderId="23" xfId="1" applyFont="1" applyBorder="1" applyAlignment="1">
      <alignment vertical="center"/>
    </xf>
    <xf numFmtId="0" fontId="50" fillId="0" borderId="24" xfId="1" applyFont="1" applyBorder="1" applyAlignment="1">
      <alignment vertical="center"/>
    </xf>
    <xf numFmtId="0" fontId="57" fillId="0" borderId="17" xfId="1" applyFont="1" applyFill="1" applyBorder="1" applyAlignment="1">
      <alignment horizontal="left" vertical="center" wrapText="1"/>
    </xf>
    <xf numFmtId="0" fontId="58" fillId="0" borderId="17" xfId="1" applyFont="1" applyFill="1" applyBorder="1" applyAlignment="1">
      <alignment vertical="center" wrapText="1"/>
    </xf>
    <xf numFmtId="0" fontId="57" fillId="0" borderId="17" xfId="1" applyFont="1" applyFill="1" applyBorder="1" applyAlignment="1">
      <alignment vertical="center" wrapText="1"/>
    </xf>
    <xf numFmtId="0" fontId="34" fillId="0" borderId="1" xfId="0" applyFont="1" applyFill="1" applyBorder="1" applyAlignment="1" applyProtection="1">
      <alignment horizontal="left"/>
    </xf>
    <xf numFmtId="0" fontId="34" fillId="0" borderId="2" xfId="0" applyFont="1" applyFill="1" applyBorder="1" applyAlignment="1" applyProtection="1">
      <alignment horizontal="left"/>
    </xf>
    <xf numFmtId="0" fontId="34" fillId="0" borderId="9" xfId="0" applyFont="1" applyFill="1" applyBorder="1" applyAlignment="1" applyProtection="1">
      <alignment horizontal="left"/>
    </xf>
    <xf numFmtId="15" fontId="11" fillId="0" borderId="1" xfId="0" applyNumberFormat="1" applyFont="1" applyFill="1" applyBorder="1" applyAlignment="1" applyProtection="1">
      <alignment horizontal="center"/>
      <protection locked="0"/>
    </xf>
    <xf numFmtId="15" fontId="11" fillId="0" borderId="2" xfId="0" applyNumberFormat="1" applyFont="1" applyFill="1" applyBorder="1" applyAlignment="1" applyProtection="1">
      <alignment horizontal="center"/>
      <protection locked="0"/>
    </xf>
    <xf numFmtId="15" fontId="11" fillId="0" borderId="9" xfId="0" applyNumberFormat="1" applyFont="1" applyFill="1" applyBorder="1" applyAlignment="1" applyProtection="1">
      <alignment horizontal="center"/>
      <protection locked="0"/>
    </xf>
    <xf numFmtId="49" fontId="11" fillId="0" borderId="1" xfId="0" applyNumberFormat="1" applyFont="1" applyFill="1" applyBorder="1" applyAlignment="1" applyProtection="1">
      <alignment horizontal="left"/>
      <protection locked="0"/>
    </xf>
    <xf numFmtId="49" fontId="37" fillId="0" borderId="2" xfId="0" applyNumberFormat="1" applyFont="1" applyBorder="1" applyAlignment="1" applyProtection="1">
      <protection locked="0"/>
    </xf>
    <xf numFmtId="49" fontId="37" fillId="0" borderId="9" xfId="0" applyNumberFormat="1" applyFont="1" applyBorder="1" applyAlignment="1" applyProtection="1">
      <protection locked="0"/>
    </xf>
    <xf numFmtId="15" fontId="11" fillId="0" borderId="1" xfId="0" applyNumberFormat="1" applyFont="1" applyFill="1" applyBorder="1" applyAlignment="1" applyProtection="1">
      <alignment horizontal="left"/>
      <protection locked="0"/>
    </xf>
    <xf numFmtId="15" fontId="37" fillId="0" borderId="2" xfId="0" applyNumberFormat="1" applyFont="1" applyBorder="1" applyAlignment="1" applyProtection="1">
      <alignment horizontal="left"/>
      <protection locked="0"/>
    </xf>
    <xf numFmtId="49" fontId="11" fillId="0" borderId="2" xfId="0" applyNumberFormat="1" applyFont="1" applyFill="1" applyBorder="1" applyAlignment="1" applyProtection="1">
      <alignment horizontal="left"/>
      <protection locked="0"/>
    </xf>
    <xf numFmtId="49" fontId="11" fillId="0" borderId="9" xfId="0" applyNumberFormat="1" applyFont="1" applyFill="1" applyBorder="1" applyAlignment="1" applyProtection="1">
      <alignment horizontal="left"/>
      <protection locked="0"/>
    </xf>
    <xf numFmtId="0" fontId="37" fillId="0" borderId="2" xfId="0" applyFont="1" applyBorder="1" applyAlignment="1" applyProtection="1">
      <alignment horizontal="left"/>
      <protection locked="0"/>
    </xf>
    <xf numFmtId="0" fontId="37" fillId="0" borderId="9" xfId="0" applyFont="1" applyBorder="1" applyAlignment="1" applyProtection="1">
      <alignment horizontal="left"/>
      <protection locked="0"/>
    </xf>
    <xf numFmtId="49" fontId="11" fillId="0" borderId="17" xfId="0" applyNumberFormat="1" applyFont="1" applyFill="1" applyBorder="1" applyAlignment="1" applyProtection="1">
      <alignment horizontal="left"/>
      <protection locked="0"/>
    </xf>
    <xf numFmtId="0" fontId="30" fillId="4" borderId="25" xfId="0" applyFont="1" applyFill="1" applyBorder="1" applyAlignment="1" applyProtection="1">
      <alignment horizontal="left" vertical="center" wrapText="1"/>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15" fontId="37" fillId="0" borderId="1" xfId="0" applyNumberFormat="1" applyFont="1" applyBorder="1" applyAlignment="1" applyProtection="1">
      <alignment horizontal="center" vertical="center"/>
      <protection locked="0"/>
    </xf>
    <xf numFmtId="15" fontId="37" fillId="0" borderId="2" xfId="0" applyNumberFormat="1" applyFont="1" applyBorder="1" applyAlignment="1" applyProtection="1">
      <alignment horizontal="center" vertical="center"/>
      <protection locked="0"/>
    </xf>
    <xf numFmtId="15" fontId="37" fillId="0" borderId="9" xfId="0" applyNumberFormat="1" applyFont="1" applyBorder="1" applyAlignment="1" applyProtection="1">
      <alignment horizontal="center" vertical="center"/>
      <protection locked="0"/>
    </xf>
    <xf numFmtId="49" fontId="37" fillId="0" borderId="1" xfId="0" applyNumberFormat="1" applyFont="1" applyBorder="1" applyAlignment="1" applyProtection="1">
      <alignment horizontal="left" vertical="center"/>
      <protection locked="0"/>
    </xf>
    <xf numFmtId="49" fontId="37" fillId="0" borderId="2" xfId="0" applyNumberFormat="1" applyFont="1" applyBorder="1" applyAlignment="1" applyProtection="1">
      <alignment horizontal="left" vertical="center"/>
      <protection locked="0"/>
    </xf>
    <xf numFmtId="49" fontId="37" fillId="0" borderId="9" xfId="0" applyNumberFormat="1" applyFont="1" applyBorder="1" applyAlignment="1" applyProtection="1">
      <alignment horizontal="left" vertical="center"/>
      <protection locked="0"/>
    </xf>
    <xf numFmtId="0" fontId="30" fillId="4" borderId="25" xfId="0" applyFont="1" applyFill="1" applyBorder="1" applyAlignment="1" applyProtection="1">
      <alignment horizontal="center" vertical="center" wrapText="1"/>
    </xf>
    <xf numFmtId="0" fontId="0" fillId="0" borderId="26" xfId="0" applyBorder="1" applyAlignment="1">
      <alignment horizontal="center" wrapText="1"/>
    </xf>
    <xf numFmtId="0" fontId="0" fillId="0" borderId="28" xfId="0" applyBorder="1" applyAlignment="1">
      <alignment horizontal="center" wrapText="1"/>
    </xf>
    <xf numFmtId="0" fontId="0" fillId="0" borderId="29" xfId="0" applyBorder="1" applyAlignment="1">
      <alignment horizontal="center" wrapText="1"/>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3"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15" fontId="11" fillId="0" borderId="17" xfId="0" applyNumberFormat="1" applyFont="1" applyFill="1" applyBorder="1" applyAlignment="1" applyProtection="1">
      <alignment horizontal="center"/>
      <protection locked="0"/>
    </xf>
    <xf numFmtId="0" fontId="30" fillId="0" borderId="1" xfId="0" applyFont="1" applyFill="1" applyBorder="1" applyAlignment="1" applyProtection="1">
      <alignment horizontal="left"/>
    </xf>
    <xf numFmtId="0" fontId="30" fillId="0" borderId="9" xfId="0" applyFont="1" applyFill="1" applyBorder="1" applyAlignment="1" applyProtection="1">
      <alignment horizontal="left"/>
    </xf>
    <xf numFmtId="0" fontId="30" fillId="0" borderId="1" xfId="0" applyFont="1" applyFill="1" applyBorder="1" applyProtection="1"/>
    <xf numFmtId="0" fontId="30" fillId="0" borderId="2" xfId="0" applyFont="1" applyFill="1" applyBorder="1" applyProtection="1"/>
    <xf numFmtId="0" fontId="30" fillId="0" borderId="9" xfId="0" applyFont="1" applyFill="1" applyBorder="1" applyProtection="1"/>
    <xf numFmtId="49" fontId="11" fillId="0" borderId="1" xfId="0" applyNumberFormat="1" applyFont="1" applyFill="1" applyBorder="1" applyAlignment="1" applyProtection="1">
      <alignment horizontal="center"/>
      <protection locked="0"/>
    </xf>
    <xf numFmtId="0" fontId="37" fillId="0" borderId="2" xfId="0" applyFont="1" applyBorder="1" applyAlignment="1" applyProtection="1">
      <alignment horizontal="center"/>
      <protection locked="0"/>
    </xf>
    <xf numFmtId="0" fontId="37" fillId="0" borderId="9" xfId="0" applyFont="1" applyBorder="1" applyAlignment="1" applyProtection="1">
      <alignment horizontal="center"/>
      <protection locked="0"/>
    </xf>
    <xf numFmtId="2" fontId="11" fillId="0" borderId="1" xfId="0" applyNumberFormat="1" applyFont="1" applyFill="1" applyBorder="1" applyAlignment="1" applyProtection="1">
      <alignment horizontal="right"/>
      <protection locked="0"/>
    </xf>
    <xf numFmtId="2" fontId="37" fillId="0" borderId="2" xfId="0" applyNumberFormat="1" applyFont="1" applyBorder="1" applyAlignment="1" applyProtection="1">
      <alignment horizontal="right"/>
      <protection locked="0"/>
    </xf>
    <xf numFmtId="2" fontId="37" fillId="0" borderId="9" xfId="0" applyNumberFormat="1" applyFont="1" applyBorder="1" applyAlignment="1" applyProtection="1">
      <alignment horizontal="right"/>
      <protection locked="0"/>
    </xf>
    <xf numFmtId="15" fontId="37" fillId="0" borderId="2" xfId="0" applyNumberFormat="1" applyFont="1" applyBorder="1" applyAlignment="1" applyProtection="1">
      <alignment horizontal="center"/>
      <protection locked="0"/>
    </xf>
    <xf numFmtId="15" fontId="37" fillId="0" borderId="9" xfId="0" applyNumberFormat="1" applyFont="1" applyBorder="1" applyAlignment="1" applyProtection="1">
      <alignment horizontal="center"/>
      <protection locked="0"/>
    </xf>
    <xf numFmtId="0" fontId="30" fillId="4" borderId="1" xfId="0" applyFont="1" applyFill="1" applyBorder="1" applyProtection="1"/>
    <xf numFmtId="0" fontId="0" fillId="0" borderId="2" xfId="0" applyBorder="1"/>
    <xf numFmtId="0" fontId="0" fillId="0" borderId="9" xfId="0" applyBorder="1"/>
    <xf numFmtId="49" fontId="30" fillId="0" borderId="6" xfId="0" applyNumberFormat="1" applyFont="1" applyFill="1" applyBorder="1" applyAlignment="1" applyProtection="1">
      <alignment vertical="center"/>
    </xf>
    <xf numFmtId="49" fontId="0" fillId="0" borderId="7" xfId="0" applyNumberFormat="1" applyBorder="1" applyAlignment="1">
      <alignment vertical="center"/>
    </xf>
    <xf numFmtId="0" fontId="4" fillId="4" borderId="26" xfId="0" applyFont="1" applyFill="1" applyBorder="1" applyAlignment="1">
      <alignment horizontal="left" vertical="center" wrapText="1"/>
    </xf>
    <xf numFmtId="0" fontId="4" fillId="4" borderId="27" xfId="0" applyFont="1" applyFill="1" applyBorder="1" applyAlignment="1">
      <alignment horizontal="left" vertical="center" wrapText="1"/>
    </xf>
    <xf numFmtId="0" fontId="4" fillId="4" borderId="28" xfId="0" applyFont="1" applyFill="1" applyBorder="1" applyAlignment="1">
      <alignment horizontal="left" vertical="center" wrapText="1"/>
    </xf>
    <xf numFmtId="0" fontId="4" fillId="4" borderId="29" xfId="0" applyFont="1" applyFill="1" applyBorder="1" applyAlignment="1">
      <alignment horizontal="left" vertical="center" wrapText="1"/>
    </xf>
    <xf numFmtId="0" fontId="4" fillId="4" borderId="30" xfId="0" applyFont="1" applyFill="1" applyBorder="1" applyAlignment="1">
      <alignment horizontal="left" vertical="center" wrapText="1"/>
    </xf>
    <xf numFmtId="0" fontId="30" fillId="4" borderId="25" xfId="0" applyFont="1" applyFill="1" applyBorder="1" applyAlignment="1" applyProtection="1">
      <alignment horizontal="center" vertical="center"/>
    </xf>
    <xf numFmtId="0" fontId="4" fillId="4" borderId="26" xfId="0" applyFont="1" applyFill="1" applyBorder="1" applyAlignment="1"/>
    <xf numFmtId="0" fontId="4" fillId="4" borderId="28" xfId="0" applyFont="1" applyFill="1" applyBorder="1" applyAlignment="1"/>
    <xf numFmtId="0" fontId="4" fillId="4" borderId="29" xfId="0" applyFont="1" applyFill="1" applyBorder="1" applyAlignment="1"/>
    <xf numFmtId="0" fontId="37" fillId="0" borderId="1" xfId="0" applyFont="1" applyBorder="1" applyAlignment="1" applyProtection="1">
      <alignment vertical="center"/>
      <protection locked="0"/>
    </xf>
    <xf numFmtId="0" fontId="37" fillId="0" borderId="2" xfId="0" applyFont="1" applyBorder="1" applyAlignment="1" applyProtection="1">
      <alignment vertical="center"/>
      <protection locked="0"/>
    </xf>
    <xf numFmtId="0" fontId="37" fillId="0" borderId="9" xfId="0" applyFont="1" applyBorder="1" applyAlignment="1" applyProtection="1">
      <alignment vertical="center"/>
      <protection locked="0"/>
    </xf>
    <xf numFmtId="0" fontId="31" fillId="4" borderId="17" xfId="0" applyFont="1" applyFill="1" applyBorder="1" applyAlignment="1" applyProtection="1">
      <alignment horizontal="left" wrapText="1"/>
    </xf>
    <xf numFmtId="0" fontId="31" fillId="4" borderId="6" xfId="0" applyFont="1" applyFill="1" applyBorder="1" applyAlignment="1" applyProtection="1">
      <alignment horizontal="left" wrapText="1"/>
    </xf>
    <xf numFmtId="49" fontId="37" fillId="0" borderId="2" xfId="0" applyNumberFormat="1" applyFont="1" applyBorder="1" applyAlignment="1" applyProtection="1">
      <alignment horizontal="left"/>
      <protection locked="0"/>
    </xf>
    <xf numFmtId="49" fontId="37" fillId="0" borderId="9" xfId="0" applyNumberFormat="1" applyFont="1" applyBorder="1" applyAlignment="1" applyProtection="1">
      <alignment horizontal="left"/>
      <protection locked="0"/>
    </xf>
    <xf numFmtId="49" fontId="2" fillId="0" borderId="1" xfId="0" applyNumberFormat="1" applyFont="1" applyBorder="1" applyAlignment="1" applyProtection="1">
      <alignment horizontal="left" wrapText="1"/>
      <protection locked="0"/>
    </xf>
    <xf numFmtId="49" fontId="2" fillId="0" borderId="9" xfId="0" applyNumberFormat="1" applyFont="1" applyBorder="1" applyAlignment="1" applyProtection="1">
      <alignment horizontal="left" wrapText="1"/>
      <protection locked="0"/>
    </xf>
    <xf numFmtId="166" fontId="2" fillId="0" borderId="1" xfId="0" applyNumberFormat="1" applyFont="1" applyBorder="1" applyAlignment="1" applyProtection="1">
      <alignment horizontal="left"/>
      <protection locked="0"/>
    </xf>
    <xf numFmtId="166" fontId="2" fillId="0" borderId="9" xfId="0" applyNumberFormat="1" applyFont="1" applyBorder="1" applyAlignment="1" applyProtection="1">
      <alignment horizontal="left"/>
      <protection locked="0"/>
    </xf>
    <xf numFmtId="49" fontId="2" fillId="0" borderId="1" xfId="0" applyNumberFormat="1" applyFont="1" applyBorder="1" applyAlignment="1" applyProtection="1">
      <alignment horizontal="left"/>
      <protection locked="0"/>
    </xf>
    <xf numFmtId="49" fontId="2" fillId="0" borderId="9" xfId="0" applyNumberFormat="1" applyFont="1" applyBorder="1" applyAlignment="1" applyProtection="1">
      <alignment horizontal="left"/>
      <protection locked="0"/>
    </xf>
    <xf numFmtId="49" fontId="0" fillId="0" borderId="2" xfId="0" applyNumberFormat="1" applyBorder="1" applyAlignment="1" applyProtection="1">
      <alignment horizontal="left"/>
      <protection locked="0"/>
    </xf>
    <xf numFmtId="49" fontId="0" fillId="0" borderId="9" xfId="0" applyNumberFormat="1" applyBorder="1" applyAlignment="1" applyProtection="1">
      <alignment horizontal="left"/>
      <protection locked="0"/>
    </xf>
    <xf numFmtId="49" fontId="2" fillId="0" borderId="2" xfId="0" applyNumberFormat="1" applyFont="1" applyBorder="1" applyAlignment="1" applyProtection="1">
      <alignment horizontal="left"/>
      <protection locked="0"/>
    </xf>
    <xf numFmtId="0" fontId="47" fillId="4" borderId="25" xfId="0" applyFont="1" applyFill="1"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49" fontId="0" fillId="0" borderId="17" xfId="0" applyNumberFormat="1" applyBorder="1" applyAlignment="1" applyProtection="1">
      <alignment horizontal="left"/>
      <protection locked="0"/>
    </xf>
    <xf numFmtId="0" fontId="47" fillId="4" borderId="27" xfId="0" applyFont="1" applyFill="1" applyBorder="1" applyAlignment="1">
      <alignment horizontal="center" vertical="center" wrapText="1"/>
    </xf>
    <xf numFmtId="0" fontId="47" fillId="4" borderId="28" xfId="0" applyFont="1" applyFill="1" applyBorder="1" applyAlignment="1">
      <alignment horizontal="center" vertical="center" wrapText="1"/>
    </xf>
    <xf numFmtId="0" fontId="47" fillId="4" borderId="30" xfId="0" applyFont="1" applyFill="1" applyBorder="1" applyAlignment="1">
      <alignment horizontal="center" vertical="center" wrapText="1"/>
    </xf>
    <xf numFmtId="15" fontId="0" fillId="0" borderId="2" xfId="0" applyNumberFormat="1" applyBorder="1" applyAlignment="1" applyProtection="1">
      <alignment horizontal="center"/>
      <protection locked="0"/>
    </xf>
    <xf numFmtId="15" fontId="0" fillId="0" borderId="9" xfId="0" applyNumberFormat="1" applyBorder="1" applyAlignment="1" applyProtection="1">
      <alignment horizontal="center"/>
      <protection locked="0"/>
    </xf>
    <xf numFmtId="15" fontId="2" fillId="0" borderId="1" xfId="0" applyNumberFormat="1" applyFont="1" applyBorder="1" applyAlignment="1" applyProtection="1">
      <alignment horizontal="center"/>
      <protection locked="0"/>
    </xf>
    <xf numFmtId="0" fontId="0" fillId="0" borderId="2" xfId="0" applyBorder="1" applyAlignment="1" applyProtection="1">
      <alignment horizontal="left"/>
      <protection locked="0"/>
    </xf>
    <xf numFmtId="0" fontId="0" fillId="0" borderId="9" xfId="0" applyBorder="1" applyAlignment="1" applyProtection="1">
      <alignment horizontal="left"/>
      <protection locked="0"/>
    </xf>
    <xf numFmtId="2" fontId="37" fillId="0" borderId="1" xfId="0" applyNumberFormat="1" applyFont="1" applyBorder="1" applyAlignment="1" applyProtection="1">
      <alignment horizontal="right"/>
      <protection locked="0"/>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xf numFmtId="49" fontId="11" fillId="0" borderId="9" xfId="0" applyNumberFormat="1" applyFont="1" applyFill="1" applyBorder="1" applyAlignment="1" applyProtection="1">
      <alignment horizontal="center"/>
      <protection locked="0"/>
    </xf>
    <xf numFmtId="0" fontId="30" fillId="0" borderId="0" xfId="0" applyFont="1" applyFill="1" applyBorder="1" applyAlignment="1" applyProtection="1">
      <alignment horizontal="left" vertical="top"/>
    </xf>
    <xf numFmtId="0" fontId="31" fillId="0" borderId="34" xfId="0" applyFont="1" applyFill="1" applyBorder="1" applyAlignment="1" applyProtection="1">
      <alignment horizontal="left"/>
    </xf>
    <xf numFmtId="0" fontId="31" fillId="0" borderId="2" xfId="0" applyFont="1" applyFill="1" applyBorder="1" applyAlignment="1" applyProtection="1">
      <alignment horizontal="left"/>
    </xf>
    <xf numFmtId="0" fontId="31" fillId="0" borderId="9" xfId="0" applyFont="1" applyFill="1" applyBorder="1" applyAlignment="1" applyProtection="1">
      <alignment horizontal="left"/>
    </xf>
    <xf numFmtId="0" fontId="4" fillId="4" borderId="25" xfId="0" applyFont="1" applyFill="1" applyBorder="1" applyAlignment="1">
      <alignment horizontal="center" vertical="center"/>
    </xf>
    <xf numFmtId="0" fontId="4" fillId="4" borderId="26" xfId="0" applyFont="1" applyFill="1" applyBorder="1" applyAlignment="1">
      <alignment horizontal="center" vertical="center"/>
    </xf>
    <xf numFmtId="0" fontId="4" fillId="4" borderId="27" xfId="0" applyFont="1" applyFill="1" applyBorder="1" applyAlignment="1">
      <alignment horizontal="center" vertical="center"/>
    </xf>
    <xf numFmtId="0" fontId="4" fillId="4" borderId="28" xfId="0" applyFont="1" applyFill="1" applyBorder="1" applyAlignment="1">
      <alignment horizontal="center" vertical="center"/>
    </xf>
    <xf numFmtId="0" fontId="4" fillId="4" borderId="29" xfId="0" applyFont="1" applyFill="1" applyBorder="1" applyAlignment="1">
      <alignment horizontal="center" vertical="center"/>
    </xf>
    <xf numFmtId="0" fontId="4" fillId="4" borderId="30" xfId="0" applyFont="1" applyFill="1" applyBorder="1" applyAlignment="1">
      <alignment horizontal="center" vertical="center"/>
    </xf>
    <xf numFmtId="0" fontId="4" fillId="4" borderId="26" xfId="0" applyFont="1" applyFill="1" applyBorder="1" applyAlignment="1">
      <alignment horizontal="center" vertical="center" wrapText="1"/>
    </xf>
    <xf numFmtId="0" fontId="0" fillId="0" borderId="26" xfId="0" applyBorder="1" applyAlignment="1">
      <alignment horizontal="center" vertical="center" wrapText="1"/>
    </xf>
    <xf numFmtId="0" fontId="0" fillId="0" borderId="29" xfId="0" applyBorder="1" applyAlignment="1">
      <alignment horizontal="center" vertical="center" wrapText="1"/>
    </xf>
    <xf numFmtId="0" fontId="4" fillId="4" borderId="25" xfId="0" applyFont="1" applyFill="1" applyBorder="1" applyAlignment="1">
      <alignment horizontal="center" vertical="center" wrapText="1"/>
    </xf>
    <xf numFmtId="49" fontId="11" fillId="0" borderId="1" xfId="3" applyNumberFormat="1" applyFont="1" applyFill="1" applyBorder="1" applyAlignment="1" applyProtection="1">
      <protection locked="0"/>
    </xf>
    <xf numFmtId="49" fontId="11" fillId="0" borderId="2" xfId="3" applyNumberFormat="1" applyFont="1" applyFill="1" applyBorder="1" applyAlignment="1" applyProtection="1">
      <protection locked="0"/>
    </xf>
    <xf numFmtId="49" fontId="11" fillId="0" borderId="9" xfId="3" applyNumberFormat="1" applyFont="1" applyFill="1" applyBorder="1" applyAlignment="1" applyProtection="1">
      <protection locked="0"/>
    </xf>
    <xf numFmtId="0" fontId="31" fillId="0" borderId="1" xfId="0" applyFont="1" applyFill="1" applyBorder="1" applyAlignment="1" applyProtection="1">
      <alignment horizontal="left"/>
    </xf>
    <xf numFmtId="49" fontId="11" fillId="0" borderId="17" xfId="0" applyNumberFormat="1" applyFont="1" applyFill="1" applyBorder="1" applyAlignment="1" applyProtection="1">
      <alignment horizontal="left" vertical="center"/>
      <protection locked="0"/>
    </xf>
    <xf numFmtId="49" fontId="37" fillId="0" borderId="17" xfId="0" applyNumberFormat="1" applyFont="1" applyBorder="1" applyAlignment="1" applyProtection="1">
      <protection locked="0"/>
    </xf>
    <xf numFmtId="0" fontId="37" fillId="0" borderId="17" xfId="0" applyFont="1" applyBorder="1" applyAlignment="1" applyProtection="1">
      <alignment horizontal="left"/>
      <protection locked="0"/>
    </xf>
    <xf numFmtId="0" fontId="13" fillId="0" borderId="1" xfId="0" applyFont="1" applyFill="1" applyBorder="1" applyProtection="1"/>
    <xf numFmtId="0" fontId="13" fillId="0" borderId="2" xfId="0" applyFont="1" applyFill="1" applyBorder="1" applyProtection="1"/>
    <xf numFmtId="0" fontId="13" fillId="0" borderId="9" xfId="0" applyFont="1" applyFill="1" applyBorder="1" applyProtection="1"/>
    <xf numFmtId="0" fontId="30" fillId="4" borderId="25" xfId="0" applyFont="1" applyFill="1" applyBorder="1" applyAlignment="1" applyProtection="1">
      <alignment horizontal="left" wrapText="1"/>
    </xf>
    <xf numFmtId="0" fontId="30" fillId="4" borderId="27" xfId="0" applyFont="1" applyFill="1" applyBorder="1" applyAlignment="1" applyProtection="1">
      <alignment horizontal="left" wrapText="1"/>
    </xf>
    <xf numFmtId="0" fontId="30" fillId="4" borderId="28" xfId="0" applyFont="1" applyFill="1" applyBorder="1" applyAlignment="1" applyProtection="1">
      <alignment horizontal="left" wrapText="1"/>
    </xf>
    <xf numFmtId="0" fontId="30" fillId="4" borderId="30" xfId="0" applyFont="1" applyFill="1" applyBorder="1" applyAlignment="1" applyProtection="1">
      <alignment horizontal="left" wrapText="1"/>
    </xf>
    <xf numFmtId="0" fontId="30" fillId="4" borderId="6" xfId="0" applyFont="1" applyFill="1" applyBorder="1" applyAlignment="1" applyProtection="1">
      <alignment vertical="center"/>
    </xf>
    <xf numFmtId="0" fontId="0" fillId="4" borderId="6" xfId="0" applyFill="1" applyBorder="1" applyAlignment="1"/>
    <xf numFmtId="0" fontId="0" fillId="4" borderId="8" xfId="0" applyFill="1" applyBorder="1" applyAlignment="1"/>
    <xf numFmtId="0" fontId="4" fillId="0" borderId="1" xfId="0" applyFont="1" applyFill="1" applyBorder="1" applyAlignment="1"/>
    <xf numFmtId="0" fontId="4" fillId="0" borderId="2" xfId="0" applyFont="1" applyFill="1" applyBorder="1" applyAlignment="1"/>
    <xf numFmtId="0" fontId="4" fillId="0" borderId="9" xfId="0" applyFont="1" applyFill="1" applyBorder="1" applyAlignment="1"/>
    <xf numFmtId="0" fontId="4" fillId="0" borderId="28"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34" fillId="4" borderId="25" xfId="0" applyFont="1" applyFill="1" applyBorder="1" applyAlignment="1">
      <alignment horizontal="center" vertical="center" wrapText="1"/>
    </xf>
    <xf numFmtId="0" fontId="26" fillId="4" borderId="26" xfId="0" applyFont="1" applyFill="1" applyBorder="1" applyAlignment="1">
      <alignment horizontal="center" vertical="center" wrapText="1"/>
    </xf>
    <xf numFmtId="0" fontId="26" fillId="4" borderId="27" xfId="0" applyFont="1" applyFill="1" applyBorder="1" applyAlignment="1">
      <alignment horizontal="center" vertical="center" wrapText="1"/>
    </xf>
    <xf numFmtId="0" fontId="26" fillId="4" borderId="28" xfId="0" applyFont="1"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49" fontId="30" fillId="4" borderId="25" xfId="0" applyNumberFormat="1" applyFont="1" applyFill="1" applyBorder="1" applyAlignment="1" applyProtection="1">
      <alignment horizontal="left" vertical="center" wrapText="1"/>
    </xf>
    <xf numFmtId="49" fontId="30" fillId="4" borderId="26" xfId="0" applyNumberFormat="1" applyFont="1" applyFill="1" applyBorder="1" applyAlignment="1" applyProtection="1">
      <alignment horizontal="left" vertical="center" wrapText="1"/>
    </xf>
    <xf numFmtId="49" fontId="30" fillId="4" borderId="27" xfId="0" applyNumberFormat="1" applyFont="1" applyFill="1" applyBorder="1" applyAlignment="1" applyProtection="1">
      <alignment horizontal="left" vertical="center" wrapText="1"/>
    </xf>
    <xf numFmtId="49" fontId="30" fillId="4" borderId="28" xfId="0" applyNumberFormat="1" applyFont="1" applyFill="1" applyBorder="1" applyAlignment="1" applyProtection="1">
      <alignment horizontal="left" vertical="center" wrapText="1"/>
    </xf>
    <xf numFmtId="49" fontId="30" fillId="4" borderId="29" xfId="0" applyNumberFormat="1" applyFont="1" applyFill="1" applyBorder="1" applyAlignment="1" applyProtection="1">
      <alignment horizontal="left" vertical="center" wrapText="1"/>
    </xf>
    <xf numFmtId="49" fontId="30" fillId="4" borderId="30" xfId="0" applyNumberFormat="1" applyFont="1" applyFill="1" applyBorder="1" applyAlignment="1" applyProtection="1">
      <alignment horizontal="left" vertical="center" wrapText="1"/>
    </xf>
    <xf numFmtId="0" fontId="30" fillId="4" borderId="25" xfId="0" applyFont="1" applyFill="1" applyBorder="1" applyAlignment="1" applyProtection="1">
      <alignment vertical="center" wrapText="1"/>
    </xf>
    <xf numFmtId="0" fontId="30" fillId="4" borderId="26" xfId="0" applyFont="1" applyFill="1" applyBorder="1" applyAlignment="1" applyProtection="1">
      <alignment vertical="center" wrapText="1"/>
    </xf>
    <xf numFmtId="0" fontId="30" fillId="4" borderId="27" xfId="0" applyFont="1" applyFill="1" applyBorder="1" applyAlignment="1" applyProtection="1">
      <alignment vertical="center" wrapText="1"/>
    </xf>
    <xf numFmtId="0" fontId="30" fillId="4" borderId="28" xfId="0" applyFont="1" applyFill="1" applyBorder="1" applyAlignment="1" applyProtection="1">
      <alignment vertical="center" wrapText="1"/>
    </xf>
    <xf numFmtId="0" fontId="30" fillId="4" borderId="29" xfId="0" applyFont="1" applyFill="1" applyBorder="1" applyAlignment="1" applyProtection="1">
      <alignment vertical="center" wrapText="1"/>
    </xf>
    <xf numFmtId="0" fontId="30" fillId="4" borderId="30" xfId="0" applyFont="1" applyFill="1" applyBorder="1" applyAlignment="1" applyProtection="1">
      <alignment vertical="center" wrapText="1"/>
    </xf>
    <xf numFmtId="0" fontId="0" fillId="4" borderId="26" xfId="0" applyFill="1" applyBorder="1" applyAlignment="1">
      <alignment horizontal="center" vertical="center"/>
    </xf>
    <xf numFmtId="0" fontId="0" fillId="4" borderId="27" xfId="0" applyFill="1" applyBorder="1" applyAlignment="1">
      <alignment horizontal="center" vertical="center"/>
    </xf>
    <xf numFmtId="0" fontId="0" fillId="4" borderId="28" xfId="0" applyFill="1" applyBorder="1" applyAlignment="1">
      <alignment horizontal="center" vertical="center"/>
    </xf>
    <xf numFmtId="0" fontId="0" fillId="4" borderId="29" xfId="0" applyFill="1" applyBorder="1" applyAlignment="1">
      <alignment horizontal="center" vertical="center"/>
    </xf>
    <xf numFmtId="0" fontId="0" fillId="4" borderId="30" xfId="0" applyFill="1" applyBorder="1" applyAlignment="1">
      <alignment horizontal="center" vertical="center"/>
    </xf>
    <xf numFmtId="0" fontId="42" fillId="4" borderId="25" xfId="0" applyFont="1" applyFill="1" applyBorder="1" applyAlignment="1">
      <alignment horizontal="center" vertical="center" wrapText="1"/>
    </xf>
    <xf numFmtId="0" fontId="24" fillId="4" borderId="8" xfId="0" applyFont="1" applyFill="1" applyBorder="1" applyAlignment="1" applyProtection="1"/>
    <xf numFmtId="0" fontId="24" fillId="4" borderId="25" xfId="0" applyFont="1" applyFill="1" applyBorder="1" applyAlignment="1" applyProtection="1"/>
    <xf numFmtId="0" fontId="0" fillId="4" borderId="26" xfId="0" applyFill="1" applyBorder="1" applyAlignment="1"/>
    <xf numFmtId="0" fontId="0" fillId="4" borderId="27" xfId="0" applyFill="1" applyBorder="1" applyAlignment="1"/>
    <xf numFmtId="0" fontId="24" fillId="4" borderId="4" xfId="0" applyFont="1" applyFill="1" applyBorder="1" applyAlignment="1" applyProtection="1"/>
    <xf numFmtId="0" fontId="0" fillId="4" borderId="0" xfId="0" applyFill="1" applyBorder="1" applyAlignment="1"/>
    <xf numFmtId="0" fontId="0" fillId="4" borderId="10" xfId="0" applyFill="1" applyBorder="1" applyAlignment="1"/>
    <xf numFmtId="49" fontId="29" fillId="0" borderId="1" xfId="0" applyNumberFormat="1" applyFont="1" applyFill="1" applyBorder="1" applyAlignment="1" applyProtection="1">
      <alignment vertical="center" wrapText="1"/>
    </xf>
    <xf numFmtId="0" fontId="0" fillId="0" borderId="2" xfId="0" applyBorder="1" applyAlignment="1">
      <alignment vertical="center" wrapText="1"/>
    </xf>
    <xf numFmtId="0" fontId="0" fillId="0" borderId="9" xfId="0" applyBorder="1" applyAlignment="1">
      <alignment vertical="center" wrapText="1"/>
    </xf>
    <xf numFmtId="49" fontId="37" fillId="0" borderId="25" xfId="0" applyNumberFormat="1" applyFont="1" applyBorder="1" applyAlignment="1" applyProtection="1">
      <alignment vertical="top" wrapText="1"/>
      <protection locked="0"/>
    </xf>
    <xf numFmtId="49" fontId="37" fillId="0" borderId="26" xfId="0" applyNumberFormat="1" applyFont="1" applyBorder="1" applyAlignment="1" applyProtection="1">
      <alignment vertical="top" wrapText="1"/>
      <protection locked="0"/>
    </xf>
    <xf numFmtId="49" fontId="37" fillId="0" borderId="27" xfId="0" applyNumberFormat="1" applyFont="1" applyBorder="1" applyAlignment="1" applyProtection="1">
      <alignment vertical="top" wrapText="1"/>
      <protection locked="0"/>
    </xf>
    <xf numFmtId="49" fontId="37" fillId="0" borderId="28" xfId="0" applyNumberFormat="1" applyFont="1" applyBorder="1" applyAlignment="1" applyProtection="1">
      <alignment vertical="top" wrapText="1"/>
      <protection locked="0"/>
    </xf>
    <xf numFmtId="49" fontId="37" fillId="0" borderId="29" xfId="0" applyNumberFormat="1" applyFont="1" applyBorder="1" applyAlignment="1" applyProtection="1">
      <alignment vertical="top" wrapText="1"/>
      <protection locked="0"/>
    </xf>
    <xf numFmtId="49" fontId="37" fillId="0" borderId="30" xfId="0" applyNumberFormat="1" applyFont="1" applyBorder="1" applyAlignment="1" applyProtection="1">
      <alignment vertical="top" wrapText="1"/>
      <protection locked="0"/>
    </xf>
    <xf numFmtId="0" fontId="47" fillId="4" borderId="26" xfId="0" applyFont="1" applyFill="1" applyBorder="1" applyAlignment="1">
      <alignment horizontal="center" vertical="center" wrapText="1"/>
    </xf>
    <xf numFmtId="0" fontId="47" fillId="4" borderId="29" xfId="0" applyFont="1" applyFill="1" applyBorder="1" applyAlignment="1">
      <alignment horizontal="center" vertical="center" wrapText="1"/>
    </xf>
    <xf numFmtId="49" fontId="24" fillId="0" borderId="1" xfId="0" applyNumberFormat="1" applyFont="1" applyFill="1" applyBorder="1" applyProtection="1"/>
    <xf numFmtId="49" fontId="24" fillId="0" borderId="2" xfId="0" applyNumberFormat="1" applyFont="1" applyFill="1" applyBorder="1" applyProtection="1"/>
    <xf numFmtId="49" fontId="24" fillId="0" borderId="9" xfId="0" applyNumberFormat="1" applyFont="1" applyFill="1" applyBorder="1" applyProtection="1"/>
    <xf numFmtId="0" fontId="30" fillId="4" borderId="4" xfId="0" applyFont="1" applyFill="1" applyBorder="1" applyAlignment="1" applyProtection="1"/>
    <xf numFmtId="0" fontId="30" fillId="0" borderId="1" xfId="0" applyFont="1" applyFill="1" applyBorder="1" applyAlignment="1" applyProtection="1"/>
    <xf numFmtId="0" fontId="30" fillId="0" borderId="2" xfId="0" applyFont="1" applyFill="1" applyBorder="1" applyAlignment="1" applyProtection="1"/>
    <xf numFmtId="0" fontId="30" fillId="0" borderId="9" xfId="0" applyFont="1" applyFill="1" applyBorder="1" applyAlignment="1" applyProtection="1"/>
    <xf numFmtId="0" fontId="35" fillId="0" borderId="1" xfId="0" applyFont="1" applyFill="1" applyBorder="1" applyAlignment="1" applyProtection="1"/>
    <xf numFmtId="0" fontId="0" fillId="0" borderId="2" xfId="0" applyBorder="1" applyAlignment="1"/>
    <xf numFmtId="0" fontId="0" fillId="0" borderId="9" xfId="0" applyBorder="1" applyAlignment="1"/>
    <xf numFmtId="49" fontId="11" fillId="0" borderId="25" xfId="0" applyNumberFormat="1" applyFont="1" applyFill="1" applyBorder="1" applyAlignment="1" applyProtection="1">
      <alignment horizontal="left" vertical="top" wrapText="1"/>
      <protection locked="0"/>
    </xf>
    <xf numFmtId="49" fontId="11" fillId="0" borderId="26" xfId="0" applyNumberFormat="1" applyFont="1" applyFill="1" applyBorder="1" applyAlignment="1" applyProtection="1">
      <alignment horizontal="left" vertical="top" wrapText="1"/>
      <protection locked="0"/>
    </xf>
    <xf numFmtId="49" fontId="11" fillId="0" borderId="27" xfId="0" applyNumberFormat="1" applyFont="1" applyFill="1" applyBorder="1" applyAlignment="1" applyProtection="1">
      <alignment horizontal="left" vertical="top" wrapText="1"/>
      <protection locked="0"/>
    </xf>
    <xf numFmtId="49" fontId="11" fillId="0" borderId="28" xfId="0" applyNumberFormat="1" applyFont="1" applyFill="1" applyBorder="1" applyAlignment="1" applyProtection="1">
      <alignment horizontal="left" vertical="top" wrapText="1"/>
      <protection locked="0"/>
    </xf>
    <xf numFmtId="49" fontId="11" fillId="0" borderId="29" xfId="0" applyNumberFormat="1" applyFont="1" applyFill="1" applyBorder="1" applyAlignment="1" applyProtection="1">
      <alignment horizontal="left" vertical="top" wrapText="1"/>
      <protection locked="0"/>
    </xf>
    <xf numFmtId="49" fontId="11" fillId="0" borderId="30" xfId="0" applyNumberFormat="1" applyFont="1" applyFill="1" applyBorder="1" applyAlignment="1" applyProtection="1">
      <alignment horizontal="left" vertical="top" wrapText="1"/>
      <protection locked="0"/>
    </xf>
    <xf numFmtId="0" fontId="30" fillId="4" borderId="1" xfId="0" applyFont="1" applyFill="1" applyBorder="1" applyAlignment="1" applyProtection="1"/>
    <xf numFmtId="0" fontId="4" fillId="4" borderId="2" xfId="0" applyFont="1" applyFill="1" applyBorder="1" applyAlignment="1"/>
    <xf numFmtId="0" fontId="4" fillId="4" borderId="9" xfId="0" applyFont="1" applyFill="1" applyBorder="1" applyAlignment="1"/>
    <xf numFmtId="49" fontId="37" fillId="0" borderId="1" xfId="0" applyNumberFormat="1" applyFont="1" applyFill="1" applyBorder="1" applyAlignment="1" applyProtection="1">
      <alignment horizontal="left"/>
      <protection locked="0"/>
    </xf>
    <xf numFmtId="49" fontId="37" fillId="0" borderId="2" xfId="0" applyNumberFormat="1" applyFont="1" applyFill="1" applyBorder="1" applyAlignment="1" applyProtection="1">
      <alignment horizontal="left"/>
      <protection locked="0"/>
    </xf>
    <xf numFmtId="49" fontId="37" fillId="0" borderId="9" xfId="0" applyNumberFormat="1" applyFont="1" applyFill="1" applyBorder="1" applyAlignment="1" applyProtection="1">
      <alignment horizontal="left"/>
      <protection locked="0"/>
    </xf>
    <xf numFmtId="0" fontId="4" fillId="0" borderId="25" xfId="0" applyFont="1" applyFill="1" applyBorder="1" applyAlignment="1">
      <alignment vertical="center"/>
    </xf>
    <xf numFmtId="0" fontId="27" fillId="0" borderId="7" xfId="0" applyFont="1" applyFill="1" applyBorder="1" applyAlignment="1" applyProtection="1">
      <alignment horizontal="center" vertical="center"/>
    </xf>
    <xf numFmtId="2" fontId="2" fillId="0" borderId="1" xfId="0" applyNumberFormat="1" applyFont="1" applyBorder="1" applyAlignment="1" applyProtection="1">
      <protection locked="0"/>
    </xf>
    <xf numFmtId="2" fontId="2" fillId="0" borderId="2" xfId="0" applyNumberFormat="1" applyFont="1" applyBorder="1" applyAlignment="1" applyProtection="1">
      <protection locked="0"/>
    </xf>
    <xf numFmtId="2" fontId="2" fillId="0" borderId="9" xfId="0" applyNumberFormat="1" applyFont="1" applyBorder="1" applyAlignment="1" applyProtection="1">
      <protection locked="0"/>
    </xf>
    <xf numFmtId="49" fontId="37" fillId="0" borderId="1" xfId="0" applyNumberFormat="1" applyFont="1" applyFill="1" applyBorder="1" applyAlignment="1" applyProtection="1">
      <alignment horizontal="left" vertical="justify"/>
      <protection locked="0"/>
    </xf>
    <xf numFmtId="49" fontId="37" fillId="0" borderId="2" xfId="0" applyNumberFormat="1" applyFont="1" applyBorder="1" applyAlignment="1" applyProtection="1">
      <alignment horizontal="left" vertical="justify"/>
      <protection locked="0"/>
    </xf>
    <xf numFmtId="49" fontId="37" fillId="0" borderId="9" xfId="0" applyNumberFormat="1" applyFont="1" applyBorder="1" applyAlignment="1" applyProtection="1">
      <alignment horizontal="left" vertical="justify"/>
      <protection locked="0"/>
    </xf>
    <xf numFmtId="0" fontId="0" fillId="0" borderId="1" xfId="0" applyBorder="1" applyAlignment="1">
      <alignment horizontal="left" vertical="center"/>
    </xf>
    <xf numFmtId="0" fontId="0" fillId="0" borderId="2" xfId="0" applyBorder="1" applyAlignment="1">
      <alignment horizontal="left" vertical="center"/>
    </xf>
    <xf numFmtId="0" fontId="0" fillId="0" borderId="9" xfId="0" applyBorder="1" applyAlignment="1">
      <alignment horizontal="left" vertical="center"/>
    </xf>
    <xf numFmtId="0" fontId="24" fillId="0" borderId="1" xfId="0" applyFont="1" applyFill="1" applyBorder="1" applyProtection="1"/>
    <xf numFmtId="0" fontId="24" fillId="0" borderId="2" xfId="0" applyFont="1" applyFill="1" applyBorder="1" applyProtection="1"/>
    <xf numFmtId="0" fontId="24" fillId="0" borderId="9" xfId="0" applyFont="1" applyFill="1" applyBorder="1" applyProtection="1"/>
    <xf numFmtId="49" fontId="4" fillId="0" borderId="1" xfId="0" applyNumberFormat="1" applyFont="1" applyFill="1" applyBorder="1" applyAlignment="1" applyProtection="1"/>
    <xf numFmtId="49" fontId="0" fillId="0" borderId="2" xfId="0" applyNumberFormat="1" applyBorder="1" applyAlignment="1" applyProtection="1"/>
    <xf numFmtId="0" fontId="30" fillId="0" borderId="4" xfId="0" applyFont="1" applyFill="1" applyBorder="1" applyAlignment="1" applyProtection="1">
      <alignment horizontal="left" vertical="center"/>
    </xf>
    <xf numFmtId="0" fontId="30" fillId="0" borderId="0" xfId="0" applyFont="1" applyFill="1" applyBorder="1" applyAlignment="1" applyProtection="1">
      <alignment horizontal="left" vertical="center"/>
    </xf>
    <xf numFmtId="0" fontId="30" fillId="0" borderId="4" xfId="0" applyFont="1" applyFill="1" applyBorder="1" applyAlignment="1" applyProtection="1">
      <alignment horizontal="left"/>
    </xf>
    <xf numFmtId="0" fontId="30" fillId="0" borderId="0" xfId="0" applyFont="1" applyFill="1" applyBorder="1" applyAlignment="1" applyProtection="1">
      <alignment horizontal="left"/>
    </xf>
    <xf numFmtId="0" fontId="46" fillId="4" borderId="25" xfId="0" applyFont="1" applyFill="1" applyBorder="1" applyAlignment="1">
      <alignment horizontal="center" vertical="center" wrapText="1"/>
    </xf>
    <xf numFmtId="0" fontId="46" fillId="4" borderId="27" xfId="0" applyFont="1" applyFill="1" applyBorder="1" applyAlignment="1">
      <alignment horizontal="center" vertical="center" wrapText="1"/>
    </xf>
    <xf numFmtId="0" fontId="46" fillId="4" borderId="28" xfId="0" applyFont="1" applyFill="1" applyBorder="1" applyAlignment="1">
      <alignment horizontal="center" vertical="center" wrapText="1"/>
    </xf>
    <xf numFmtId="0" fontId="46" fillId="4" borderId="30" xfId="0" applyFont="1" applyFill="1" applyBorder="1" applyAlignment="1">
      <alignment horizontal="center" vertical="center" wrapText="1"/>
    </xf>
    <xf numFmtId="49" fontId="4" fillId="0" borderId="0" xfId="0" applyNumberFormat="1" applyFont="1" applyFill="1" applyBorder="1" applyAlignment="1" applyProtection="1"/>
    <xf numFmtId="49" fontId="0" fillId="0" borderId="0" xfId="0" applyNumberFormat="1" applyBorder="1" applyAlignment="1" applyProtection="1"/>
    <xf numFmtId="2" fontId="37" fillId="0" borderId="1" xfId="0" applyNumberFormat="1" applyFont="1" applyBorder="1" applyAlignment="1" applyProtection="1">
      <protection locked="0"/>
    </xf>
    <xf numFmtId="0" fontId="0" fillId="0" borderId="2" xfId="0" applyBorder="1" applyAlignment="1" applyProtection="1">
      <protection locked="0"/>
    </xf>
    <xf numFmtId="0" fontId="0" fillId="0" borderId="9" xfId="0" applyBorder="1" applyAlignment="1" applyProtection="1">
      <protection locked="0"/>
    </xf>
    <xf numFmtId="0" fontId="46" fillId="4" borderId="26" xfId="0" applyFont="1" applyFill="1" applyBorder="1" applyAlignment="1">
      <alignment horizontal="center" vertical="center" wrapText="1"/>
    </xf>
    <xf numFmtId="0" fontId="46" fillId="4" borderId="29" xfId="0" applyFont="1" applyFill="1" applyBorder="1" applyAlignment="1">
      <alignment horizontal="center" vertical="center" wrapText="1"/>
    </xf>
    <xf numFmtId="0" fontId="4" fillId="0" borderId="25" xfId="0" applyFont="1" applyFill="1" applyBorder="1" applyAlignment="1">
      <alignment horizontal="left" vertical="center"/>
    </xf>
    <xf numFmtId="0" fontId="30" fillId="0" borderId="4" xfId="0" applyFont="1" applyFill="1" applyBorder="1" applyAlignment="1" applyProtection="1">
      <alignment horizontal="left" vertical="top"/>
    </xf>
    <xf numFmtId="0" fontId="16" fillId="3" borderId="0" xfId="0" applyFont="1" applyFill="1" applyBorder="1" applyAlignment="1" applyProtection="1">
      <alignment horizontal="left"/>
    </xf>
    <xf numFmtId="0" fontId="0" fillId="3" borderId="0" xfId="0" applyFill="1" applyBorder="1" applyAlignment="1" applyProtection="1">
      <alignment horizontal="left"/>
    </xf>
    <xf numFmtId="0" fontId="5" fillId="3" borderId="0" xfId="0" applyFont="1" applyFill="1" applyBorder="1" applyAlignment="1" applyProtection="1">
      <alignment horizontal="center"/>
    </xf>
    <xf numFmtId="0" fontId="0" fillId="0" borderId="0" xfId="0" applyBorder="1" applyAlignment="1">
      <alignment horizontal="left"/>
    </xf>
    <xf numFmtId="0" fontId="34" fillId="4" borderId="25" xfId="0" applyFont="1" applyFill="1" applyBorder="1" applyAlignment="1" applyProtection="1">
      <alignment horizontal="center" vertical="center" wrapText="1"/>
    </xf>
    <xf numFmtId="0" fontId="34" fillId="4" borderId="27" xfId="0" applyFont="1" applyFill="1" applyBorder="1" applyAlignment="1" applyProtection="1">
      <alignment horizontal="center" vertical="center" wrapText="1"/>
    </xf>
    <xf numFmtId="0" fontId="34" fillId="4" borderId="4" xfId="0" applyFont="1" applyFill="1" applyBorder="1" applyAlignment="1" applyProtection="1">
      <alignment horizontal="center" vertical="center" wrapText="1"/>
    </xf>
    <xf numFmtId="0" fontId="34" fillId="4" borderId="10" xfId="0" applyFont="1" applyFill="1" applyBorder="1" applyAlignment="1" applyProtection="1">
      <alignment horizontal="center" vertical="center" wrapText="1"/>
    </xf>
    <xf numFmtId="49" fontId="37" fillId="0" borderId="1" xfId="0" applyNumberFormat="1" applyFont="1" applyBorder="1" applyAlignment="1" applyProtection="1">
      <alignment vertical="center"/>
      <protection locked="0"/>
    </xf>
    <xf numFmtId="49" fontId="37" fillId="0" borderId="2" xfId="0" applyNumberFormat="1" applyFont="1" applyBorder="1" applyAlignment="1" applyProtection="1">
      <alignment vertical="center"/>
      <protection locked="0"/>
    </xf>
    <xf numFmtId="49" fontId="37" fillId="0" borderId="9" xfId="0" applyNumberFormat="1" applyFont="1" applyBorder="1" applyAlignment="1" applyProtection="1">
      <alignment vertical="center"/>
      <protection locked="0"/>
    </xf>
    <xf numFmtId="0" fontId="4" fillId="4" borderId="6" xfId="0" applyFont="1" applyFill="1" applyBorder="1" applyAlignment="1">
      <alignment horizontal="left" vertical="center"/>
    </xf>
    <xf numFmtId="0" fontId="4" fillId="4" borderId="8" xfId="0" applyFont="1" applyFill="1" applyBorder="1" applyAlignment="1">
      <alignment horizontal="left" vertical="center"/>
    </xf>
    <xf numFmtId="49" fontId="37" fillId="0" borderId="1" xfId="0" applyNumberFormat="1" applyFont="1" applyBorder="1" applyAlignment="1" applyProtection="1">
      <alignment horizontal="left"/>
      <protection locked="0"/>
    </xf>
    <xf numFmtId="0" fontId="30" fillId="0" borderId="6" xfId="0" quotePrefix="1" applyFont="1" applyFill="1" applyBorder="1" applyAlignment="1" applyProtection="1">
      <alignment vertical="center"/>
    </xf>
    <xf numFmtId="0" fontId="0" fillId="0" borderId="7" xfId="0" applyBorder="1" applyAlignment="1">
      <alignment vertical="center"/>
    </xf>
    <xf numFmtId="0" fontId="0" fillId="4" borderId="6" xfId="0" applyFill="1" applyBorder="1" applyAlignment="1">
      <alignment vertical="center"/>
    </xf>
    <xf numFmtId="0" fontId="0" fillId="4" borderId="8" xfId="0" applyFill="1" applyBorder="1" applyAlignment="1">
      <alignment vertical="center"/>
    </xf>
    <xf numFmtId="0" fontId="4" fillId="4" borderId="25" xfId="0" applyFont="1" applyFill="1" applyBorder="1" applyAlignment="1">
      <alignment vertical="center"/>
    </xf>
    <xf numFmtId="0" fontId="0" fillId="4" borderId="26" xfId="0" applyFill="1" applyBorder="1" applyAlignment="1">
      <alignment vertical="center"/>
    </xf>
    <xf numFmtId="0" fontId="0" fillId="4" borderId="27" xfId="0" applyFill="1" applyBorder="1" applyAlignment="1">
      <alignment vertical="center"/>
    </xf>
    <xf numFmtId="0" fontId="0" fillId="4" borderId="28" xfId="0" applyFill="1" applyBorder="1" applyAlignment="1">
      <alignment vertical="center"/>
    </xf>
    <xf numFmtId="0" fontId="0" fillId="4" borderId="29" xfId="0" applyFill="1" applyBorder="1" applyAlignment="1">
      <alignment vertical="center"/>
    </xf>
    <xf numFmtId="0" fontId="0" fillId="4" borderId="30" xfId="0" applyFill="1" applyBorder="1" applyAlignment="1">
      <alignment vertical="center"/>
    </xf>
    <xf numFmtId="49" fontId="11" fillId="0" borderId="35" xfId="0" applyNumberFormat="1" applyFont="1" applyFill="1" applyBorder="1" applyAlignment="1" applyProtection="1">
      <alignment horizontal="left"/>
      <protection locked="0"/>
    </xf>
    <xf numFmtId="0" fontId="30" fillId="4" borderId="17" xfId="0" applyFont="1" applyFill="1" applyBorder="1" applyAlignment="1" applyProtection="1">
      <alignment vertical="center" wrapText="1"/>
    </xf>
    <xf numFmtId="0" fontId="30" fillId="4" borderId="6" xfId="0" applyFont="1" applyFill="1" applyBorder="1" applyAlignment="1" applyProtection="1">
      <alignment vertical="center" wrapText="1"/>
    </xf>
    <xf numFmtId="15" fontId="11" fillId="0" borderId="17" xfId="0" applyNumberFormat="1" applyFont="1" applyFill="1" applyBorder="1" applyAlignment="1" applyProtection="1">
      <alignment horizontal="left"/>
      <protection locked="0"/>
    </xf>
    <xf numFmtId="0" fontId="30" fillId="0" borderId="7" xfId="0" quotePrefix="1" applyFont="1" applyFill="1" applyBorder="1" applyAlignment="1" applyProtection="1">
      <alignment vertical="center"/>
    </xf>
    <xf numFmtId="0" fontId="30" fillId="4" borderId="6" xfId="0" applyFont="1" applyFill="1" applyBorder="1" applyAlignment="1" applyProtection="1">
      <alignment horizontal="left" vertical="center"/>
    </xf>
    <xf numFmtId="0" fontId="30" fillId="4" borderId="2" xfId="0" applyFont="1" applyFill="1" applyBorder="1" applyProtection="1"/>
    <xf numFmtId="0" fontId="30" fillId="4" borderId="9" xfId="0" applyFont="1" applyFill="1" applyBorder="1" applyProtection="1"/>
    <xf numFmtId="0" fontId="30" fillId="0" borderId="37" xfId="0" applyFont="1" applyFill="1" applyBorder="1" applyAlignment="1" applyProtection="1">
      <alignment horizontal="left" vertical="center"/>
    </xf>
    <xf numFmtId="0" fontId="0" fillId="0" borderId="38" xfId="0" applyBorder="1" applyAlignment="1">
      <alignment horizontal="left" vertical="center"/>
    </xf>
    <xf numFmtId="0" fontId="41" fillId="4" borderId="0" xfId="0" applyFont="1" applyFill="1" applyBorder="1" applyAlignment="1" applyProtection="1">
      <alignment horizontal="right"/>
    </xf>
    <xf numFmtId="0" fontId="41" fillId="4" borderId="11" xfId="0" applyFont="1" applyFill="1" applyBorder="1" applyAlignment="1" applyProtection="1">
      <alignment horizontal="right"/>
    </xf>
    <xf numFmtId="164" fontId="41" fillId="4" borderId="0" xfId="0" applyNumberFormat="1" applyFont="1" applyFill="1" applyBorder="1" applyAlignment="1" applyProtection="1"/>
    <xf numFmtId="164" fontId="41" fillId="4" borderId="11" xfId="0" applyNumberFormat="1" applyFont="1" applyFill="1" applyBorder="1" applyAlignment="1" applyProtection="1"/>
    <xf numFmtId="49" fontId="24" fillId="0" borderId="1" xfId="0" applyNumberFormat="1" applyFont="1" applyFill="1" applyBorder="1" applyAlignment="1" applyProtection="1">
      <alignment vertical="center"/>
    </xf>
    <xf numFmtId="0" fontId="0" fillId="0" borderId="2" xfId="0" applyBorder="1" applyAlignment="1">
      <alignment vertical="center"/>
    </xf>
    <xf numFmtId="0" fontId="0" fillId="0" borderId="9" xfId="0" applyBorder="1" applyAlignment="1">
      <alignment vertical="center"/>
    </xf>
    <xf numFmtId="0" fontId="25" fillId="4" borderId="32" xfId="0" applyFont="1" applyFill="1" applyBorder="1" applyAlignment="1" applyProtection="1">
      <alignment horizontal="center"/>
    </xf>
    <xf numFmtId="0" fontId="25" fillId="4" borderId="11" xfId="0" applyFont="1" applyFill="1" applyBorder="1" applyAlignment="1" applyProtection="1">
      <alignment horizontal="center"/>
    </xf>
    <xf numFmtId="164" fontId="25" fillId="4" borderId="32" xfId="0" applyNumberFormat="1" applyFont="1" applyFill="1" applyBorder="1" applyAlignment="1" applyProtection="1"/>
    <xf numFmtId="164" fontId="25" fillId="4" borderId="33" xfId="0" applyNumberFormat="1" applyFont="1" applyFill="1" applyBorder="1" applyAlignment="1" applyProtection="1"/>
    <xf numFmtId="164" fontId="25" fillId="4" borderId="11" xfId="0" applyNumberFormat="1" applyFont="1" applyFill="1" applyBorder="1" applyAlignment="1" applyProtection="1"/>
    <xf numFmtId="164" fontId="25" fillId="4" borderId="36" xfId="0" applyNumberFormat="1" applyFont="1" applyFill="1" applyBorder="1" applyAlignment="1" applyProtection="1"/>
    <xf numFmtId="0" fontId="30" fillId="0" borderId="0" xfId="0" applyFont="1" applyFill="1" applyAlignment="1" applyProtection="1">
      <alignment horizontal="left" vertical="center"/>
    </xf>
    <xf numFmtId="0" fontId="28" fillId="0" borderId="1" xfId="0" applyFont="1" applyFill="1" applyBorder="1" applyAlignment="1" applyProtection="1">
      <alignment horizontal="right"/>
    </xf>
    <xf numFmtId="0" fontId="28" fillId="0" borderId="2" xfId="0" applyFont="1" applyFill="1" applyBorder="1" applyAlignment="1" applyProtection="1">
      <alignment horizontal="right"/>
    </xf>
    <xf numFmtId="0" fontId="28" fillId="0" borderId="9" xfId="0" applyFont="1" applyFill="1" applyBorder="1" applyAlignment="1" applyProtection="1">
      <alignment horizontal="right"/>
    </xf>
    <xf numFmtId="49" fontId="11" fillId="0" borderId="25" xfId="0" applyNumberFormat="1" applyFont="1" applyFill="1" applyBorder="1" applyAlignment="1" applyProtection="1">
      <alignment horizontal="left" vertical="center"/>
      <protection locked="0"/>
    </xf>
    <xf numFmtId="49" fontId="37" fillId="0" borderId="26" xfId="0" applyNumberFormat="1" applyFont="1" applyBorder="1" applyAlignment="1" applyProtection="1">
      <alignment horizontal="left" vertical="center"/>
      <protection locked="0"/>
    </xf>
    <xf numFmtId="49" fontId="37" fillId="0" borderId="27" xfId="0" applyNumberFormat="1" applyFont="1" applyBorder="1" applyAlignment="1" applyProtection="1">
      <alignment horizontal="left" vertical="center"/>
      <protection locked="0"/>
    </xf>
    <xf numFmtId="49" fontId="37" fillId="0" borderId="28" xfId="0" applyNumberFormat="1" applyFont="1" applyBorder="1" applyAlignment="1" applyProtection="1">
      <alignment horizontal="left" vertical="center"/>
      <protection locked="0"/>
    </xf>
    <xf numFmtId="49" fontId="37" fillId="0" borderId="29" xfId="0" applyNumberFormat="1" applyFont="1" applyBorder="1" applyAlignment="1" applyProtection="1">
      <alignment horizontal="left" vertical="center"/>
      <protection locked="0"/>
    </xf>
    <xf numFmtId="49" fontId="37" fillId="0" borderId="30" xfId="0" applyNumberFormat="1" applyFont="1" applyBorder="1" applyAlignment="1" applyProtection="1">
      <alignment horizontal="left" vertical="center"/>
      <protection locked="0"/>
    </xf>
    <xf numFmtId="0" fontId="30" fillId="0" borderId="1" xfId="0" applyFont="1" applyFill="1" applyBorder="1" applyAlignment="1" applyProtection="1">
      <alignment horizontal="right"/>
    </xf>
    <xf numFmtId="0" fontId="30" fillId="0" borderId="2" xfId="0" applyFont="1" applyFill="1" applyBorder="1" applyAlignment="1" applyProtection="1">
      <alignment horizontal="right"/>
    </xf>
    <xf numFmtId="0" fontId="30" fillId="0" borderId="9" xfId="0" applyFont="1" applyFill="1" applyBorder="1" applyAlignment="1" applyProtection="1">
      <alignment horizontal="right"/>
    </xf>
    <xf numFmtId="0" fontId="32" fillId="4" borderId="4" xfId="0" applyFont="1" applyFill="1" applyBorder="1" applyAlignment="1" applyProtection="1">
      <alignment horizontal="left" vertical="center"/>
    </xf>
    <xf numFmtId="0" fontId="32" fillId="4" borderId="0" xfId="0" applyFont="1" applyFill="1" applyBorder="1" applyAlignment="1" applyProtection="1">
      <alignment horizontal="left" vertical="center"/>
    </xf>
    <xf numFmtId="0" fontId="32" fillId="4" borderId="39" xfId="0" applyFont="1" applyFill="1" applyBorder="1" applyAlignment="1" applyProtection="1">
      <alignment horizontal="left" vertical="center"/>
    </xf>
    <xf numFmtId="0" fontId="32" fillId="4" borderId="11" xfId="0" applyFont="1" applyFill="1" applyBorder="1" applyAlignment="1" applyProtection="1">
      <alignment horizontal="left" vertical="center"/>
    </xf>
    <xf numFmtId="0" fontId="31" fillId="0" borderId="40" xfId="0" applyNumberFormat="1" applyFont="1" applyFill="1" applyBorder="1" applyAlignment="1" applyProtection="1">
      <alignment vertical="top" wrapText="1"/>
    </xf>
    <xf numFmtId="0" fontId="31" fillId="0" borderId="11" xfId="0" applyNumberFormat="1" applyFont="1" applyFill="1" applyBorder="1" applyAlignment="1" applyProtection="1">
      <alignment vertical="top" wrapText="1"/>
    </xf>
    <xf numFmtId="0" fontId="31" fillId="0" borderId="36" xfId="0" applyNumberFormat="1" applyFont="1" applyFill="1" applyBorder="1" applyAlignment="1" applyProtection="1">
      <alignment vertical="top" wrapText="1"/>
    </xf>
    <xf numFmtId="49" fontId="11" fillId="0" borderId="1" xfId="0" applyNumberFormat="1" applyFont="1" applyFill="1" applyBorder="1" applyAlignment="1" applyProtection="1">
      <protection locked="0"/>
    </xf>
    <xf numFmtId="49" fontId="11" fillId="0" borderId="2" xfId="0" applyNumberFormat="1" applyFont="1" applyFill="1" applyBorder="1" applyAlignment="1" applyProtection="1">
      <protection locked="0"/>
    </xf>
    <xf numFmtId="49" fontId="11" fillId="0" borderId="9" xfId="0" applyNumberFormat="1" applyFont="1" applyFill="1" applyBorder="1" applyAlignment="1" applyProtection="1">
      <protection locked="0"/>
    </xf>
    <xf numFmtId="0" fontId="0" fillId="0" borderId="2" xfId="0" applyBorder="1" applyAlignment="1">
      <alignment horizontal="left"/>
    </xf>
    <xf numFmtId="0" fontId="30" fillId="0" borderId="26" xfId="0" applyFont="1" applyFill="1" applyBorder="1" applyAlignment="1" applyProtection="1">
      <alignment wrapText="1"/>
    </xf>
    <xf numFmtId="0" fontId="30" fillId="0" borderId="27" xfId="0" applyFont="1" applyFill="1" applyBorder="1" applyAlignment="1" applyProtection="1">
      <alignment wrapText="1"/>
    </xf>
    <xf numFmtId="0" fontId="30" fillId="0" borderId="29" xfId="0" applyFont="1" applyFill="1" applyBorder="1" applyAlignment="1" applyProtection="1">
      <alignment wrapText="1"/>
    </xf>
    <xf numFmtId="0" fontId="30" fillId="0" borderId="30" xfId="0" applyFont="1" applyFill="1" applyBorder="1" applyAlignment="1" applyProtection="1">
      <alignment wrapText="1"/>
    </xf>
    <xf numFmtId="0" fontId="30" fillId="0" borderId="28" xfId="0" applyFont="1" applyFill="1" applyBorder="1" applyAlignment="1" applyProtection="1">
      <alignment horizontal="right"/>
    </xf>
    <xf numFmtId="0" fontId="30" fillId="0" borderId="29" xfId="0" applyFont="1" applyFill="1" applyBorder="1" applyAlignment="1" applyProtection="1">
      <alignment horizontal="right"/>
    </xf>
    <xf numFmtId="0" fontId="30" fillId="0" borderId="25" xfId="0" applyFont="1" applyFill="1" applyBorder="1" applyAlignment="1" applyProtection="1">
      <alignment vertical="center" wrapText="1"/>
    </xf>
    <xf numFmtId="0" fontId="0" fillId="0" borderId="4" xfId="0" applyBorder="1" applyAlignment="1">
      <alignment vertical="center"/>
    </xf>
    <xf numFmtId="0" fontId="0" fillId="0" borderId="0" xfId="0" applyBorder="1" applyAlignment="1">
      <alignment vertical="center"/>
    </xf>
    <xf numFmtId="0" fontId="0" fillId="0" borderId="10" xfId="0" applyBorder="1" applyAlignment="1">
      <alignment vertical="center"/>
    </xf>
    <xf numFmtId="0" fontId="31" fillId="0" borderId="1" xfId="0" applyFont="1" applyFill="1" applyBorder="1" applyProtection="1"/>
    <xf numFmtId="0" fontId="31" fillId="0" borderId="2" xfId="0" applyFont="1" applyFill="1" applyBorder="1" applyProtection="1"/>
    <xf numFmtId="0" fontId="31" fillId="0" borderId="9" xfId="0" applyFont="1" applyFill="1" applyBorder="1" applyProtection="1"/>
    <xf numFmtId="15" fontId="11" fillId="0" borderId="2" xfId="0" applyNumberFormat="1" applyFont="1" applyFill="1" applyBorder="1" applyAlignment="1" applyProtection="1">
      <alignment horizontal="left"/>
      <protection locked="0"/>
    </xf>
    <xf numFmtId="15" fontId="11" fillId="0" borderId="9" xfId="0" applyNumberFormat="1" applyFont="1" applyFill="1" applyBorder="1" applyAlignment="1" applyProtection="1">
      <alignment horizontal="left"/>
      <protection locked="0"/>
    </xf>
    <xf numFmtId="0" fontId="30" fillId="0" borderId="2" xfId="0" applyFont="1" applyFill="1" applyBorder="1" applyAlignment="1" applyProtection="1">
      <alignment horizontal="left"/>
    </xf>
    <xf numFmtId="0" fontId="33" fillId="0" borderId="1" xfId="0" applyFont="1" applyFill="1" applyBorder="1" applyAlignment="1" applyProtection="1">
      <alignment horizontal="right"/>
    </xf>
    <xf numFmtId="0" fontId="33" fillId="0" borderId="2" xfId="0" applyFont="1" applyFill="1" applyBorder="1" applyAlignment="1" applyProtection="1">
      <alignment horizontal="right"/>
    </xf>
    <xf numFmtId="0" fontId="33" fillId="0" borderId="9" xfId="0" applyFont="1" applyFill="1" applyBorder="1" applyAlignment="1" applyProtection="1">
      <alignment horizontal="right"/>
    </xf>
    <xf numFmtId="0" fontId="30" fillId="0" borderId="3" xfId="0" applyFont="1" applyFill="1" applyBorder="1" applyAlignment="1" applyProtection="1">
      <alignment horizontal="left" wrapText="1"/>
    </xf>
    <xf numFmtId="0" fontId="30" fillId="0" borderId="0" xfId="0" applyFont="1" applyFill="1" applyBorder="1" applyAlignment="1" applyProtection="1">
      <alignment horizontal="left" wrapText="1"/>
    </xf>
    <xf numFmtId="0" fontId="11" fillId="0" borderId="31" xfId="0" applyFont="1" applyFill="1" applyBorder="1" applyAlignment="1" applyProtection="1">
      <alignment horizontal="center" vertical="center" wrapText="1"/>
    </xf>
    <xf numFmtId="0" fontId="11" fillId="0" borderId="32" xfId="0" applyFont="1" applyFill="1" applyBorder="1" applyAlignment="1" applyProtection="1">
      <alignment horizontal="center" vertical="center" wrapText="1"/>
    </xf>
    <xf numFmtId="0" fontId="11" fillId="0" borderId="33" xfId="0" applyFont="1" applyFill="1" applyBorder="1" applyAlignment="1" applyProtection="1">
      <alignment horizontal="center" vertical="center" wrapText="1"/>
    </xf>
    <xf numFmtId="0" fontId="11" fillId="0" borderId="3" xfId="0" applyFont="1" applyFill="1" applyBorder="1" applyAlignment="1" applyProtection="1">
      <alignment horizontal="center" vertical="center" wrapText="1"/>
    </xf>
    <xf numFmtId="0" fontId="11" fillId="0" borderId="0" xfId="0" applyFont="1" applyFill="1" applyBorder="1" applyAlignment="1" applyProtection="1">
      <alignment horizontal="center" vertical="center" wrapText="1"/>
    </xf>
    <xf numFmtId="0" fontId="11" fillId="0" borderId="5" xfId="0" applyFont="1" applyFill="1" applyBorder="1" applyAlignment="1" applyProtection="1">
      <alignment horizontal="center" vertical="center" wrapText="1"/>
    </xf>
    <xf numFmtId="0" fontId="43" fillId="0" borderId="0" xfId="0" applyFont="1" applyFill="1" applyAlignment="1" applyProtection="1">
      <alignment vertical="center"/>
    </xf>
    <xf numFmtId="0" fontId="44" fillId="0" borderId="0" xfId="0" applyFont="1" applyFill="1" applyAlignment="1"/>
    <xf numFmtId="0" fontId="44" fillId="0" borderId="0" xfId="0" applyFont="1" applyFill="1" applyAlignment="1">
      <alignment vertical="center"/>
    </xf>
    <xf numFmtId="0" fontId="0" fillId="0" borderId="12" xfId="0" applyBorder="1" applyAlignment="1">
      <alignment horizontal="left" vertical="center"/>
    </xf>
    <xf numFmtId="0" fontId="30" fillId="0" borderId="6" xfId="0" applyFont="1" applyFill="1" applyBorder="1" applyAlignment="1" applyProtection="1">
      <alignment horizontal="center" vertical="center"/>
    </xf>
    <xf numFmtId="0" fontId="0" fillId="0" borderId="7" xfId="0" applyBorder="1" applyAlignment="1">
      <alignment horizontal="center" vertical="center"/>
    </xf>
    <xf numFmtId="15" fontId="11" fillId="0" borderId="25" xfId="0" applyNumberFormat="1" applyFont="1" applyFill="1" applyBorder="1" applyAlignment="1" applyProtection="1">
      <alignment horizontal="left" vertical="center"/>
      <protection locked="0"/>
    </xf>
    <xf numFmtId="15" fontId="11" fillId="0" borderId="26" xfId="0" applyNumberFormat="1" applyFont="1" applyFill="1" applyBorder="1" applyAlignment="1" applyProtection="1">
      <alignment horizontal="left" vertical="center"/>
      <protection locked="0"/>
    </xf>
    <xf numFmtId="15" fontId="37" fillId="0" borderId="27" xfId="0" applyNumberFormat="1" applyFont="1" applyBorder="1" applyAlignment="1" applyProtection="1">
      <alignment horizontal="left" vertical="center"/>
      <protection locked="0"/>
    </xf>
    <xf numFmtId="15" fontId="37" fillId="0" borderId="28" xfId="0" applyNumberFormat="1" applyFont="1" applyBorder="1" applyAlignment="1" applyProtection="1">
      <alignment horizontal="left" vertical="center"/>
      <protection locked="0"/>
    </xf>
    <xf numFmtId="15" fontId="37" fillId="0" borderId="29" xfId="0" applyNumberFormat="1" applyFont="1" applyBorder="1" applyAlignment="1" applyProtection="1">
      <alignment horizontal="left" vertical="center"/>
      <protection locked="0"/>
    </xf>
    <xf numFmtId="15" fontId="37" fillId="0" borderId="30" xfId="0" applyNumberFormat="1" applyFont="1" applyBorder="1" applyAlignment="1" applyProtection="1">
      <alignment horizontal="left" vertical="center"/>
      <protection locked="0"/>
    </xf>
    <xf numFmtId="0" fontId="30" fillId="4" borderId="1" xfId="0" applyFont="1" applyFill="1" applyBorder="1" applyAlignment="1" applyProtection="1">
      <alignment horizontal="left"/>
    </xf>
    <xf numFmtId="0" fontId="0" fillId="0" borderId="9" xfId="0" applyBorder="1" applyAlignment="1">
      <alignment horizontal="left"/>
    </xf>
    <xf numFmtId="2" fontId="2" fillId="4" borderId="1" xfId="0" applyNumberFormat="1" applyFont="1" applyFill="1" applyBorder="1" applyAlignment="1" applyProtection="1">
      <alignment horizontal="left"/>
      <protection locked="0"/>
    </xf>
    <xf numFmtId="2" fontId="2" fillId="0" borderId="2" xfId="0" applyNumberFormat="1" applyFont="1" applyBorder="1" applyAlignment="1" applyProtection="1">
      <alignment horizontal="left"/>
      <protection locked="0"/>
    </xf>
    <xf numFmtId="2" fontId="2" fillId="0" borderId="9" xfId="0" applyNumberFormat="1" applyFont="1" applyBorder="1" applyAlignment="1" applyProtection="1">
      <alignment horizontal="left"/>
      <protection locked="0"/>
    </xf>
    <xf numFmtId="0" fontId="4" fillId="4" borderId="1" xfId="0" applyFont="1" applyFill="1" applyBorder="1" applyAlignment="1">
      <alignment horizontal="left"/>
    </xf>
    <xf numFmtId="0" fontId="4" fillId="4" borderId="2" xfId="0" applyFont="1" applyFill="1" applyBorder="1" applyAlignment="1">
      <alignment horizontal="left"/>
    </xf>
    <xf numFmtId="0" fontId="4" fillId="4" borderId="9" xfId="0" applyFont="1" applyFill="1" applyBorder="1" applyAlignment="1">
      <alignment horizontal="left"/>
    </xf>
    <xf numFmtId="0" fontId="37" fillId="0" borderId="26" xfId="0" applyFont="1" applyBorder="1" applyAlignment="1" applyProtection="1">
      <alignment horizontal="left" vertical="center"/>
      <protection locked="0"/>
    </xf>
    <xf numFmtId="0" fontId="37" fillId="0" borderId="27" xfId="0" applyFont="1" applyBorder="1" applyAlignment="1" applyProtection="1">
      <alignment horizontal="left" vertical="center"/>
      <protection locked="0"/>
    </xf>
    <xf numFmtId="0" fontId="37" fillId="0" borderId="28" xfId="0" applyFont="1" applyBorder="1" applyAlignment="1" applyProtection="1">
      <alignment horizontal="left" vertical="center"/>
      <protection locked="0"/>
    </xf>
    <xf numFmtId="0" fontId="37" fillId="0" borderId="29" xfId="0" applyFont="1" applyBorder="1" applyAlignment="1" applyProtection="1">
      <alignment horizontal="left" vertical="center"/>
      <protection locked="0"/>
    </xf>
    <xf numFmtId="0" fontId="37" fillId="0" borderId="30" xfId="0" applyFont="1" applyBorder="1" applyAlignment="1" applyProtection="1">
      <alignment horizontal="left" vertical="center"/>
      <protection locked="0"/>
    </xf>
    <xf numFmtId="0" fontId="30" fillId="0" borderId="25" xfId="0" applyFont="1" applyFill="1" applyBorder="1" applyAlignment="1" applyProtection="1">
      <alignment horizontal="left" vertical="center"/>
    </xf>
    <xf numFmtId="0" fontId="0" fillId="0" borderId="26" xfId="0" applyBorder="1" applyAlignment="1">
      <alignment horizontal="left" vertical="center"/>
    </xf>
    <xf numFmtId="0" fontId="0" fillId="0" borderId="27" xfId="0"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0" fillId="0" borderId="30" xfId="0" applyBorder="1" applyAlignment="1">
      <alignment horizontal="left" vertical="center"/>
    </xf>
    <xf numFmtId="49" fontId="26" fillId="0" borderId="28" xfId="0" applyNumberFormat="1" applyFont="1" applyFill="1" applyBorder="1" applyProtection="1"/>
    <xf numFmtId="49" fontId="26" fillId="0" borderId="29" xfId="0" applyNumberFormat="1" applyFont="1" applyFill="1" applyBorder="1" applyProtection="1"/>
    <xf numFmtId="49" fontId="26" fillId="0" borderId="30" xfId="0" applyNumberFormat="1" applyFont="1" applyFill="1" applyBorder="1" applyProtection="1"/>
    <xf numFmtId="0" fontId="30" fillId="0" borderId="25" xfId="0" applyFont="1" applyFill="1" applyBorder="1" applyAlignment="1" applyProtection="1"/>
    <xf numFmtId="0" fontId="4" fillId="0" borderId="26" xfId="0" applyFont="1" applyBorder="1" applyAlignment="1"/>
    <xf numFmtId="0" fontId="4" fillId="0" borderId="27" xfId="0" applyFont="1" applyBorder="1" applyAlignment="1"/>
    <xf numFmtId="0" fontId="30" fillId="4" borderId="2" xfId="0" applyFont="1" applyFill="1" applyBorder="1" applyAlignment="1" applyProtection="1"/>
    <xf numFmtId="0" fontId="30" fillId="4" borderId="9" xfId="0" applyFont="1" applyFill="1" applyBorder="1" applyAlignment="1" applyProtection="1"/>
    <xf numFmtId="0" fontId="30" fillId="0" borderId="6" xfId="0" applyFont="1" applyFill="1" applyBorder="1" applyAlignment="1" applyProtection="1">
      <alignment horizontal="left" vertical="center"/>
    </xf>
    <xf numFmtId="0" fontId="4" fillId="0" borderId="6" xfId="0" applyFont="1" applyBorder="1" applyAlignment="1">
      <alignment horizontal="left" vertical="center"/>
    </xf>
    <xf numFmtId="0" fontId="4" fillId="0" borderId="8" xfId="0" applyFont="1" applyBorder="1" applyAlignment="1">
      <alignment horizontal="left" vertical="center"/>
    </xf>
    <xf numFmtId="49" fontId="11" fillId="0" borderId="28" xfId="0" applyNumberFormat="1" applyFont="1" applyFill="1" applyBorder="1" applyAlignment="1" applyProtection="1">
      <protection locked="0"/>
    </xf>
    <xf numFmtId="49" fontId="11" fillId="0" borderId="29" xfId="0" applyNumberFormat="1" applyFont="1" applyFill="1" applyBorder="1" applyAlignment="1" applyProtection="1">
      <protection locked="0"/>
    </xf>
    <xf numFmtId="49" fontId="37" fillId="0" borderId="29" xfId="0" applyNumberFormat="1" applyFont="1" applyBorder="1" applyAlignment="1" applyProtection="1">
      <protection locked="0"/>
    </xf>
    <xf numFmtId="49" fontId="37" fillId="0" borderId="30" xfId="0" applyNumberFormat="1" applyFont="1" applyBorder="1" applyAlignment="1" applyProtection="1">
      <protection locked="0"/>
    </xf>
    <xf numFmtId="0" fontId="24" fillId="4" borderId="7" xfId="0" applyFont="1" applyFill="1" applyBorder="1" applyAlignment="1" applyProtection="1"/>
    <xf numFmtId="0" fontId="0" fillId="4" borderId="7" xfId="0" applyFill="1" applyBorder="1" applyAlignment="1"/>
    <xf numFmtId="0" fontId="0" fillId="4" borderId="28" xfId="0" applyFill="1" applyBorder="1" applyAlignment="1" applyProtection="1"/>
    <xf numFmtId="0" fontId="0" fillId="4" borderId="29" xfId="0" applyFill="1" applyBorder="1" applyAlignment="1" applyProtection="1"/>
    <xf numFmtId="0" fontId="0" fillId="4" borderId="30" xfId="0" applyFill="1" applyBorder="1" applyAlignment="1" applyProtection="1"/>
    <xf numFmtId="49" fontId="30" fillId="0" borderId="6" xfId="0" applyNumberFormat="1" applyFont="1" applyFill="1" applyBorder="1" applyAlignment="1" applyProtection="1">
      <alignment horizontal="left" vertical="center"/>
    </xf>
    <xf numFmtId="49" fontId="30" fillId="0" borderId="8" xfId="0" applyNumberFormat="1" applyFont="1" applyFill="1" applyBorder="1" applyAlignment="1" applyProtection="1">
      <alignment horizontal="left" vertical="center"/>
    </xf>
    <xf numFmtId="49" fontId="30" fillId="0" borderId="25" xfId="0" applyNumberFormat="1" applyFont="1" applyFill="1" applyBorder="1" applyAlignment="1" applyProtection="1">
      <alignment horizontal="left" vertical="center"/>
    </xf>
    <xf numFmtId="49" fontId="0" fillId="0" borderId="26" xfId="0" applyNumberFormat="1" applyBorder="1" applyAlignment="1"/>
    <xf numFmtId="49" fontId="0" fillId="0" borderId="27" xfId="0" applyNumberFormat="1" applyBorder="1" applyAlignment="1"/>
    <xf numFmtId="49" fontId="30" fillId="0" borderId="28" xfId="0" applyNumberFormat="1" applyFont="1" applyFill="1" applyBorder="1" applyAlignment="1" applyProtection="1">
      <alignment horizontal="left" vertical="center"/>
    </xf>
    <xf numFmtId="49" fontId="0" fillId="0" borderId="29" xfId="0" applyNumberFormat="1" applyBorder="1" applyAlignment="1"/>
    <xf numFmtId="49" fontId="0" fillId="0" borderId="30" xfId="0" applyNumberFormat="1" applyBorder="1" applyAlignment="1"/>
    <xf numFmtId="0" fontId="38" fillId="0" borderId="1" xfId="0" applyFont="1" applyBorder="1" applyAlignment="1">
      <alignment horizontal="left" vertical="top" wrapText="1"/>
    </xf>
    <xf numFmtId="0" fontId="39" fillId="0" borderId="2" xfId="0" applyFont="1" applyBorder="1" applyAlignment="1">
      <alignment horizontal="left" vertical="top" wrapText="1"/>
    </xf>
    <xf numFmtId="0" fontId="39" fillId="0" borderId="9" xfId="0" applyFont="1" applyBorder="1" applyAlignment="1">
      <alignment horizontal="left" vertical="top" wrapText="1"/>
    </xf>
    <xf numFmtId="0" fontId="39" fillId="0" borderId="1" xfId="0" applyFont="1" applyBorder="1" applyAlignment="1">
      <alignment horizontal="left" vertical="top" wrapText="1"/>
    </xf>
    <xf numFmtId="49" fontId="37" fillId="0" borderId="17" xfId="0" applyNumberFormat="1" applyFont="1" applyBorder="1" applyAlignment="1" applyProtection="1">
      <alignment horizontal="left" vertical="center"/>
      <protection locked="0"/>
    </xf>
    <xf numFmtId="0" fontId="30" fillId="0" borderId="0" xfId="0" applyFont="1" applyFill="1" applyAlignment="1" applyProtection="1">
      <alignment horizontal="left"/>
    </xf>
    <xf numFmtId="0" fontId="29" fillId="0" borderId="1" xfId="0" applyNumberFormat="1" applyFont="1" applyFill="1" applyBorder="1" applyAlignment="1" applyProtection="1">
      <alignment vertical="center" wrapText="1"/>
    </xf>
    <xf numFmtId="0" fontId="0" fillId="0" borderId="2" xfId="0" applyNumberFormat="1" applyBorder="1" applyAlignment="1">
      <alignment vertical="center" wrapText="1"/>
    </xf>
    <xf numFmtId="0" fontId="30" fillId="0" borderId="1" xfId="0" applyFont="1" applyFill="1" applyBorder="1" applyAlignment="1" applyProtection="1">
      <alignment vertical="center"/>
    </xf>
    <xf numFmtId="0" fontId="30" fillId="0" borderId="2" xfId="0" applyFont="1" applyFill="1" applyBorder="1" applyAlignment="1" applyProtection="1">
      <alignment vertical="center"/>
    </xf>
    <xf numFmtId="0" fontId="30" fillId="0" borderId="9" xfId="0" applyFont="1" applyFill="1" applyBorder="1" applyAlignment="1" applyProtection="1">
      <alignment vertical="center"/>
    </xf>
    <xf numFmtId="165" fontId="10" fillId="6" borderId="0" xfId="0" applyNumberFormat="1" applyFont="1" applyFill="1" applyAlignment="1" applyProtection="1">
      <alignment horizontal="center"/>
    </xf>
    <xf numFmtId="0" fontId="10" fillId="6" borderId="0" xfId="0" applyFont="1" applyFill="1" applyAlignment="1" applyProtection="1">
      <alignment horizontal="center"/>
    </xf>
    <xf numFmtId="49" fontId="11" fillId="0" borderId="25" xfId="0" applyNumberFormat="1" applyFont="1" applyFill="1" applyBorder="1" applyAlignment="1" applyProtection="1">
      <protection locked="0"/>
    </xf>
    <xf numFmtId="49" fontId="11" fillId="0" borderId="26" xfId="0" applyNumberFormat="1" applyFont="1" applyFill="1" applyBorder="1" applyAlignment="1" applyProtection="1">
      <protection locked="0"/>
    </xf>
    <xf numFmtId="49" fontId="11" fillId="0" borderId="27" xfId="0" applyNumberFormat="1" applyFont="1" applyFill="1" applyBorder="1" applyAlignment="1" applyProtection="1">
      <protection locked="0"/>
    </xf>
    <xf numFmtId="49" fontId="11" fillId="0" borderId="30" xfId="0" applyNumberFormat="1" applyFont="1" applyFill="1" applyBorder="1" applyAlignment="1" applyProtection="1">
      <protection locked="0"/>
    </xf>
    <xf numFmtId="0" fontId="24" fillId="0" borderId="17" xfId="0" applyFont="1" applyFill="1" applyBorder="1" applyAlignment="1" applyProtection="1"/>
    <xf numFmtId="49" fontId="11" fillId="0" borderId="26" xfId="0" applyNumberFormat="1" applyFont="1" applyFill="1" applyBorder="1" applyAlignment="1" applyProtection="1">
      <alignment horizontal="left" vertical="center"/>
      <protection locked="0"/>
    </xf>
    <xf numFmtId="49" fontId="11" fillId="0" borderId="27" xfId="0" applyNumberFormat="1" applyFont="1" applyFill="1" applyBorder="1" applyAlignment="1" applyProtection="1">
      <alignment horizontal="left" vertical="center"/>
      <protection locked="0"/>
    </xf>
    <xf numFmtId="49" fontId="11" fillId="0" borderId="28" xfId="0" applyNumberFormat="1" applyFont="1" applyFill="1" applyBorder="1" applyAlignment="1" applyProtection="1">
      <alignment horizontal="left" vertical="center"/>
      <protection locked="0"/>
    </xf>
    <xf numFmtId="49" fontId="11" fillId="0" borderId="29" xfId="0" applyNumberFormat="1" applyFont="1" applyFill="1" applyBorder="1" applyAlignment="1" applyProtection="1">
      <alignment horizontal="left" vertical="center"/>
      <protection locked="0"/>
    </xf>
    <xf numFmtId="49" fontId="11" fillId="0" borderId="30" xfId="0" applyNumberFormat="1" applyFont="1" applyFill="1" applyBorder="1" applyAlignment="1" applyProtection="1">
      <alignment horizontal="left" vertical="center"/>
      <protection locked="0"/>
    </xf>
    <xf numFmtId="49" fontId="30" fillId="0" borderId="1" xfId="0" applyNumberFormat="1" applyFont="1" applyFill="1" applyBorder="1" applyAlignment="1" applyProtection="1"/>
    <xf numFmtId="49" fontId="30" fillId="0" borderId="2" xfId="0" applyNumberFormat="1" applyFont="1" applyFill="1" applyBorder="1" applyAlignment="1" applyProtection="1"/>
    <xf numFmtId="49" fontId="30" fillId="0" borderId="9" xfId="0" applyNumberFormat="1" applyFont="1" applyFill="1" applyBorder="1" applyAlignment="1" applyProtection="1"/>
    <xf numFmtId="0" fontId="24" fillId="4" borderId="28" xfId="0" applyFont="1" applyFill="1" applyBorder="1" applyAlignment="1" applyProtection="1"/>
    <xf numFmtId="0" fontId="0" fillId="4" borderId="29" xfId="0" applyFill="1" applyBorder="1" applyAlignment="1"/>
    <xf numFmtId="0" fontId="0" fillId="4" borderId="30" xfId="0" applyFill="1" applyBorder="1" applyAlignment="1"/>
    <xf numFmtId="165" fontId="10" fillId="6" borderId="0" xfId="0" applyNumberFormat="1" applyFont="1" applyFill="1" applyBorder="1" applyAlignment="1" applyProtection="1">
      <alignment horizontal="center"/>
    </xf>
    <xf numFmtId="0" fontId="10" fillId="6" borderId="0" xfId="0" applyFont="1" applyFill="1" applyBorder="1" applyAlignment="1" applyProtection="1">
      <alignment horizontal="center"/>
    </xf>
    <xf numFmtId="49" fontId="11" fillId="0" borderId="4" xfId="0" applyNumberFormat="1" applyFont="1" applyFill="1" applyBorder="1" applyAlignment="1" applyProtection="1">
      <alignment horizontal="left" vertical="top" wrapText="1"/>
      <protection locked="0"/>
    </xf>
    <xf numFmtId="49" fontId="37" fillId="0" borderId="0" xfId="0" applyNumberFormat="1" applyFont="1" applyBorder="1" applyAlignment="1" applyProtection="1">
      <alignment horizontal="left" vertical="top" wrapText="1"/>
      <protection locked="0"/>
    </xf>
    <xf numFmtId="49" fontId="37" fillId="0" borderId="10" xfId="0" applyNumberFormat="1" applyFont="1" applyBorder="1" applyAlignment="1" applyProtection="1">
      <alignment horizontal="left" vertical="top" wrapText="1"/>
      <protection locked="0"/>
    </xf>
    <xf numFmtId="49" fontId="37" fillId="0" borderId="4" xfId="0" applyNumberFormat="1" applyFont="1" applyBorder="1" applyAlignment="1" applyProtection="1">
      <alignment horizontal="left" vertical="top" wrapText="1"/>
      <protection locked="0"/>
    </xf>
    <xf numFmtId="49" fontId="37" fillId="0" borderId="28" xfId="0" applyNumberFormat="1" applyFont="1" applyBorder="1" applyAlignment="1" applyProtection="1">
      <alignment horizontal="left" vertical="top" wrapText="1"/>
      <protection locked="0"/>
    </xf>
    <xf numFmtId="49" fontId="37" fillId="0" borderId="29" xfId="0" applyNumberFormat="1" applyFont="1" applyBorder="1" applyAlignment="1" applyProtection="1">
      <alignment horizontal="left" vertical="top" wrapText="1"/>
      <protection locked="0"/>
    </xf>
    <xf numFmtId="49" fontId="37" fillId="0" borderId="30" xfId="0" applyNumberFormat="1" applyFont="1" applyBorder="1" applyAlignment="1" applyProtection="1">
      <alignment horizontal="left" vertical="top" wrapText="1"/>
      <protection locked="0"/>
    </xf>
    <xf numFmtId="165" fontId="2" fillId="6" borderId="0" xfId="0" applyNumberFormat="1" applyFont="1" applyFill="1" applyAlignment="1" applyProtection="1">
      <alignment horizontal="center"/>
    </xf>
    <xf numFmtId="0" fontId="2" fillId="6" borderId="0" xfId="0" applyFont="1" applyFill="1" applyAlignment="1" applyProtection="1">
      <alignment horizontal="center"/>
    </xf>
    <xf numFmtId="0" fontId="31" fillId="4" borderId="17" xfId="0" applyFont="1" applyFill="1" applyBorder="1" applyAlignment="1" applyProtection="1">
      <alignment vertical="center" wrapText="1"/>
    </xf>
    <xf numFmtId="0" fontId="31" fillId="4" borderId="6" xfId="0" applyFont="1" applyFill="1" applyBorder="1" applyAlignment="1" applyProtection="1">
      <alignment vertical="center" wrapText="1"/>
    </xf>
    <xf numFmtId="0" fontId="30" fillId="4" borderId="17" xfId="0" applyFont="1" applyFill="1" applyBorder="1" applyAlignment="1" applyProtection="1"/>
    <xf numFmtId="0" fontId="4" fillId="4" borderId="17" xfId="0" applyFont="1" applyFill="1" applyBorder="1" applyAlignment="1"/>
    <xf numFmtId="0" fontId="0" fillId="0" borderId="17" xfId="0" applyBorder="1" applyAlignment="1"/>
    <xf numFmtId="1" fontId="30" fillId="0" borderId="7" xfId="0" quotePrefix="1" applyNumberFormat="1" applyFont="1" applyFill="1" applyBorder="1" applyAlignment="1" applyProtection="1">
      <alignment horizontal="center" vertical="center"/>
    </xf>
    <xf numFmtId="18" fontId="30" fillId="0" borderId="6" xfId="0" applyNumberFormat="1" applyFont="1" applyFill="1" applyBorder="1" applyAlignment="1" applyProtection="1">
      <alignment vertical="center"/>
    </xf>
    <xf numFmtId="18" fontId="4" fillId="0" borderId="7" xfId="0" applyNumberFormat="1" applyFont="1" applyBorder="1" applyAlignment="1">
      <alignment vertical="center"/>
    </xf>
    <xf numFmtId="0" fontId="34" fillId="0" borderId="1" xfId="0" applyFont="1" applyFill="1" applyBorder="1" applyAlignment="1" applyProtection="1">
      <alignment horizontal="center"/>
    </xf>
    <xf numFmtId="0" fontId="34" fillId="0" borderId="2" xfId="0" applyFont="1" applyFill="1" applyBorder="1" applyAlignment="1" applyProtection="1">
      <alignment horizontal="center"/>
    </xf>
    <xf numFmtId="0" fontId="34" fillId="0" borderId="9" xfId="0" applyFont="1" applyFill="1" applyBorder="1" applyAlignment="1" applyProtection="1">
      <alignment horizontal="center"/>
    </xf>
    <xf numFmtId="49" fontId="29" fillId="0" borderId="2" xfId="0" applyNumberFormat="1" applyFont="1" applyFill="1" applyBorder="1" applyAlignment="1" applyProtection="1">
      <alignment vertical="center" wrapText="1"/>
    </xf>
    <xf numFmtId="49" fontId="29" fillId="0" borderId="9" xfId="0" applyNumberFormat="1" applyFont="1" applyFill="1" applyBorder="1" applyAlignment="1" applyProtection="1">
      <alignment vertical="center" wrapText="1"/>
    </xf>
    <xf numFmtId="0" fontId="34" fillId="4" borderId="25" xfId="0" applyFont="1" applyFill="1" applyBorder="1" applyAlignment="1" applyProtection="1">
      <alignment vertical="center" wrapText="1"/>
    </xf>
    <xf numFmtId="0" fontId="34" fillId="4" borderId="27" xfId="0" applyFont="1" applyFill="1" applyBorder="1" applyAlignment="1" applyProtection="1">
      <alignment vertical="center" wrapText="1"/>
    </xf>
    <xf numFmtId="0" fontId="34" fillId="4" borderId="4" xfId="0" applyFont="1" applyFill="1" applyBorder="1" applyAlignment="1" applyProtection="1">
      <alignment vertical="center" wrapText="1"/>
    </xf>
    <xf numFmtId="0" fontId="34" fillId="4" borderId="10" xfId="0" applyFont="1" applyFill="1" applyBorder="1" applyAlignment="1" applyProtection="1">
      <alignment vertical="center" wrapText="1"/>
    </xf>
    <xf numFmtId="0" fontId="4" fillId="4" borderId="6" xfId="0" applyFont="1" applyFill="1" applyBorder="1" applyAlignment="1">
      <alignment horizontal="left" vertical="center" wrapText="1"/>
    </xf>
    <xf numFmtId="0" fontId="4" fillId="4" borderId="8" xfId="0" applyFont="1" applyFill="1" applyBorder="1" applyAlignment="1">
      <alignment horizontal="left" vertical="center" wrapText="1"/>
    </xf>
    <xf numFmtId="0" fontId="30" fillId="4" borderId="6" xfId="0" applyFont="1" applyFill="1" applyBorder="1" applyAlignment="1" applyProtection="1">
      <alignment horizontal="left" vertical="center" wrapText="1"/>
    </xf>
    <xf numFmtId="0" fontId="30" fillId="4" borderId="28" xfId="0" applyFont="1" applyFill="1" applyBorder="1" applyProtection="1"/>
    <xf numFmtId="0" fontId="30" fillId="4" borderId="27" xfId="0" applyFont="1" applyFill="1" applyBorder="1" applyProtection="1"/>
    <xf numFmtId="0" fontId="36" fillId="0" borderId="25" xfId="0" applyFont="1" applyFill="1" applyBorder="1" applyProtection="1"/>
    <xf numFmtId="0" fontId="36" fillId="0" borderId="26" xfId="0" applyFont="1" applyFill="1" applyBorder="1" applyProtection="1"/>
    <xf numFmtId="0" fontId="36" fillId="0" borderId="27" xfId="0" applyFont="1" applyFill="1" applyBorder="1" applyProtection="1"/>
    <xf numFmtId="0" fontId="31" fillId="4" borderId="17" xfId="0" applyFont="1" applyFill="1" applyBorder="1" applyAlignment="1" applyProtection="1">
      <alignment wrapText="1"/>
    </xf>
    <xf numFmtId="0" fontId="31" fillId="4" borderId="6" xfId="0" applyFont="1" applyFill="1" applyBorder="1" applyAlignment="1" applyProtection="1">
      <alignment wrapText="1"/>
    </xf>
    <xf numFmtId="15" fontId="24" fillId="0" borderId="2" xfId="0" applyNumberFormat="1" applyFont="1" applyFill="1" applyBorder="1" applyAlignment="1" applyProtection="1">
      <alignment horizontal="left"/>
    </xf>
    <xf numFmtId="0" fontId="31" fillId="4" borderId="25" xfId="0" applyFont="1" applyFill="1" applyBorder="1" applyAlignment="1" applyProtection="1">
      <alignment horizontal="left" vertical="center" wrapText="1"/>
    </xf>
    <xf numFmtId="0" fontId="31" fillId="4" borderId="26" xfId="0" applyFont="1" applyFill="1" applyBorder="1" applyAlignment="1" applyProtection="1">
      <alignment horizontal="left" vertical="center" wrapText="1"/>
    </xf>
    <xf numFmtId="0" fontId="31" fillId="4" borderId="27" xfId="0" applyFont="1" applyFill="1" applyBorder="1" applyAlignment="1" applyProtection="1">
      <alignment horizontal="left" vertical="center" wrapText="1"/>
    </xf>
    <xf numFmtId="0" fontId="31" fillId="4" borderId="28" xfId="0" applyFont="1" applyFill="1" applyBorder="1" applyAlignment="1" applyProtection="1">
      <alignment horizontal="left" vertical="center" wrapText="1"/>
    </xf>
    <xf numFmtId="0" fontId="31" fillId="4" borderId="29" xfId="0" applyFont="1" applyFill="1" applyBorder="1" applyAlignment="1" applyProtection="1">
      <alignment horizontal="left" vertical="center" wrapText="1"/>
    </xf>
    <xf numFmtId="0" fontId="31" fillId="4" borderId="30" xfId="0" applyFont="1" applyFill="1" applyBorder="1" applyAlignment="1" applyProtection="1">
      <alignment horizontal="left" vertical="center" wrapText="1"/>
    </xf>
    <xf numFmtId="0" fontId="0" fillId="0" borderId="26" xfId="0" applyBorder="1" applyAlignment="1">
      <alignment vertical="center" wrapText="1"/>
    </xf>
    <xf numFmtId="0" fontId="0" fillId="0" borderId="28" xfId="0" applyBorder="1" applyAlignment="1">
      <alignment vertical="center" wrapText="1"/>
    </xf>
    <xf numFmtId="0" fontId="0" fillId="0" borderId="29" xfId="0" applyBorder="1" applyAlignment="1">
      <alignment vertical="center" wrapText="1"/>
    </xf>
    <xf numFmtId="0" fontId="0" fillId="0" borderId="27" xfId="0" applyBorder="1" applyAlignment="1">
      <alignment vertical="center" wrapText="1"/>
    </xf>
    <xf numFmtId="0" fontId="0" fillId="0" borderId="30" xfId="0" applyBorder="1" applyAlignment="1">
      <alignment vertical="center" wrapText="1"/>
    </xf>
    <xf numFmtId="0" fontId="31" fillId="4" borderId="17" xfId="0" applyFont="1" applyFill="1" applyBorder="1" applyAlignment="1" applyProtection="1">
      <alignment horizontal="left" vertical="center" wrapText="1"/>
    </xf>
    <xf numFmtId="0" fontId="37" fillId="0" borderId="41" xfId="0" applyFont="1" applyBorder="1" applyAlignment="1" applyProtection="1">
      <alignment horizontal="left"/>
      <protection locked="0"/>
    </xf>
    <xf numFmtId="0" fontId="37" fillId="0" borderId="42" xfId="0" applyFont="1" applyBorder="1" applyAlignment="1" applyProtection="1">
      <alignment horizontal="left"/>
      <protection locked="0"/>
    </xf>
    <xf numFmtId="0" fontId="37" fillId="0" borderId="43" xfId="0" applyFont="1" applyBorder="1" applyAlignment="1" applyProtection="1">
      <alignment horizontal="left"/>
      <protection locked="0"/>
    </xf>
    <xf numFmtId="0" fontId="37" fillId="0" borderId="44" xfId="0" applyFont="1" applyBorder="1" applyAlignment="1" applyProtection="1">
      <alignment horizontal="left"/>
      <protection locked="0"/>
    </xf>
    <xf numFmtId="0" fontId="40" fillId="0" borderId="45" xfId="0" applyFont="1" applyBorder="1" applyAlignment="1">
      <alignment horizontal="left"/>
    </xf>
    <xf numFmtId="0" fontId="40" fillId="0" borderId="46" xfId="0" applyFont="1" applyBorder="1" applyAlignment="1">
      <alignment horizontal="left"/>
    </xf>
    <xf numFmtId="0" fontId="17" fillId="5" borderId="47" xfId="0" applyFont="1" applyFill="1" applyBorder="1" applyProtection="1"/>
    <xf numFmtId="0" fontId="17" fillId="5" borderId="48" xfId="0" applyFont="1" applyFill="1" applyBorder="1" applyProtection="1"/>
    <xf numFmtId="0" fontId="17" fillId="5" borderId="49" xfId="0" applyFont="1" applyFill="1" applyBorder="1" applyProtection="1"/>
    <xf numFmtId="0" fontId="4" fillId="4" borderId="4" xfId="0" applyFont="1" applyFill="1" applyBorder="1" applyAlignment="1" applyProtection="1">
      <alignment vertical="center" wrapText="1"/>
    </xf>
    <xf numFmtId="0" fontId="4" fillId="4" borderId="0" xfId="0" applyFont="1" applyFill="1" applyBorder="1" applyAlignment="1" applyProtection="1">
      <alignment vertical="center" wrapText="1"/>
    </xf>
    <xf numFmtId="0" fontId="4" fillId="4" borderId="10" xfId="0" applyFont="1" applyFill="1" applyBorder="1" applyAlignment="1" applyProtection="1">
      <alignment vertical="center" wrapText="1"/>
    </xf>
    <xf numFmtId="0" fontId="4" fillId="4" borderId="28" xfId="0" applyFont="1" applyFill="1" applyBorder="1" applyAlignment="1" applyProtection="1">
      <alignment vertical="center" wrapText="1"/>
    </xf>
    <xf numFmtId="0" fontId="4" fillId="4" borderId="29" xfId="0" applyFont="1" applyFill="1" applyBorder="1" applyAlignment="1" applyProtection="1">
      <alignment vertical="center" wrapText="1"/>
    </xf>
    <xf numFmtId="0" fontId="4" fillId="4" borderId="30" xfId="0" applyFont="1" applyFill="1" applyBorder="1" applyAlignment="1" applyProtection="1">
      <alignment vertical="center" wrapText="1"/>
    </xf>
    <xf numFmtId="0" fontId="37" fillId="0" borderId="50" xfId="0" applyFont="1" applyBorder="1" applyAlignment="1" applyProtection="1">
      <alignment horizontal="left"/>
      <protection locked="0"/>
    </xf>
    <xf numFmtId="0" fontId="37" fillId="0" borderId="51" xfId="0" applyFont="1" applyBorder="1" applyAlignment="1" applyProtection="1">
      <alignment horizontal="left"/>
      <protection locked="0"/>
    </xf>
    <xf numFmtId="0" fontId="37" fillId="0" borderId="52" xfId="0" applyFont="1" applyBorder="1" applyAlignment="1" applyProtection="1">
      <alignment horizontal="left"/>
      <protection locked="0"/>
    </xf>
    <xf numFmtId="0" fontId="50" fillId="0" borderId="53" xfId="1" applyFont="1" applyFill="1" applyBorder="1" applyAlignment="1">
      <alignment horizontal="center"/>
    </xf>
    <xf numFmtId="0" fontId="50" fillId="0" borderId="54" xfId="1" applyFont="1" applyFill="1" applyBorder="1" applyAlignment="1">
      <alignment horizontal="center"/>
    </xf>
    <xf numFmtId="0" fontId="50" fillId="0" borderId="55" xfId="1" applyFont="1" applyFill="1" applyBorder="1" applyAlignment="1">
      <alignment horizontal="center"/>
    </xf>
    <xf numFmtId="0" fontId="61" fillId="0" borderId="17" xfId="1" applyFont="1" applyFill="1" applyBorder="1" applyAlignment="1">
      <alignment horizontal="left" vertical="top" wrapText="1"/>
    </xf>
    <xf numFmtId="0" fontId="61" fillId="0" borderId="56" xfId="1" applyFont="1" applyFill="1" applyBorder="1" applyAlignment="1">
      <alignment horizontal="left" vertical="top" wrapText="1"/>
    </xf>
    <xf numFmtId="0" fontId="61" fillId="0" borderId="16" xfId="1" applyFont="1" applyFill="1" applyBorder="1" applyAlignment="1">
      <alignment horizontal="center" vertical="top"/>
    </xf>
    <xf numFmtId="0" fontId="61" fillId="0" borderId="24" xfId="1" applyFont="1" applyFill="1" applyBorder="1" applyAlignment="1">
      <alignment horizontal="center" vertical="top"/>
    </xf>
    <xf numFmtId="0" fontId="59" fillId="0" borderId="19" xfId="1" applyFont="1" applyFill="1" applyBorder="1" applyAlignment="1">
      <alignment horizontal="left" vertical="center"/>
    </xf>
    <xf numFmtId="0" fontId="59" fillId="0" borderId="17" xfId="1" applyFont="1" applyFill="1" applyBorder="1" applyAlignment="1">
      <alignment horizontal="left" vertical="center"/>
    </xf>
    <xf numFmtId="0" fontId="59" fillId="0" borderId="16" xfId="1" applyFont="1" applyFill="1" applyBorder="1" applyAlignment="1">
      <alignment horizontal="left" vertical="center"/>
    </xf>
    <xf numFmtId="0" fontId="50" fillId="0" borderId="53" xfId="1" applyFont="1" applyFill="1" applyBorder="1" applyAlignment="1">
      <alignment horizontal="center" vertical="center"/>
    </xf>
    <xf numFmtId="0" fontId="50" fillId="0" borderId="54" xfId="1" applyFont="1" applyFill="1" applyBorder="1" applyAlignment="1">
      <alignment horizontal="center" vertical="center"/>
    </xf>
    <xf numFmtId="0" fontId="50" fillId="0" borderId="57" xfId="1" applyFont="1" applyFill="1" applyBorder="1" applyAlignment="1">
      <alignment horizontal="center" vertical="center"/>
    </xf>
    <xf numFmtId="0" fontId="50" fillId="0" borderId="57" xfId="1" applyFont="1" applyFill="1" applyBorder="1" applyAlignment="1">
      <alignment horizontal="center"/>
    </xf>
    <xf numFmtId="0" fontId="60" fillId="0" borderId="53" xfId="1" applyFont="1" applyFill="1" applyBorder="1" applyAlignment="1">
      <alignment horizontal="center" vertical="center"/>
    </xf>
    <xf numFmtId="0" fontId="60" fillId="0" borderId="54" xfId="1" applyFont="1" applyFill="1" applyBorder="1" applyAlignment="1">
      <alignment horizontal="center" vertical="center"/>
    </xf>
    <xf numFmtId="0" fontId="60" fillId="0" borderId="57" xfId="1" applyFont="1" applyFill="1" applyBorder="1" applyAlignment="1">
      <alignment horizontal="center" vertical="center"/>
    </xf>
    <xf numFmtId="0" fontId="64" fillId="7" borderId="47" xfId="1" applyFont="1" applyFill="1" applyBorder="1" applyAlignment="1">
      <alignment horizontal="right" vertical="center" wrapText="1"/>
    </xf>
    <xf numFmtId="0" fontId="64" fillId="7" borderId="48" xfId="1" applyFont="1" applyFill="1" applyBorder="1" applyAlignment="1">
      <alignment horizontal="right" vertical="center" wrapText="1"/>
    </xf>
    <xf numFmtId="0" fontId="64" fillId="7" borderId="49" xfId="1" applyFont="1" applyFill="1" applyBorder="1" applyAlignment="1">
      <alignment horizontal="right" vertical="center" wrapText="1"/>
    </xf>
    <xf numFmtId="0" fontId="50" fillId="4" borderId="31" xfId="1" applyFont="1" applyFill="1" applyBorder="1" applyAlignment="1">
      <alignment horizontal="center" vertical="center" wrapText="1"/>
    </xf>
    <xf numFmtId="0" fontId="50" fillId="4" borderId="32" xfId="1" applyFont="1" applyFill="1" applyBorder="1" applyAlignment="1">
      <alignment horizontal="center" vertical="center" wrapText="1"/>
    </xf>
    <xf numFmtId="0" fontId="50" fillId="4" borderId="33" xfId="1" applyFont="1" applyFill="1" applyBorder="1" applyAlignment="1">
      <alignment horizontal="center" vertical="center" wrapText="1"/>
    </xf>
    <xf numFmtId="0" fontId="50" fillId="4" borderId="3" xfId="1" applyFont="1" applyFill="1" applyBorder="1" applyAlignment="1">
      <alignment horizontal="center" vertical="center" wrapText="1"/>
    </xf>
    <xf numFmtId="0" fontId="50" fillId="4" borderId="0" xfId="1" applyFont="1" applyFill="1" applyBorder="1" applyAlignment="1">
      <alignment horizontal="center" vertical="center" wrapText="1"/>
    </xf>
    <xf numFmtId="0" fontId="50" fillId="4" borderId="5" xfId="1" applyFont="1" applyFill="1" applyBorder="1" applyAlignment="1">
      <alignment horizontal="center" vertical="center" wrapText="1"/>
    </xf>
    <xf numFmtId="0" fontId="50" fillId="4" borderId="40" xfId="1" applyFont="1" applyFill="1" applyBorder="1" applyAlignment="1">
      <alignment horizontal="center" vertical="center" wrapText="1"/>
    </xf>
    <xf numFmtId="0" fontId="50" fillId="4" borderId="11" xfId="1" applyFont="1" applyFill="1" applyBorder="1" applyAlignment="1">
      <alignment horizontal="center" vertical="center" wrapText="1"/>
    </xf>
    <xf numFmtId="0" fontId="50" fillId="4" borderId="36" xfId="1" applyFont="1" applyFill="1" applyBorder="1" applyAlignment="1">
      <alignment horizontal="center" vertical="center" wrapText="1"/>
    </xf>
    <xf numFmtId="0" fontId="59" fillId="0" borderId="0" xfId="1" applyFont="1" applyFill="1" applyBorder="1" applyAlignment="1">
      <alignment horizontal="center" vertical="center"/>
    </xf>
    <xf numFmtId="0" fontId="56" fillId="0" borderId="17" xfId="1" applyFont="1" applyFill="1" applyBorder="1" applyAlignment="1">
      <alignment horizontal="center" vertical="center"/>
    </xf>
    <xf numFmtId="0" fontId="50" fillId="0" borderId="20" xfId="1" applyFont="1" applyBorder="1" applyAlignment="1">
      <alignment horizontal="center" vertical="center" wrapText="1"/>
    </xf>
    <xf numFmtId="0" fontId="50" fillId="0" borderId="21" xfId="1" applyFont="1" applyBorder="1" applyAlignment="1">
      <alignment horizontal="center" vertical="center" wrapText="1"/>
    </xf>
    <xf numFmtId="0" fontId="50" fillId="0" borderId="22" xfId="1" applyFont="1" applyBorder="1" applyAlignment="1">
      <alignment horizontal="center" vertical="center" wrapText="1"/>
    </xf>
    <xf numFmtId="0" fontId="50" fillId="0" borderId="20" xfId="1" applyFont="1" applyBorder="1" applyAlignment="1">
      <alignment vertical="center" wrapText="1"/>
    </xf>
    <xf numFmtId="0" fontId="50" fillId="0" borderId="21" xfId="1" applyFont="1" applyBorder="1" applyAlignment="1">
      <alignment vertical="center" wrapText="1"/>
    </xf>
    <xf numFmtId="0" fontId="50" fillId="0" borderId="22" xfId="1" applyFont="1" applyBorder="1" applyAlignment="1">
      <alignment vertical="center" wrapText="1"/>
    </xf>
    <xf numFmtId="0" fontId="56" fillId="0" borderId="0" xfId="1" applyFont="1" applyAlignment="1">
      <alignment horizontal="center" vertical="center"/>
    </xf>
    <xf numFmtId="0" fontId="62" fillId="5" borderId="20" xfId="1" applyFont="1" applyFill="1" applyBorder="1" applyAlignment="1">
      <alignment horizontal="center" vertical="center" wrapText="1"/>
    </xf>
    <xf numFmtId="0" fontId="62" fillId="5" borderId="21" xfId="1" applyFont="1" applyFill="1" applyBorder="1" applyAlignment="1">
      <alignment horizontal="center" vertical="center" wrapText="1"/>
    </xf>
    <xf numFmtId="0" fontId="62" fillId="5" borderId="22" xfId="1" applyFont="1" applyFill="1" applyBorder="1" applyAlignment="1">
      <alignment horizontal="center" vertical="center" wrapText="1"/>
    </xf>
    <xf numFmtId="0" fontId="63" fillId="5" borderId="20" xfId="1" applyFont="1" applyFill="1" applyBorder="1" applyAlignment="1">
      <alignment horizontal="center" vertical="center" wrapText="1"/>
    </xf>
    <xf numFmtId="0" fontId="63" fillId="5" borderId="21" xfId="1" applyFont="1" applyFill="1" applyBorder="1" applyAlignment="1">
      <alignment horizontal="center" vertical="center" wrapText="1"/>
    </xf>
    <xf numFmtId="0" fontId="63" fillId="5" borderId="22" xfId="1" applyFont="1" applyFill="1" applyBorder="1" applyAlignment="1">
      <alignment horizontal="center" vertical="center" wrapText="1"/>
    </xf>
    <xf numFmtId="0" fontId="50" fillId="0" borderId="31" xfId="1" applyFont="1" applyBorder="1" applyAlignment="1">
      <alignment horizontal="center" vertical="center" wrapText="1"/>
    </xf>
    <xf numFmtId="0" fontId="50" fillId="0" borderId="32" xfId="1" applyFont="1" applyBorder="1" applyAlignment="1">
      <alignment horizontal="center" vertical="center" wrapText="1"/>
    </xf>
    <xf numFmtId="0" fontId="50" fillId="0" borderId="33" xfId="1" applyFont="1" applyBorder="1" applyAlignment="1">
      <alignment horizontal="center" vertical="center" wrapText="1"/>
    </xf>
    <xf numFmtId="0" fontId="50" fillId="0" borderId="3" xfId="1" applyFont="1" applyBorder="1" applyAlignment="1">
      <alignment horizontal="center" vertical="center" wrapText="1"/>
    </xf>
    <xf numFmtId="0" fontId="50" fillId="0" borderId="0" xfId="1" applyFont="1" applyBorder="1" applyAlignment="1">
      <alignment horizontal="center" vertical="center" wrapText="1"/>
    </xf>
    <xf numFmtId="0" fontId="50" fillId="0" borderId="5" xfId="1" applyFont="1" applyBorder="1" applyAlignment="1">
      <alignment horizontal="center" vertical="center" wrapText="1"/>
    </xf>
    <xf numFmtId="0" fontId="50" fillId="0" borderId="40" xfId="1" applyFont="1" applyBorder="1" applyAlignment="1">
      <alignment horizontal="center" vertical="center" wrapText="1"/>
    </xf>
    <xf numFmtId="0" fontId="50" fillId="0" borderId="11" xfId="1" applyFont="1" applyBorder="1" applyAlignment="1">
      <alignment horizontal="center" vertical="center" wrapText="1"/>
    </xf>
    <xf numFmtId="0" fontId="50" fillId="0" borderId="36" xfId="1" applyFont="1" applyBorder="1" applyAlignment="1">
      <alignment horizontal="center" vertical="center" wrapText="1"/>
    </xf>
    <xf numFmtId="0" fontId="50" fillId="0" borderId="0" xfId="1" applyFont="1" applyAlignment="1">
      <alignment vertical="center" wrapText="1"/>
    </xf>
    <xf numFmtId="0" fontId="0" fillId="0" borderId="0" xfId="0" applyAlignment="1">
      <alignment wrapText="1"/>
    </xf>
    <xf numFmtId="0" fontId="61" fillId="0" borderId="15" xfId="1" applyFont="1" applyFill="1" applyBorder="1" applyAlignment="1">
      <alignment horizontal="center" vertical="top"/>
    </xf>
    <xf numFmtId="0" fontId="61" fillId="0" borderId="31" xfId="1" applyFont="1" applyFill="1" applyBorder="1" applyAlignment="1">
      <alignment horizontal="center" vertical="top" wrapText="1"/>
    </xf>
    <xf numFmtId="0" fontId="61" fillId="0" borderId="58" xfId="1" applyFont="1" applyFill="1" applyBorder="1" applyAlignment="1">
      <alignment horizontal="center" vertical="top" wrapText="1"/>
    </xf>
    <xf numFmtId="0" fontId="61" fillId="0" borderId="3" xfId="1" applyFont="1" applyFill="1" applyBorder="1" applyAlignment="1">
      <alignment horizontal="center" vertical="top" wrapText="1"/>
    </xf>
    <xf numFmtId="0" fontId="61" fillId="0" borderId="10" xfId="1" applyFont="1" applyFill="1" applyBorder="1" applyAlignment="1">
      <alignment horizontal="center" vertical="top" wrapText="1"/>
    </xf>
    <xf numFmtId="0" fontId="61" fillId="0" borderId="40" xfId="1" applyFont="1" applyFill="1" applyBorder="1" applyAlignment="1">
      <alignment horizontal="center" vertical="top" wrapText="1"/>
    </xf>
    <xf numFmtId="0" fontId="61" fillId="0" borderId="59" xfId="1" applyFont="1" applyFill="1" applyBorder="1" applyAlignment="1">
      <alignment horizontal="center" vertical="top" wrapText="1"/>
    </xf>
  </cellXfs>
  <cellStyles count="4">
    <cellStyle name="Normal 2" xfId="1"/>
    <cellStyle name="Normal 2 6" xfId="2"/>
    <cellStyle name="Гиперссылка" xfId="3" builtinId="8"/>
    <cellStyle name="Обычный" xfId="0" builtinId="0"/>
  </cellStyles>
  <dxfs count="12">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emf"/><Relationship Id="rId1" Type="http://schemas.openxmlformats.org/officeDocument/2006/relationships/image" Target="../media/image1.jpeg"/><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_rels/drawing2.xml.rels><?xml version="1.0" encoding="UTF-8" standalone="yes"?>
<Relationships xmlns="http://schemas.openxmlformats.org/package/2006/relationships"><Relationship Id="rId2" Type="http://schemas.openxmlformats.org/officeDocument/2006/relationships/image" Target="../media/image16.emf"/><Relationship Id="rId1" Type="http://schemas.openxmlformats.org/officeDocument/2006/relationships/image" Target="../media/image15.emf"/></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157942</xdr:colOff>
      <xdr:row>2</xdr:row>
      <xdr:rowOff>74815</xdr:rowOff>
    </xdr:from>
    <xdr:to>
      <xdr:col>15</xdr:col>
      <xdr:colOff>149629</xdr:colOff>
      <xdr:row>6</xdr:row>
      <xdr:rowOff>58189</xdr:rowOff>
    </xdr:to>
    <xdr:pic>
      <xdr:nvPicPr>
        <xdr:cNvPr id="5346" name="Picture 1" descr="LOGO-SMIT.JPG"/>
        <xdr:cNvPicPr>
          <a:picLocks noChangeAspect="1"/>
        </xdr:cNvPicPr>
      </xdr:nvPicPr>
      <xdr:blipFill>
        <a:blip xmlns:r="http://schemas.openxmlformats.org/officeDocument/2006/relationships" r:embed="rId1" cstate="print"/>
        <a:srcRect r="62125" b="20952"/>
        <a:stretch>
          <a:fillRect/>
        </a:stretch>
      </xdr:blipFill>
      <xdr:spPr bwMode="auto">
        <a:xfrm>
          <a:off x="1088967" y="216131"/>
          <a:ext cx="1820488" cy="781396"/>
        </a:xfrm>
        <a:prstGeom prst="rect">
          <a:avLst/>
        </a:prstGeom>
        <a:noFill/>
        <a:ln w="9525">
          <a:noFill/>
          <a:miter lim="800000"/>
          <a:headEnd/>
          <a:tailEnd/>
        </a:ln>
      </xdr:spPr>
    </xdr:pic>
    <xdr:clientData/>
  </xdr:twoCellAnchor>
  <xdr:twoCellAnchor editAs="oneCell">
    <xdr:from>
      <xdr:col>8</xdr:col>
      <xdr:colOff>28575</xdr:colOff>
      <xdr:row>13</xdr:row>
      <xdr:rowOff>28575</xdr:rowOff>
    </xdr:from>
    <xdr:to>
      <xdr:col>17</xdr:col>
      <xdr:colOff>161925</xdr:colOff>
      <xdr:row>14</xdr:row>
      <xdr:rowOff>0</xdr:rowOff>
    </xdr:to>
    <xdr:pic>
      <xdr:nvPicPr>
        <xdr:cNvPr id="1038" name="cmbRank"/>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885950"/>
          <a:ext cx="1762125" cy="2286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25</xdr:col>
      <xdr:colOff>28575</xdr:colOff>
      <xdr:row>13</xdr:row>
      <xdr:rowOff>28575</xdr:rowOff>
    </xdr:from>
    <xdr:to>
      <xdr:col>28</xdr:col>
      <xdr:colOff>123825</xdr:colOff>
      <xdr:row>14</xdr:row>
      <xdr:rowOff>0</xdr:rowOff>
    </xdr:to>
    <xdr:pic>
      <xdr:nvPicPr>
        <xdr:cNvPr id="1039" name="cmbDay"/>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72000" y="1885950"/>
          <a:ext cx="638175" cy="2286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28</xdr:col>
      <xdr:colOff>152400</xdr:colOff>
      <xdr:row>13</xdr:row>
      <xdr:rowOff>28575</xdr:rowOff>
    </xdr:from>
    <xdr:to>
      <xdr:col>33</xdr:col>
      <xdr:colOff>28575</xdr:colOff>
      <xdr:row>13</xdr:row>
      <xdr:rowOff>247650</xdr:rowOff>
    </xdr:to>
    <xdr:pic>
      <xdr:nvPicPr>
        <xdr:cNvPr id="1040" name="cmbMonth"/>
        <xdr:cNvPicPr preferRelativeResize="0">
          <a:picLocks noChangeArrowheads="1" noChangeShapeType="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238750" y="1885950"/>
          <a:ext cx="914400" cy="21907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33</xdr:col>
      <xdr:colOff>38100</xdr:colOff>
      <xdr:row>13</xdr:row>
      <xdr:rowOff>28575</xdr:rowOff>
    </xdr:from>
    <xdr:to>
      <xdr:col>36</xdr:col>
      <xdr:colOff>142875</xdr:colOff>
      <xdr:row>13</xdr:row>
      <xdr:rowOff>247650</xdr:rowOff>
    </xdr:to>
    <xdr:pic>
      <xdr:nvPicPr>
        <xdr:cNvPr id="1041" name="cmbYear"/>
        <xdr:cNvPicPr preferRelativeResize="0">
          <a:picLocks noChangeArrowheads="1" noChangeShapeType="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162675" y="1885950"/>
          <a:ext cx="647700" cy="21907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142875</xdr:colOff>
      <xdr:row>8</xdr:row>
      <xdr:rowOff>161925</xdr:rowOff>
    </xdr:from>
    <xdr:to>
      <xdr:col>20</xdr:col>
      <xdr:colOff>161925</xdr:colOff>
      <xdr:row>11</xdr:row>
      <xdr:rowOff>0</xdr:rowOff>
    </xdr:to>
    <xdr:pic>
      <xdr:nvPicPr>
        <xdr:cNvPr id="1343" name="cmbVerify"/>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514600" y="1390650"/>
          <a:ext cx="1285875" cy="2667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fPrintsWithSheet="0"/>
  </xdr:twoCellAnchor>
  <xdr:twoCellAnchor editAs="oneCell">
    <xdr:from>
      <xdr:col>6</xdr:col>
      <xdr:colOff>123825</xdr:colOff>
      <xdr:row>8</xdr:row>
      <xdr:rowOff>161925</xdr:rowOff>
    </xdr:from>
    <xdr:to>
      <xdr:col>13</xdr:col>
      <xdr:colOff>142875</xdr:colOff>
      <xdr:row>11</xdr:row>
      <xdr:rowOff>0</xdr:rowOff>
    </xdr:to>
    <xdr:pic>
      <xdr:nvPicPr>
        <xdr:cNvPr id="1344" name="cmdOption"/>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28725" y="1390650"/>
          <a:ext cx="1285875" cy="2667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fPrintsWithSheet="0"/>
  </xdr:twoCellAnchor>
  <xdr:twoCellAnchor editAs="oneCell">
    <xdr:from>
      <xdr:col>27</xdr:col>
      <xdr:colOff>38100</xdr:colOff>
      <xdr:row>1</xdr:row>
      <xdr:rowOff>0</xdr:rowOff>
    </xdr:from>
    <xdr:to>
      <xdr:col>36</xdr:col>
      <xdr:colOff>133350</xdr:colOff>
      <xdr:row>8</xdr:row>
      <xdr:rowOff>171450</xdr:rowOff>
    </xdr:to>
    <xdr:pic>
      <xdr:nvPicPr>
        <xdr:cNvPr id="1345" name="ImgPhoto"/>
        <xdr:cNvPicPr preferRelativeResize="0">
          <a:picLocks noChangeArrowheads="1" noChangeShapeType="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943475" y="0"/>
          <a:ext cx="1857375" cy="140017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27</xdr:col>
      <xdr:colOff>19050</xdr:colOff>
      <xdr:row>8</xdr:row>
      <xdr:rowOff>161925</xdr:rowOff>
    </xdr:from>
    <xdr:to>
      <xdr:col>31</xdr:col>
      <xdr:colOff>104775</xdr:colOff>
      <xdr:row>11</xdr:row>
      <xdr:rowOff>0</xdr:rowOff>
    </xdr:to>
    <xdr:pic>
      <xdr:nvPicPr>
        <xdr:cNvPr id="1347" name="cmdPhoto"/>
        <xdr:cNvPicPr preferRelativeResize="0">
          <a:picLocks noChangeArrowheads="1" noChangeShapeType="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924425" y="1390650"/>
          <a:ext cx="876300" cy="2667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fPrintsWithSheet="0"/>
  </xdr:twoCellAnchor>
  <xdr:twoCellAnchor editAs="oneCell">
    <xdr:from>
      <xdr:col>33</xdr:col>
      <xdr:colOff>85725</xdr:colOff>
      <xdr:row>15</xdr:row>
      <xdr:rowOff>28575</xdr:rowOff>
    </xdr:from>
    <xdr:to>
      <xdr:col>36</xdr:col>
      <xdr:colOff>142875</xdr:colOff>
      <xdr:row>15</xdr:row>
      <xdr:rowOff>238125</xdr:rowOff>
    </xdr:to>
    <xdr:pic>
      <xdr:nvPicPr>
        <xdr:cNvPr id="1387" name="ComboBox1"/>
        <xdr:cNvPicPr preferRelativeResize="0">
          <a:picLocks noChangeArrowheads="1" noChangeShapeType="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210300" y="2190750"/>
          <a:ext cx="600075" cy="20955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33</xdr:col>
      <xdr:colOff>76200</xdr:colOff>
      <xdr:row>19</xdr:row>
      <xdr:rowOff>28575</xdr:rowOff>
    </xdr:from>
    <xdr:to>
      <xdr:col>36</xdr:col>
      <xdr:colOff>133350</xdr:colOff>
      <xdr:row>19</xdr:row>
      <xdr:rowOff>238125</xdr:rowOff>
    </xdr:to>
    <xdr:pic>
      <xdr:nvPicPr>
        <xdr:cNvPr id="1388" name="ComboBox2"/>
        <xdr:cNvPicPr preferRelativeResize="0">
          <a:picLocks noChangeArrowheads="1" noChangeShapeType="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200775" y="2800350"/>
          <a:ext cx="600075" cy="20955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12</xdr:col>
      <xdr:colOff>0</xdr:colOff>
      <xdr:row>30</xdr:row>
      <xdr:rowOff>28575</xdr:rowOff>
    </xdr:from>
    <xdr:to>
      <xdr:col>24</xdr:col>
      <xdr:colOff>152400</xdr:colOff>
      <xdr:row>30</xdr:row>
      <xdr:rowOff>238125</xdr:rowOff>
    </xdr:to>
    <xdr:pic>
      <xdr:nvPicPr>
        <xdr:cNvPr id="1531" name="chkSame"/>
        <xdr:cNvPicPr preferRelativeResize="0">
          <a:picLocks noChangeArrowheads="1" noChangeShapeType="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190750" y="4495800"/>
          <a:ext cx="2324100" cy="20955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33</xdr:col>
      <xdr:colOff>95250</xdr:colOff>
      <xdr:row>62</xdr:row>
      <xdr:rowOff>28575</xdr:rowOff>
    </xdr:from>
    <xdr:to>
      <xdr:col>36</xdr:col>
      <xdr:colOff>152400</xdr:colOff>
      <xdr:row>62</xdr:row>
      <xdr:rowOff>238125</xdr:rowOff>
    </xdr:to>
    <xdr:pic>
      <xdr:nvPicPr>
        <xdr:cNvPr id="1576" name="ComboBox4"/>
        <xdr:cNvPicPr preferRelativeResize="0">
          <a:picLocks noChangeArrowheads="1" noChangeShapeType="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219825" y="9296400"/>
          <a:ext cx="600075" cy="20955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33</xdr:col>
      <xdr:colOff>95250</xdr:colOff>
      <xdr:row>158</xdr:row>
      <xdr:rowOff>28575</xdr:rowOff>
    </xdr:from>
    <xdr:to>
      <xdr:col>36</xdr:col>
      <xdr:colOff>142875</xdr:colOff>
      <xdr:row>158</xdr:row>
      <xdr:rowOff>228600</xdr:rowOff>
    </xdr:to>
    <xdr:pic>
      <xdr:nvPicPr>
        <xdr:cNvPr id="1578" name="ComboBox6"/>
        <xdr:cNvPicPr preferRelativeResize="0">
          <a:picLocks noChangeArrowheads="1" noChangeShapeType="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219825" y="23707725"/>
          <a:ext cx="590550" cy="2000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33</xdr:col>
      <xdr:colOff>95250</xdr:colOff>
      <xdr:row>162</xdr:row>
      <xdr:rowOff>28575</xdr:rowOff>
    </xdr:from>
    <xdr:to>
      <xdr:col>36</xdr:col>
      <xdr:colOff>142875</xdr:colOff>
      <xdr:row>162</xdr:row>
      <xdr:rowOff>228600</xdr:rowOff>
    </xdr:to>
    <xdr:pic>
      <xdr:nvPicPr>
        <xdr:cNvPr id="1580" name="ComboBox8"/>
        <xdr:cNvPicPr preferRelativeResize="0">
          <a:picLocks noChangeArrowheads="1" noChangeShapeType="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219825" y="24479250"/>
          <a:ext cx="590550" cy="2000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33</xdr:col>
      <xdr:colOff>85725</xdr:colOff>
      <xdr:row>166</xdr:row>
      <xdr:rowOff>28575</xdr:rowOff>
    </xdr:from>
    <xdr:to>
      <xdr:col>36</xdr:col>
      <xdr:colOff>133350</xdr:colOff>
      <xdr:row>166</xdr:row>
      <xdr:rowOff>228600</xdr:rowOff>
    </xdr:to>
    <xdr:pic>
      <xdr:nvPicPr>
        <xdr:cNvPr id="1582" name="ComboBox10"/>
        <xdr:cNvPicPr preferRelativeResize="0">
          <a:picLocks noChangeArrowheads="1" noChangeShapeType="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210300" y="25250775"/>
          <a:ext cx="590550" cy="2000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33</xdr:col>
      <xdr:colOff>95250</xdr:colOff>
      <xdr:row>170</xdr:row>
      <xdr:rowOff>28575</xdr:rowOff>
    </xdr:from>
    <xdr:to>
      <xdr:col>36</xdr:col>
      <xdr:colOff>142875</xdr:colOff>
      <xdr:row>170</xdr:row>
      <xdr:rowOff>228600</xdr:rowOff>
    </xdr:to>
    <xdr:pic>
      <xdr:nvPicPr>
        <xdr:cNvPr id="1584" name="ComboBox12"/>
        <xdr:cNvPicPr preferRelativeResize="0">
          <a:picLocks noChangeArrowheads="1" noChangeShapeType="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219825" y="26022300"/>
          <a:ext cx="590550" cy="2000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33</xdr:col>
      <xdr:colOff>85725</xdr:colOff>
      <xdr:row>175</xdr:row>
      <xdr:rowOff>28575</xdr:rowOff>
    </xdr:from>
    <xdr:to>
      <xdr:col>36</xdr:col>
      <xdr:colOff>133350</xdr:colOff>
      <xdr:row>175</xdr:row>
      <xdr:rowOff>228600</xdr:rowOff>
    </xdr:to>
    <xdr:pic>
      <xdr:nvPicPr>
        <xdr:cNvPr id="1588" name="ComboBox14"/>
        <xdr:cNvPicPr preferRelativeResize="0">
          <a:picLocks noChangeArrowheads="1" noChangeShapeType="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210300" y="26955750"/>
          <a:ext cx="590550" cy="2000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33</xdr:col>
      <xdr:colOff>85725</xdr:colOff>
      <xdr:row>179</xdr:row>
      <xdr:rowOff>28575</xdr:rowOff>
    </xdr:from>
    <xdr:to>
      <xdr:col>36</xdr:col>
      <xdr:colOff>133350</xdr:colOff>
      <xdr:row>179</xdr:row>
      <xdr:rowOff>228600</xdr:rowOff>
    </xdr:to>
    <xdr:pic>
      <xdr:nvPicPr>
        <xdr:cNvPr id="1590" name="ComboBox16"/>
        <xdr:cNvPicPr preferRelativeResize="0">
          <a:picLocks noChangeArrowheads="1" noChangeShapeType="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210300" y="27727275"/>
          <a:ext cx="590550" cy="2000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33</xdr:col>
      <xdr:colOff>85725</xdr:colOff>
      <xdr:row>195</xdr:row>
      <xdr:rowOff>66675</xdr:rowOff>
    </xdr:from>
    <xdr:to>
      <xdr:col>36</xdr:col>
      <xdr:colOff>133350</xdr:colOff>
      <xdr:row>195</xdr:row>
      <xdr:rowOff>266700</xdr:rowOff>
    </xdr:to>
    <xdr:pic>
      <xdr:nvPicPr>
        <xdr:cNvPr id="1592" name="ComboBox17"/>
        <xdr:cNvPicPr preferRelativeResize="0">
          <a:picLocks noChangeArrowheads="1" noChangeShapeType="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210300" y="30308550"/>
          <a:ext cx="590550" cy="2000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31</xdr:col>
      <xdr:colOff>114300</xdr:colOff>
      <xdr:row>8</xdr:row>
      <xdr:rowOff>161925</xdr:rowOff>
    </xdr:from>
    <xdr:to>
      <xdr:col>36</xdr:col>
      <xdr:colOff>152400</xdr:colOff>
      <xdr:row>11</xdr:row>
      <xdr:rowOff>0</xdr:rowOff>
    </xdr:to>
    <xdr:pic>
      <xdr:nvPicPr>
        <xdr:cNvPr id="1619" name="cmdRemove"/>
        <xdr:cNvPicPr preferRelativeResize="0">
          <a:picLocks noChangeArrowheads="1" noChangeShapeType="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810250" y="1390650"/>
          <a:ext cx="1009650" cy="2667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fPrintsWithSheet="0"/>
  </xdr:twoCellAnchor>
  <xdr:twoCellAnchor editAs="oneCell">
    <xdr:from>
      <xdr:col>1</xdr:col>
      <xdr:colOff>0</xdr:colOff>
      <xdr:row>83</xdr:row>
      <xdr:rowOff>0</xdr:rowOff>
    </xdr:from>
    <xdr:to>
      <xdr:col>8</xdr:col>
      <xdr:colOff>0</xdr:colOff>
      <xdr:row>84</xdr:row>
      <xdr:rowOff>0</xdr:rowOff>
    </xdr:to>
    <xdr:pic>
      <xdr:nvPicPr>
        <xdr:cNvPr id="1961" name="cmbbox" hidden="1"/>
        <xdr:cNvPicPr preferRelativeResize="0">
          <a:picLocks noChangeArrowheads="1" noChangeShapeType="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38125" y="12506325"/>
          <a:ext cx="1228725" cy="1619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1">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9525</xdr:colOff>
      <xdr:row>2</xdr:row>
      <xdr:rowOff>85725</xdr:rowOff>
    </xdr:from>
    <xdr:to>
      <xdr:col>28</xdr:col>
      <xdr:colOff>66675</xdr:colOff>
      <xdr:row>3</xdr:row>
      <xdr:rowOff>190500</xdr:rowOff>
    </xdr:to>
    <xdr:pic>
      <xdr:nvPicPr>
        <xdr:cNvPr id="4100" name="cmbPrintPage"/>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0" y="561975"/>
          <a:ext cx="1323975" cy="2667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fPrintsWithSheet="0"/>
  </xdr:twoCellAnchor>
  <xdr:twoCellAnchor editAs="oneCell">
    <xdr:from>
      <xdr:col>28</xdr:col>
      <xdr:colOff>57150</xdr:colOff>
      <xdr:row>2</xdr:row>
      <xdr:rowOff>85725</xdr:rowOff>
    </xdr:from>
    <xdr:to>
      <xdr:col>35</xdr:col>
      <xdr:colOff>123825</xdr:colOff>
      <xdr:row>3</xdr:row>
      <xdr:rowOff>190500</xdr:rowOff>
    </xdr:to>
    <xdr:pic>
      <xdr:nvPicPr>
        <xdr:cNvPr id="4101" name="cmdBackToForm"/>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24450" y="561975"/>
          <a:ext cx="1333500" cy="2667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0</xdr:col>
      <xdr:colOff>74815</xdr:colOff>
      <xdr:row>0</xdr:row>
      <xdr:rowOff>49876</xdr:rowOff>
    </xdr:from>
    <xdr:to>
      <xdr:col>1</xdr:col>
      <xdr:colOff>1163782</xdr:colOff>
      <xdr:row>0</xdr:row>
      <xdr:rowOff>839585</xdr:rowOff>
    </xdr:to>
    <xdr:pic>
      <xdr:nvPicPr>
        <xdr:cNvPr id="7240" name="Picture 1" descr="LOGO-SMIT.JPG"/>
        <xdr:cNvPicPr>
          <a:picLocks noChangeAspect="1"/>
        </xdr:cNvPicPr>
      </xdr:nvPicPr>
      <xdr:blipFill>
        <a:blip xmlns:r="http://schemas.openxmlformats.org/officeDocument/2006/relationships" r:embed="rId1" cstate="print"/>
        <a:srcRect r="62125" b="20952"/>
        <a:stretch>
          <a:fillRect/>
        </a:stretch>
      </xdr:blipFill>
      <xdr:spPr bwMode="auto">
        <a:xfrm>
          <a:off x="74815" y="49876"/>
          <a:ext cx="1803861" cy="78970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108065</xdr:colOff>
      <xdr:row>0</xdr:row>
      <xdr:rowOff>49876</xdr:rowOff>
    </xdr:from>
    <xdr:to>
      <xdr:col>1</xdr:col>
      <xdr:colOff>1629295</xdr:colOff>
      <xdr:row>0</xdr:row>
      <xdr:rowOff>839585</xdr:rowOff>
    </xdr:to>
    <xdr:pic>
      <xdr:nvPicPr>
        <xdr:cNvPr id="8193" name="Picture 1" descr="LOGO-SMIT.JPG"/>
        <xdr:cNvPicPr>
          <a:picLocks noChangeAspect="1"/>
        </xdr:cNvPicPr>
      </xdr:nvPicPr>
      <xdr:blipFill>
        <a:blip xmlns:r="http://schemas.openxmlformats.org/officeDocument/2006/relationships" r:embed="rId1" cstate="print"/>
        <a:srcRect r="62125" b="20952"/>
        <a:stretch>
          <a:fillRect/>
        </a:stretch>
      </xdr:blipFill>
      <xdr:spPr bwMode="auto">
        <a:xfrm>
          <a:off x="108065" y="49876"/>
          <a:ext cx="1795550" cy="78970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bounin/AppData/Local/Microsoft/Windows/INetCache/Content.Outlook/Q0NY8IEE/additional%20info%20for%20CV%20Shipm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join medical questionnaire "/>
      <sheetName val="Bank details"/>
      <sheetName val="nomination form "/>
    </sheetNames>
    <sheetDataSet>
      <sheetData sheetId="0"/>
      <sheetData sheetId="1"/>
      <sheetData sheetId="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indexed="12"/>
  </sheetPr>
  <dimension ref="A1:FF482"/>
  <sheetViews>
    <sheetView showGridLines="0" showZeros="0" tabSelected="1" showOutlineSymbols="0" view="pageLayout" topLeftCell="A2" zoomScaleNormal="100" workbookViewId="0">
      <selection activeCell="AA25" sqref="AA25:AD25"/>
    </sheetView>
  </sheetViews>
  <sheetFormatPr defaultColWidth="9.140625" defaultRowHeight="12.75" x14ac:dyDescent="0.2"/>
  <cols>
    <col min="1" max="1" width="3.5703125" style="21" customWidth="1"/>
    <col min="2" max="3" width="2.7109375" style="21" customWidth="1"/>
    <col min="4" max="4" width="2.140625" style="21" customWidth="1"/>
    <col min="5" max="29" width="2.7109375" style="21" customWidth="1"/>
    <col min="30" max="30" width="3.7109375" style="21" customWidth="1"/>
    <col min="31" max="32" width="2.7109375" style="21" customWidth="1"/>
    <col min="33" max="33" width="3.7109375" style="21" customWidth="1"/>
    <col min="34" max="36" width="2.7109375" style="21" customWidth="1"/>
    <col min="37" max="37" width="2.5703125" style="21" customWidth="1"/>
    <col min="38" max="38" width="0.5703125" style="21" customWidth="1"/>
    <col min="39" max="39" width="3" style="21" customWidth="1"/>
    <col min="40" max="55" width="2.7109375" style="21" customWidth="1"/>
    <col min="56" max="56" width="0.85546875" style="21" customWidth="1"/>
    <col min="57" max="73" width="2.7109375" style="21" customWidth="1"/>
    <col min="74" max="74" width="3.85546875" style="1" customWidth="1"/>
    <col min="75" max="75" width="3.7109375" style="1" customWidth="1"/>
    <col min="76" max="76" width="5.42578125" style="1" customWidth="1"/>
    <col min="77" max="104" width="2.7109375" style="1" customWidth="1"/>
    <col min="105" max="106" width="9.140625" style="1"/>
    <col min="107" max="107" width="13.85546875" style="1" customWidth="1"/>
    <col min="108" max="108" width="17.7109375" style="1" customWidth="1"/>
    <col min="109" max="109" width="15" style="1" hidden="1" customWidth="1"/>
    <col min="110" max="110" width="5.28515625" style="1" customWidth="1"/>
    <col min="111" max="111" width="8.28515625" style="1" customWidth="1"/>
    <col min="112" max="112" width="6.28515625" style="1" customWidth="1"/>
    <col min="113" max="113" width="8.5703125" style="1" customWidth="1"/>
    <col min="114" max="114" width="8.28515625" style="1" customWidth="1"/>
    <col min="115" max="128" width="4.7109375" style="1" customWidth="1"/>
    <col min="129" max="132" width="22.28515625" style="1" customWidth="1"/>
    <col min="133" max="136" width="9.140625" style="1"/>
    <col min="137" max="144" width="9.140625" style="9"/>
    <col min="145" max="145" width="10.42578125" style="9" customWidth="1"/>
    <col min="146" max="151" width="9.140625" style="9"/>
    <col min="152" max="16384" width="9.140625" style="1"/>
  </cols>
  <sheetData>
    <row r="1" spans="1:162" s="16" customFormat="1" ht="0.95" hidden="1" customHeight="1" thickBot="1" x14ac:dyDescent="0.25">
      <c r="A1" s="19" t="s">
        <v>3545</v>
      </c>
      <c r="B1" s="19"/>
      <c r="C1" s="19"/>
      <c r="D1" s="19"/>
      <c r="E1" s="19"/>
      <c r="F1" s="19"/>
      <c r="G1" s="19"/>
      <c r="H1" s="19"/>
      <c r="I1" s="19"/>
      <c r="J1" s="19"/>
      <c r="K1" s="19"/>
      <c r="L1" s="19"/>
      <c r="M1" s="19"/>
      <c r="N1" s="19"/>
      <c r="O1" s="19"/>
      <c r="P1" s="19"/>
      <c r="Q1" s="19"/>
      <c r="R1" s="19"/>
      <c r="S1" s="19"/>
      <c r="T1" s="19"/>
      <c r="U1" s="19"/>
      <c r="V1" s="19"/>
      <c r="W1" s="19"/>
      <c r="X1" s="19"/>
      <c r="Y1" s="19"/>
      <c r="Z1" s="19"/>
      <c r="AA1" s="19" t="e">
        <f>ROW(#REF!)</f>
        <v>#REF!</v>
      </c>
      <c r="AB1" s="19" t="e">
        <f>ROW(#REF!)</f>
        <v>#REF!</v>
      </c>
      <c r="AC1" s="19"/>
      <c r="AD1" s="19"/>
      <c r="AE1" s="19"/>
      <c r="AF1" s="19"/>
      <c r="AG1" s="19"/>
      <c r="AH1" s="19"/>
      <c r="AI1" s="19"/>
      <c r="AJ1" s="19"/>
      <c r="AK1" s="19"/>
      <c r="AL1" s="19"/>
      <c r="AM1" s="19"/>
      <c r="AN1" s="19"/>
      <c r="AO1" s="19"/>
      <c r="AP1" s="19"/>
      <c r="AQ1" s="19"/>
      <c r="AR1" s="19"/>
      <c r="AS1" s="19"/>
      <c r="AT1" s="19"/>
      <c r="AU1" s="19"/>
      <c r="AV1" s="19"/>
      <c r="AW1" s="19"/>
      <c r="AX1" s="19"/>
      <c r="AY1" s="19"/>
      <c r="AZ1" s="19">
        <f>ROW(B185)</f>
        <v>185</v>
      </c>
      <c r="BA1" s="19" t="e">
        <f>ROW(#REF!)</f>
        <v>#REF!</v>
      </c>
      <c r="BB1" s="19" t="e">
        <f>ROW(#REF!)</f>
        <v>#REF!</v>
      </c>
      <c r="BC1" s="19"/>
      <c r="BD1" s="19"/>
      <c r="BE1" s="19"/>
      <c r="BF1" s="19"/>
      <c r="BG1" s="19"/>
      <c r="BH1" s="19"/>
      <c r="BI1" s="19"/>
      <c r="BJ1" s="19"/>
      <c r="BK1" s="19"/>
      <c r="BL1" s="19"/>
      <c r="BM1" s="19"/>
      <c r="BN1" s="19"/>
      <c r="BO1" s="19"/>
      <c r="BP1" s="19"/>
      <c r="BQ1" s="19"/>
      <c r="BR1" s="19"/>
      <c r="BS1" s="19"/>
      <c r="BT1" s="19"/>
      <c r="BU1" s="19"/>
      <c r="BV1" s="16" t="e">
        <f>ROW(#REF!)</f>
        <v>#REF!</v>
      </c>
      <c r="BW1" s="16" t="e">
        <f>ROW(#REF!)</f>
        <v>#REF!</v>
      </c>
      <c r="BX1" s="16">
        <f>ROW(A186)</f>
        <v>186</v>
      </c>
      <c r="CA1" s="16" t="s">
        <v>3390</v>
      </c>
      <c r="CQ1" s="16">
        <v>0</v>
      </c>
      <c r="CR1" s="16">
        <v>0</v>
      </c>
      <c r="CS1" s="16">
        <v>0</v>
      </c>
      <c r="CT1" s="16">
        <v>0</v>
      </c>
      <c r="DB1" s="16">
        <f>ROW(DB225)</f>
        <v>225</v>
      </c>
      <c r="EA1" s="16" t="s">
        <v>3562</v>
      </c>
      <c r="EG1" s="15"/>
      <c r="EH1" s="15"/>
      <c r="EI1" s="15"/>
      <c r="EJ1" s="15"/>
      <c r="EK1" s="15"/>
      <c r="EL1" s="15"/>
      <c r="EM1" s="15"/>
      <c r="EN1" s="15"/>
      <c r="EO1" s="15"/>
      <c r="EP1" s="15"/>
      <c r="EQ1" s="15"/>
      <c r="ER1" s="15"/>
      <c r="ES1" s="15"/>
      <c r="ET1" s="15"/>
      <c r="EU1" s="15"/>
      <c r="FA1" s="16" t="s">
        <v>3486</v>
      </c>
      <c r="FB1" s="16" t="e">
        <f>ROW(#REF!)</f>
        <v>#REF!</v>
      </c>
      <c r="FF1" s="16">
        <v>0</v>
      </c>
    </row>
    <row r="2" spans="1:162" ht="11.25" customHeight="1" x14ac:dyDescent="0.2">
      <c r="A2" s="192"/>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4"/>
      <c r="AB2" s="488" t="s">
        <v>3484</v>
      </c>
      <c r="AC2" s="489"/>
      <c r="AD2" s="489"/>
      <c r="AE2" s="489"/>
      <c r="AF2" s="489"/>
      <c r="AG2" s="489"/>
      <c r="AH2" s="489"/>
      <c r="AI2" s="489"/>
      <c r="AJ2" s="489"/>
      <c r="AK2" s="490"/>
      <c r="AL2" s="20"/>
      <c r="AM2" s="494" t="s">
        <v>3499</v>
      </c>
      <c r="AN2" s="495"/>
      <c r="AO2" s="495"/>
      <c r="AP2" s="495"/>
      <c r="AQ2" s="495"/>
      <c r="AR2" s="495"/>
      <c r="AS2" s="495"/>
      <c r="AT2" s="495"/>
      <c r="AU2" s="495"/>
      <c r="AV2" s="495"/>
      <c r="AW2" s="495"/>
      <c r="AX2" s="495"/>
      <c r="AY2" s="495"/>
      <c r="AZ2" s="495"/>
      <c r="BA2" s="495"/>
      <c r="BB2" s="495"/>
      <c r="BC2" s="495"/>
      <c r="BV2" s="9"/>
      <c r="BW2" s="9"/>
      <c r="BX2" s="9"/>
      <c r="BY2" s="9"/>
      <c r="BZ2" s="9"/>
      <c r="CA2" s="9"/>
      <c r="CB2" s="9"/>
      <c r="CC2" s="15"/>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O2" s="9" t="e">
        <f>ROW(#REF!)</f>
        <v>#REF!</v>
      </c>
      <c r="ES2" s="15"/>
    </row>
    <row r="3" spans="1:162" ht="12.75" customHeight="1" x14ac:dyDescent="0.2">
      <c r="A3" s="195"/>
      <c r="B3" s="196"/>
      <c r="C3" s="196"/>
      <c r="D3" s="196"/>
      <c r="E3" s="196"/>
      <c r="F3" s="196"/>
      <c r="G3" s="196"/>
      <c r="H3" s="196"/>
      <c r="I3" s="196"/>
      <c r="J3" s="196"/>
      <c r="K3" s="196"/>
      <c r="L3" s="196"/>
      <c r="M3" s="196"/>
      <c r="N3" s="196"/>
      <c r="O3" s="196"/>
      <c r="P3" s="196"/>
      <c r="Q3" s="196"/>
      <c r="R3" s="196"/>
      <c r="S3" s="196"/>
      <c r="T3" s="196"/>
      <c r="U3" s="196"/>
      <c r="V3" s="196"/>
      <c r="W3" s="196"/>
      <c r="X3" s="196"/>
      <c r="Y3" s="196"/>
      <c r="Z3" s="196"/>
      <c r="AA3" s="197"/>
      <c r="AB3" s="491"/>
      <c r="AC3" s="492"/>
      <c r="AD3" s="492"/>
      <c r="AE3" s="492"/>
      <c r="AF3" s="492"/>
      <c r="AG3" s="492"/>
      <c r="AH3" s="492"/>
      <c r="AI3" s="492"/>
      <c r="AJ3" s="492"/>
      <c r="AK3" s="493"/>
      <c r="AL3" s="20"/>
      <c r="AM3" s="496"/>
      <c r="AN3" s="495"/>
      <c r="AO3" s="495"/>
      <c r="AP3" s="495"/>
      <c r="AQ3" s="495"/>
      <c r="AR3" s="495"/>
      <c r="AS3" s="495"/>
      <c r="AT3" s="495"/>
      <c r="AU3" s="495"/>
      <c r="AV3" s="495"/>
      <c r="AW3" s="495"/>
      <c r="AX3" s="495"/>
      <c r="AY3" s="495"/>
      <c r="AZ3" s="495"/>
      <c r="BA3" s="495"/>
      <c r="BB3" s="495"/>
      <c r="BC3" s="495"/>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N3" s="9" t="s">
        <v>3464</v>
      </c>
    </row>
    <row r="4" spans="1:162" ht="12.75" customHeight="1" x14ac:dyDescent="0.2">
      <c r="A4" s="195"/>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7"/>
      <c r="AB4" s="491"/>
      <c r="AC4" s="492"/>
      <c r="AD4" s="492"/>
      <c r="AE4" s="492"/>
      <c r="AF4" s="492"/>
      <c r="AG4" s="492"/>
      <c r="AH4" s="492"/>
      <c r="AI4" s="492"/>
      <c r="AJ4" s="492"/>
      <c r="AK4" s="493"/>
      <c r="AL4" s="20"/>
      <c r="AM4" s="494" t="s">
        <v>3500</v>
      </c>
      <c r="AN4" s="495"/>
      <c r="AO4" s="495"/>
      <c r="AP4" s="495"/>
      <c r="AQ4" s="495"/>
      <c r="AR4" s="495"/>
      <c r="AS4" s="495"/>
      <c r="AT4" s="495"/>
      <c r="AU4" s="495"/>
      <c r="AV4" s="495"/>
      <c r="AW4" s="495"/>
      <c r="AX4" s="495"/>
      <c r="AY4" s="495"/>
      <c r="AZ4" s="495"/>
      <c r="BA4" s="495"/>
      <c r="BB4" s="495"/>
      <c r="BC4" s="495"/>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row>
    <row r="5" spans="1:162" ht="20.25" customHeight="1" x14ac:dyDescent="0.2">
      <c r="A5" s="195"/>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7"/>
      <c r="AB5" s="491"/>
      <c r="AC5" s="492"/>
      <c r="AD5" s="492"/>
      <c r="AE5" s="492"/>
      <c r="AF5" s="492"/>
      <c r="AG5" s="492"/>
      <c r="AH5" s="492"/>
      <c r="AI5" s="492"/>
      <c r="AJ5" s="492"/>
      <c r="AK5" s="493"/>
      <c r="AL5" s="20"/>
      <c r="AM5" s="496"/>
      <c r="AN5" s="495"/>
      <c r="AO5" s="495"/>
      <c r="AP5" s="495"/>
      <c r="AQ5" s="495"/>
      <c r="AR5" s="495"/>
      <c r="AS5" s="495"/>
      <c r="AT5" s="495"/>
      <c r="AU5" s="495"/>
      <c r="AV5" s="495"/>
      <c r="AW5" s="495"/>
      <c r="AX5" s="495"/>
      <c r="AY5" s="495"/>
      <c r="AZ5" s="495"/>
      <c r="BA5" s="495"/>
      <c r="BB5" s="495"/>
      <c r="BC5" s="495"/>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row>
    <row r="6" spans="1:162" ht="18" customHeight="1" x14ac:dyDescent="0.2">
      <c r="A6" s="195"/>
      <c r="B6" s="196"/>
      <c r="C6" s="196"/>
      <c r="D6" s="196"/>
      <c r="E6" s="196"/>
      <c r="F6" s="196"/>
      <c r="G6" s="196"/>
      <c r="H6" s="196"/>
      <c r="I6" s="196"/>
      <c r="J6" s="196"/>
      <c r="K6" s="196"/>
      <c r="L6" s="196"/>
      <c r="M6" s="196"/>
      <c r="N6" s="196"/>
      <c r="O6" s="196"/>
      <c r="P6" s="196"/>
      <c r="Q6" s="196"/>
      <c r="R6" s="196"/>
      <c r="S6" s="196"/>
      <c r="T6" s="196"/>
      <c r="U6" s="196"/>
      <c r="V6" s="196"/>
      <c r="W6" s="196"/>
      <c r="X6" s="196"/>
      <c r="Y6" s="196"/>
      <c r="Z6" s="196"/>
      <c r="AA6" s="197"/>
      <c r="AB6" s="491"/>
      <c r="AC6" s="492"/>
      <c r="AD6" s="492"/>
      <c r="AE6" s="492"/>
      <c r="AF6" s="492"/>
      <c r="AG6" s="492"/>
      <c r="AH6" s="492"/>
      <c r="AI6" s="492"/>
      <c r="AJ6" s="492"/>
      <c r="AK6" s="493"/>
      <c r="AL6" s="20"/>
      <c r="AM6" s="20"/>
      <c r="AN6" s="20"/>
      <c r="AO6" s="20"/>
      <c r="AP6" s="20"/>
      <c r="AQ6" s="20"/>
      <c r="AR6" s="20"/>
      <c r="AS6" s="20"/>
      <c r="AT6" s="20"/>
      <c r="AU6" s="20"/>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10"/>
      <c r="DJ6" s="10"/>
      <c r="DK6" s="10"/>
      <c r="DL6" s="10"/>
      <c r="DM6" s="10"/>
      <c r="DN6" s="10"/>
      <c r="DO6" s="10"/>
      <c r="DP6" s="10"/>
      <c r="DQ6" s="10"/>
      <c r="DR6" s="10"/>
      <c r="DS6" s="10"/>
      <c r="DT6" s="10"/>
      <c r="DU6" s="10"/>
      <c r="DV6" s="9"/>
      <c r="DW6" s="9"/>
      <c r="DX6" s="9"/>
      <c r="DY6" s="9"/>
      <c r="DZ6" s="9"/>
      <c r="EA6" s="9"/>
      <c r="EB6" s="9"/>
      <c r="EC6" s="9"/>
      <c r="ED6" s="9"/>
      <c r="EE6" s="9"/>
      <c r="EF6" s="9"/>
    </row>
    <row r="7" spans="1:162" ht="15" customHeight="1" x14ac:dyDescent="0.2">
      <c r="A7" s="195"/>
      <c r="B7" s="196"/>
      <c r="C7" s="196"/>
      <c r="D7" s="196"/>
      <c r="E7" s="196"/>
      <c r="F7" s="196"/>
      <c r="G7" s="196"/>
      <c r="H7" s="196"/>
      <c r="I7" s="196"/>
      <c r="J7" s="196"/>
      <c r="K7" s="196"/>
      <c r="L7" s="196"/>
      <c r="M7" s="196"/>
      <c r="N7" s="196"/>
      <c r="O7" s="196"/>
      <c r="P7" s="196"/>
      <c r="Q7" s="196"/>
      <c r="R7" s="196"/>
      <c r="S7" s="196"/>
      <c r="T7" s="196"/>
      <c r="U7" s="196"/>
      <c r="V7" s="196"/>
      <c r="W7" s="196"/>
      <c r="X7" s="196"/>
      <c r="Y7" s="196"/>
      <c r="Z7" s="196"/>
      <c r="AA7" s="197"/>
      <c r="AB7" s="491"/>
      <c r="AC7" s="492"/>
      <c r="AD7" s="492"/>
      <c r="AE7" s="492"/>
      <c r="AF7" s="492"/>
      <c r="AG7" s="492"/>
      <c r="AH7" s="492"/>
      <c r="AI7" s="492"/>
      <c r="AJ7" s="492"/>
      <c r="AK7" s="493"/>
      <c r="AL7" s="22"/>
      <c r="AM7" s="23"/>
      <c r="AN7" s="23"/>
      <c r="AO7" s="23"/>
      <c r="AP7" s="23"/>
      <c r="AQ7" s="23"/>
      <c r="AR7" s="23"/>
      <c r="AS7" s="23"/>
      <c r="AT7" s="23"/>
      <c r="AU7" s="23"/>
      <c r="AV7" s="23"/>
      <c r="AW7" s="23"/>
      <c r="AX7" s="23"/>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10"/>
      <c r="DJ7" s="10"/>
      <c r="DK7" s="10"/>
      <c r="DL7" s="10"/>
      <c r="DM7" s="10"/>
      <c r="DN7" s="10"/>
      <c r="DO7" s="10"/>
      <c r="DP7" s="10"/>
      <c r="DQ7" s="10"/>
      <c r="DR7" s="10"/>
      <c r="DS7" s="10"/>
      <c r="DT7" s="10"/>
      <c r="DU7" s="10"/>
      <c r="DV7" s="9"/>
      <c r="DW7" s="9"/>
      <c r="DX7" s="9"/>
      <c r="DY7" s="9"/>
      <c r="DZ7" s="9"/>
      <c r="EA7" s="9"/>
      <c r="EB7" s="9"/>
      <c r="EC7" s="9"/>
      <c r="ED7" s="9"/>
      <c r="EE7" s="9"/>
      <c r="EF7" s="9"/>
    </row>
    <row r="8" spans="1:162" ht="6.75" customHeight="1" x14ac:dyDescent="0.2">
      <c r="A8" s="91"/>
      <c r="B8" s="81"/>
      <c r="C8" s="81"/>
      <c r="D8" s="81"/>
      <c r="E8" s="81"/>
      <c r="F8" s="81"/>
      <c r="G8" s="81"/>
      <c r="H8" s="83"/>
      <c r="I8" s="83"/>
      <c r="J8" s="83"/>
      <c r="K8" s="83"/>
      <c r="L8" s="83"/>
      <c r="M8" s="83"/>
      <c r="N8" s="83"/>
      <c r="O8" s="83"/>
      <c r="P8" s="83"/>
      <c r="Q8" s="83"/>
      <c r="R8" s="83"/>
      <c r="S8" s="83"/>
      <c r="T8" s="83"/>
      <c r="U8" s="83"/>
      <c r="V8" s="83"/>
      <c r="W8" s="83"/>
      <c r="X8" s="83"/>
      <c r="Y8" s="83"/>
      <c r="Z8" s="83"/>
      <c r="AA8" s="84"/>
      <c r="AB8" s="491"/>
      <c r="AC8" s="492"/>
      <c r="AD8" s="492"/>
      <c r="AE8" s="492"/>
      <c r="AF8" s="492"/>
      <c r="AG8" s="492"/>
      <c r="AH8" s="492"/>
      <c r="AI8" s="492"/>
      <c r="AJ8" s="492"/>
      <c r="AK8" s="493"/>
      <c r="AL8" s="22"/>
      <c r="AM8" s="23"/>
      <c r="AN8" s="23"/>
      <c r="AO8" s="23"/>
      <c r="AP8" s="23"/>
      <c r="AQ8" s="23"/>
      <c r="AR8" s="23"/>
      <c r="AS8" s="23"/>
      <c r="AT8" s="23"/>
      <c r="AU8" s="23"/>
      <c r="AV8" s="23"/>
      <c r="AW8" s="23"/>
      <c r="AX8" s="23"/>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10"/>
      <c r="DJ8" s="398"/>
      <c r="DK8" s="398"/>
      <c r="DL8" s="398"/>
      <c r="DM8" s="398"/>
      <c r="DN8" s="398"/>
      <c r="DO8" s="398"/>
      <c r="DP8" s="398"/>
      <c r="DQ8" s="398"/>
      <c r="DR8" s="398"/>
      <c r="DS8" s="398"/>
      <c r="DT8" s="398"/>
      <c r="DU8" s="10"/>
      <c r="DV8" s="9"/>
      <c r="DW8" s="9"/>
      <c r="DX8" s="9"/>
      <c r="DY8" s="9"/>
      <c r="DZ8" s="9"/>
      <c r="EA8" s="9"/>
      <c r="EB8" s="9"/>
      <c r="EC8" s="9"/>
      <c r="ED8" s="10"/>
      <c r="EE8" s="10"/>
      <c r="EF8" s="10"/>
      <c r="EG8" s="10"/>
      <c r="EH8" s="10"/>
      <c r="EI8" s="10"/>
      <c r="EJ8" s="10"/>
      <c r="EK8" s="10"/>
      <c r="EL8" s="10"/>
      <c r="EM8" s="10"/>
      <c r="EN8" s="10"/>
      <c r="EO8" s="10"/>
    </row>
    <row r="9" spans="1:162" ht="20.25" customHeight="1" x14ac:dyDescent="0.2">
      <c r="A9" s="82"/>
      <c r="B9" s="83"/>
      <c r="C9" s="83"/>
      <c r="D9" s="83"/>
      <c r="E9" s="83"/>
      <c r="F9" s="83"/>
      <c r="G9" s="83"/>
      <c r="H9" s="83"/>
      <c r="I9" s="83"/>
      <c r="J9" s="83"/>
      <c r="K9" s="83"/>
      <c r="L9" s="83"/>
      <c r="M9" s="83"/>
      <c r="N9" s="83"/>
      <c r="O9" s="83"/>
      <c r="P9" s="83"/>
      <c r="Q9" s="83"/>
      <c r="R9" s="83"/>
      <c r="S9" s="83"/>
      <c r="T9" s="83"/>
      <c r="U9" s="83"/>
      <c r="V9" s="83"/>
      <c r="W9" s="83"/>
      <c r="X9" s="83"/>
      <c r="Y9" s="83"/>
      <c r="Z9" s="83"/>
      <c r="AA9" s="84"/>
      <c r="AB9" s="491"/>
      <c r="AC9" s="492"/>
      <c r="AD9" s="492"/>
      <c r="AE9" s="492"/>
      <c r="AF9" s="492"/>
      <c r="AG9" s="492"/>
      <c r="AH9" s="492"/>
      <c r="AI9" s="492"/>
      <c r="AJ9" s="492"/>
      <c r="AK9" s="493"/>
      <c r="AL9" s="486"/>
      <c r="AM9" s="487"/>
      <c r="AN9" s="487"/>
      <c r="AO9" s="487"/>
      <c r="AP9" s="487"/>
      <c r="AQ9" s="487"/>
      <c r="AR9" s="487"/>
      <c r="AS9" s="487"/>
      <c r="AT9" s="487"/>
      <c r="AU9" s="487"/>
      <c r="AV9" s="487"/>
      <c r="AW9" s="487"/>
      <c r="AX9" s="487"/>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10"/>
      <c r="DJ9" s="398"/>
      <c r="DK9" s="398"/>
      <c r="DL9" s="398"/>
      <c r="DM9" s="398"/>
      <c r="DN9" s="398"/>
      <c r="DO9" s="398"/>
      <c r="DP9" s="398"/>
      <c r="DQ9" s="398"/>
      <c r="DR9" s="398"/>
      <c r="DS9" s="398"/>
      <c r="DT9" s="398"/>
      <c r="DU9" s="10"/>
      <c r="DV9" s="9"/>
      <c r="DW9" s="9"/>
      <c r="DX9" s="9"/>
      <c r="DY9" s="9"/>
      <c r="DZ9" s="9"/>
      <c r="EA9" s="9"/>
      <c r="EB9" s="9"/>
      <c r="EC9" s="9"/>
      <c r="ED9" s="10"/>
      <c r="EE9" s="396"/>
      <c r="EF9" s="397"/>
      <c r="EG9" s="397"/>
      <c r="EH9" s="397"/>
      <c r="EI9" s="397"/>
      <c r="EJ9" s="397"/>
      <c r="EK9" s="397"/>
      <c r="EL9" s="10"/>
      <c r="EM9" s="10"/>
      <c r="EN9" s="10"/>
      <c r="EO9" s="10"/>
    </row>
    <row r="10" spans="1:162" ht="13.7" customHeight="1" thickBot="1" x14ac:dyDescent="0.25">
      <c r="A10" s="460"/>
      <c r="B10" s="461"/>
      <c r="C10" s="461"/>
      <c r="D10" s="461"/>
      <c r="E10" s="461"/>
      <c r="F10" s="461"/>
      <c r="G10" s="461"/>
      <c r="H10" s="461"/>
      <c r="I10" s="461"/>
      <c r="J10" s="461"/>
      <c r="K10" s="461"/>
      <c r="L10" s="461"/>
      <c r="M10" s="461"/>
      <c r="N10" s="461"/>
      <c r="O10" s="461"/>
      <c r="P10" s="461"/>
      <c r="Q10" s="461"/>
      <c r="R10" s="461"/>
      <c r="S10" s="461"/>
      <c r="T10" s="461"/>
      <c r="U10" s="461"/>
      <c r="V10" s="461"/>
      <c r="W10" s="461"/>
      <c r="X10" s="461"/>
      <c r="Y10" s="461"/>
      <c r="Z10" s="461"/>
      <c r="AA10" s="462"/>
      <c r="AB10" s="491"/>
      <c r="AC10" s="492"/>
      <c r="AD10" s="492"/>
      <c r="AE10" s="492"/>
      <c r="AF10" s="492"/>
      <c r="AG10" s="492"/>
      <c r="AH10" s="492"/>
      <c r="AI10" s="492"/>
      <c r="AJ10" s="492"/>
      <c r="AK10" s="493"/>
      <c r="AL10" s="22"/>
      <c r="AM10" s="23"/>
      <c r="AN10" s="23"/>
      <c r="AO10" s="23"/>
      <c r="AP10" s="23"/>
      <c r="AQ10" s="23"/>
      <c r="AR10" s="23"/>
      <c r="AS10" s="23"/>
      <c r="AT10" s="23"/>
      <c r="AU10" s="23"/>
      <c r="AV10" s="23"/>
      <c r="AW10" s="23"/>
      <c r="AX10" s="23"/>
      <c r="AY10" s="24"/>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10"/>
      <c r="DJ10" s="10"/>
      <c r="DK10" s="10"/>
      <c r="DL10" s="10"/>
      <c r="DM10" s="10"/>
      <c r="DN10" s="10"/>
      <c r="DO10" s="10"/>
      <c r="DP10" s="10"/>
      <c r="DQ10" s="10"/>
      <c r="DR10" s="10"/>
      <c r="DS10" s="10"/>
      <c r="DT10" s="10"/>
      <c r="DU10" s="10"/>
      <c r="DV10" s="9"/>
      <c r="DW10" s="9"/>
      <c r="DX10" s="9"/>
      <c r="DY10" s="9"/>
      <c r="DZ10" s="9"/>
      <c r="EA10" s="9"/>
      <c r="EB10" s="9"/>
      <c r="EC10" s="9"/>
      <c r="ED10" s="10"/>
      <c r="EE10" s="397"/>
      <c r="EF10" s="397"/>
      <c r="EG10" s="397"/>
      <c r="EH10" s="397"/>
      <c r="EI10" s="397"/>
      <c r="EJ10" s="397"/>
      <c r="EK10" s="397"/>
      <c r="EL10" s="10"/>
      <c r="EM10" s="10"/>
      <c r="EN10" s="10"/>
      <c r="EO10" s="10"/>
    </row>
    <row r="11" spans="1:162" ht="22.7" hidden="1" customHeight="1" thickTop="1" x14ac:dyDescent="0.2">
      <c r="A11" s="25"/>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7"/>
      <c r="AC11" s="28"/>
      <c r="AD11" s="28"/>
      <c r="AE11" s="28"/>
      <c r="AF11" s="28"/>
      <c r="AG11" s="28"/>
      <c r="AH11" s="28"/>
      <c r="AI11" s="28"/>
      <c r="AJ11" s="28"/>
      <c r="AK11" s="29"/>
      <c r="AL11" s="380" t="s">
        <v>3392</v>
      </c>
      <c r="AM11" s="380"/>
      <c r="AN11" s="380"/>
      <c r="AO11" s="380"/>
      <c r="AP11" s="380"/>
      <c r="AQ11" s="380"/>
      <c r="AR11" s="380"/>
      <c r="AS11" s="380"/>
      <c r="AT11" s="380"/>
      <c r="AU11" s="380"/>
      <c r="AV11" s="380"/>
      <c r="AW11" s="380"/>
      <c r="AX11" s="380"/>
      <c r="AY11" s="380"/>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10"/>
      <c r="DJ11" s="10"/>
      <c r="DK11" s="10"/>
      <c r="DL11" s="10"/>
      <c r="DM11" s="10"/>
      <c r="DN11" s="10"/>
      <c r="DO11" s="10"/>
      <c r="DP11" s="10"/>
      <c r="DQ11" s="10"/>
      <c r="DR11" s="17"/>
      <c r="DS11" s="17"/>
      <c r="DT11" s="10"/>
      <c r="DU11" s="10"/>
      <c r="DV11" s="9"/>
      <c r="DW11" s="9"/>
      <c r="DX11" s="9"/>
      <c r="DY11" s="9"/>
      <c r="DZ11" s="9"/>
      <c r="EA11" s="9"/>
      <c r="EB11" s="9"/>
      <c r="EC11" s="9"/>
      <c r="ED11" s="10"/>
      <c r="EE11" s="10"/>
      <c r="EF11" s="10"/>
      <c r="EG11" s="10"/>
      <c r="EH11" s="10"/>
      <c r="EI11" s="10"/>
      <c r="EJ11" s="10"/>
      <c r="EK11" s="10"/>
      <c r="EL11" s="10"/>
      <c r="EM11" s="10"/>
      <c r="EN11" s="10"/>
      <c r="EO11" s="10"/>
      <c r="EP11" s="10"/>
    </row>
    <row r="12" spans="1:162" ht="8.25" customHeight="1" x14ac:dyDescent="0.25">
      <c r="A12" s="456" t="s">
        <v>3421</v>
      </c>
      <c r="B12" s="457"/>
      <c r="C12" s="457"/>
      <c r="D12" s="457"/>
      <c r="E12" s="457"/>
      <c r="F12" s="457"/>
      <c r="G12" s="457"/>
      <c r="H12" s="457"/>
      <c r="I12" s="457"/>
      <c r="J12" s="457"/>
      <c r="K12" s="457"/>
      <c r="L12" s="457"/>
      <c r="M12" s="457"/>
      <c r="N12" s="457"/>
      <c r="O12" s="457"/>
      <c r="P12" s="65"/>
      <c r="Q12" s="65"/>
      <c r="R12" s="430" t="s">
        <v>3485</v>
      </c>
      <c r="S12" s="430"/>
      <c r="T12" s="430"/>
      <c r="U12" s="430"/>
      <c r="V12" s="432">
        <f>D204</f>
        <v>0</v>
      </c>
      <c r="W12" s="432"/>
      <c r="X12" s="432"/>
      <c r="Y12" s="432"/>
      <c r="Z12" s="432"/>
      <c r="AA12" s="432"/>
      <c r="AB12" s="437"/>
      <c r="AC12" s="437"/>
      <c r="AD12" s="437"/>
      <c r="AE12" s="437"/>
      <c r="AF12" s="439"/>
      <c r="AG12" s="439"/>
      <c r="AH12" s="439"/>
      <c r="AI12" s="439"/>
      <c r="AJ12" s="439"/>
      <c r="AK12" s="440"/>
      <c r="AL12" s="380"/>
      <c r="AM12" s="380"/>
      <c r="AN12" s="380"/>
      <c r="AO12" s="380"/>
      <c r="AP12" s="380"/>
      <c r="AQ12" s="380"/>
      <c r="AR12" s="380"/>
      <c r="AS12" s="380"/>
      <c r="AT12" s="380"/>
      <c r="AU12" s="380"/>
      <c r="AV12" s="380"/>
      <c r="AW12" s="380"/>
      <c r="AX12" s="380"/>
      <c r="AY12" s="380"/>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10"/>
      <c r="DJ12" s="10"/>
      <c r="DK12" s="10"/>
      <c r="DL12" s="10"/>
      <c r="DM12" s="10"/>
      <c r="DN12" s="10"/>
      <c r="DO12" s="10"/>
      <c r="DP12" s="10"/>
      <c r="DQ12" s="10"/>
      <c r="DR12" s="17"/>
      <c r="DS12" s="17"/>
      <c r="DT12" s="10"/>
      <c r="DU12" s="10"/>
      <c r="DV12" s="9"/>
      <c r="DW12" s="9"/>
      <c r="DX12" s="9"/>
      <c r="DY12" s="9"/>
      <c r="DZ12" s="9"/>
      <c r="EA12" s="9"/>
      <c r="EB12" s="9"/>
      <c r="EC12" s="9"/>
      <c r="ED12" s="10"/>
      <c r="EE12" s="10"/>
      <c r="EF12" s="10"/>
      <c r="EG12" s="10"/>
      <c r="EH12" s="10"/>
      <c r="EI12" s="10"/>
      <c r="EJ12" s="10"/>
      <c r="EK12" s="10"/>
      <c r="EL12" s="10"/>
      <c r="EM12" s="17"/>
      <c r="EN12" s="17"/>
      <c r="EO12" s="10"/>
      <c r="EP12" s="10"/>
    </row>
    <row r="13" spans="1:162" ht="7.5" customHeight="1" thickBot="1" x14ac:dyDescent="0.3">
      <c r="A13" s="458"/>
      <c r="B13" s="459"/>
      <c r="C13" s="459"/>
      <c r="D13" s="459"/>
      <c r="E13" s="459"/>
      <c r="F13" s="459"/>
      <c r="G13" s="459"/>
      <c r="H13" s="459"/>
      <c r="I13" s="459"/>
      <c r="J13" s="459"/>
      <c r="K13" s="459"/>
      <c r="L13" s="459"/>
      <c r="M13" s="459"/>
      <c r="N13" s="459"/>
      <c r="O13" s="459"/>
      <c r="P13" s="66"/>
      <c r="Q13" s="66"/>
      <c r="R13" s="431"/>
      <c r="S13" s="431"/>
      <c r="T13" s="431"/>
      <c r="U13" s="431"/>
      <c r="V13" s="433"/>
      <c r="W13" s="433"/>
      <c r="X13" s="433"/>
      <c r="Y13" s="433"/>
      <c r="Z13" s="433"/>
      <c r="AA13" s="433"/>
      <c r="AB13" s="438"/>
      <c r="AC13" s="438"/>
      <c r="AD13" s="438"/>
      <c r="AE13" s="438"/>
      <c r="AF13" s="441"/>
      <c r="AG13" s="441"/>
      <c r="AH13" s="441"/>
      <c r="AI13" s="441"/>
      <c r="AJ13" s="441"/>
      <c r="AK13" s="442"/>
      <c r="AL13" s="380"/>
      <c r="AM13" s="380"/>
      <c r="AN13" s="380"/>
      <c r="AO13" s="380"/>
      <c r="AP13" s="380"/>
      <c r="AQ13" s="380"/>
      <c r="AR13" s="380"/>
      <c r="AS13" s="380"/>
      <c r="AT13" s="380"/>
      <c r="AU13" s="380"/>
      <c r="AV13" s="380"/>
      <c r="AW13" s="380"/>
      <c r="AX13" s="380"/>
      <c r="AY13" s="380"/>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10"/>
      <c r="DJ13" s="10"/>
      <c r="DK13" s="10"/>
      <c r="DL13" s="10"/>
      <c r="DM13" s="10"/>
      <c r="DN13" s="10"/>
      <c r="DO13" s="10"/>
      <c r="DP13" s="10"/>
      <c r="DQ13" s="10"/>
      <c r="DR13" s="17"/>
      <c r="DS13" s="17"/>
      <c r="DT13" s="10"/>
      <c r="DU13" s="10"/>
      <c r="DV13" s="9"/>
      <c r="DW13" s="9"/>
      <c r="DX13" s="9"/>
      <c r="DY13" s="9"/>
      <c r="DZ13" s="9"/>
      <c r="EA13" s="9"/>
      <c r="EB13" s="9"/>
      <c r="EC13" s="9"/>
      <c r="ED13" s="10"/>
      <c r="EE13" s="10"/>
      <c r="EF13" s="10"/>
      <c r="EG13" s="10"/>
      <c r="EH13" s="10"/>
      <c r="EI13" s="10"/>
      <c r="EJ13" s="10"/>
      <c r="EK13" s="10"/>
      <c r="EL13" s="10"/>
      <c r="EM13" s="17"/>
      <c r="EN13" s="17"/>
      <c r="EO13" s="10"/>
      <c r="EP13" s="10"/>
    </row>
    <row r="14" spans="1:162" ht="20.25" customHeight="1" x14ac:dyDescent="0.2">
      <c r="A14" s="95">
        <v>1</v>
      </c>
      <c r="B14" s="428" t="s">
        <v>3419</v>
      </c>
      <c r="C14" s="429"/>
      <c r="D14" s="429"/>
      <c r="E14" s="429"/>
      <c r="F14" s="429"/>
      <c r="G14" s="429"/>
      <c r="H14" s="429"/>
      <c r="I14" s="80"/>
      <c r="J14" s="19"/>
      <c r="K14" s="30"/>
      <c r="L14" s="19"/>
      <c r="M14" s="19"/>
      <c r="N14" s="19"/>
      <c r="O14" s="19"/>
      <c r="S14" s="428" t="s">
        <v>3491</v>
      </c>
      <c r="T14" s="429"/>
      <c r="U14" s="429"/>
      <c r="V14" s="429"/>
      <c r="W14" s="429"/>
      <c r="X14" s="429"/>
      <c r="Y14" s="497"/>
      <c r="Z14" s="19"/>
      <c r="AA14" s="19"/>
      <c r="AB14" s="19"/>
      <c r="AC14" s="19"/>
      <c r="AD14" s="31">
        <v>0</v>
      </c>
      <c r="AE14" s="31">
        <v>2006</v>
      </c>
      <c r="AF14" s="31">
        <v>4</v>
      </c>
      <c r="AG14" s="31">
        <v>1</v>
      </c>
      <c r="AH14" s="19"/>
      <c r="AI14" s="19"/>
      <c r="AJ14" s="19"/>
      <c r="AK14" s="67"/>
      <c r="AL14" s="443" t="s">
        <v>3456</v>
      </c>
      <c r="AM14" s="443"/>
      <c r="AN14" s="443"/>
      <c r="AO14" s="443"/>
      <c r="AP14" s="443"/>
      <c r="AQ14" s="443"/>
      <c r="AR14" s="443"/>
      <c r="AS14" s="443"/>
      <c r="AT14" s="443"/>
      <c r="AU14" s="443"/>
      <c r="AV14" s="443"/>
      <c r="AW14" s="443"/>
      <c r="AX14" s="443"/>
      <c r="AY14" s="33"/>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t="s">
        <v>3466</v>
      </c>
      <c r="DF14" s="9"/>
      <c r="DG14" s="9"/>
      <c r="DH14" s="9"/>
      <c r="DI14" s="10"/>
      <c r="DJ14" s="10"/>
      <c r="DK14" s="10"/>
      <c r="DL14" s="10"/>
      <c r="DM14" s="10"/>
      <c r="DN14" s="10"/>
      <c r="DO14" s="10"/>
      <c r="DP14" s="10"/>
      <c r="DQ14" s="10"/>
      <c r="DR14" s="10"/>
      <c r="DS14" s="17"/>
      <c r="DT14" s="10"/>
      <c r="DU14" s="10"/>
      <c r="DV14" s="9"/>
      <c r="DW14" s="9"/>
      <c r="DX14" s="9"/>
      <c r="DY14" s="9"/>
      <c r="DZ14" s="9"/>
      <c r="EA14" s="9"/>
      <c r="EB14" s="9"/>
      <c r="EC14" s="9"/>
      <c r="ED14" s="10"/>
      <c r="EE14" s="10"/>
      <c r="EF14" s="14"/>
      <c r="EG14" s="10"/>
      <c r="EH14" s="10"/>
      <c r="EI14" s="10"/>
      <c r="EJ14" s="10"/>
      <c r="EK14" s="10"/>
      <c r="EL14" s="10"/>
      <c r="EM14" s="17"/>
      <c r="EN14" s="17"/>
      <c r="EO14" s="10"/>
      <c r="EP14" s="10"/>
    </row>
    <row r="15" spans="1:162" ht="3.95" customHeight="1" x14ac:dyDescent="0.2">
      <c r="A15" s="60"/>
      <c r="B15" s="341"/>
      <c r="C15" s="342"/>
      <c r="D15" s="342"/>
      <c r="E15" s="342"/>
      <c r="F15" s="342"/>
      <c r="G15" s="342"/>
      <c r="H15" s="342"/>
      <c r="I15" s="342"/>
      <c r="J15" s="342"/>
      <c r="K15" s="342"/>
      <c r="L15" s="342"/>
      <c r="M15" s="342"/>
      <c r="N15" s="342"/>
      <c r="O15" s="342"/>
      <c r="P15" s="342"/>
      <c r="Q15" s="342"/>
      <c r="R15" s="342"/>
      <c r="S15" s="342"/>
      <c r="T15" s="342"/>
      <c r="U15" s="342"/>
      <c r="V15" s="342"/>
      <c r="W15" s="342"/>
      <c r="X15" s="342"/>
      <c r="Y15" s="342"/>
      <c r="Z15" s="342"/>
      <c r="AA15" s="342"/>
      <c r="AB15" s="342"/>
      <c r="AC15" s="342"/>
      <c r="AD15" s="342"/>
      <c r="AE15" s="342"/>
      <c r="AF15" s="342"/>
      <c r="AG15" s="342"/>
      <c r="AH15" s="342"/>
      <c r="AI15" s="342"/>
      <c r="AJ15" s="342"/>
      <c r="AK15" s="343"/>
      <c r="AL15" s="32"/>
      <c r="AM15" s="32"/>
      <c r="AN15" s="32"/>
      <c r="AO15" s="32"/>
      <c r="AP15" s="32"/>
      <c r="AQ15" s="32"/>
      <c r="AR15" s="32"/>
      <c r="AS15" s="32"/>
      <c r="AT15" s="32"/>
      <c r="AU15" s="32"/>
      <c r="AV15" s="32"/>
      <c r="AW15" s="32"/>
      <c r="AX15" s="33"/>
      <c r="AY15" s="33"/>
      <c r="AZ15" s="43"/>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row>
    <row r="16" spans="1:162" ht="19.5" customHeight="1" x14ac:dyDescent="0.2">
      <c r="A16" s="60"/>
      <c r="B16" s="434" t="s">
        <v>3502</v>
      </c>
      <c r="C16" s="435"/>
      <c r="D16" s="435"/>
      <c r="E16" s="435"/>
      <c r="F16" s="435"/>
      <c r="G16" s="435"/>
      <c r="H16" s="435"/>
      <c r="I16" s="435"/>
      <c r="J16" s="435"/>
      <c r="K16" s="435"/>
      <c r="L16" s="435"/>
      <c r="M16" s="435"/>
      <c r="N16" s="435"/>
      <c r="O16" s="435"/>
      <c r="P16" s="435"/>
      <c r="Q16" s="435"/>
      <c r="R16" s="435"/>
      <c r="S16" s="435"/>
      <c r="T16" s="435"/>
      <c r="U16" s="435"/>
      <c r="V16" s="435"/>
      <c r="W16" s="435"/>
      <c r="X16" s="435"/>
      <c r="Y16" s="435"/>
      <c r="Z16" s="435"/>
      <c r="AA16" s="435"/>
      <c r="AB16" s="435"/>
      <c r="AC16" s="435"/>
      <c r="AD16" s="435"/>
      <c r="AE16" s="435"/>
      <c r="AF16" s="435"/>
      <c r="AG16" s="436"/>
      <c r="AH16" s="100"/>
      <c r="AI16" s="100"/>
      <c r="AJ16" s="100"/>
      <c r="AK16" s="101"/>
      <c r="AL16" s="86"/>
      <c r="AM16" s="379" t="s">
        <v>3494</v>
      </c>
      <c r="AN16" s="380"/>
      <c r="AO16" s="380"/>
      <c r="AP16" s="380"/>
      <c r="AQ16" s="380"/>
      <c r="AR16" s="380"/>
      <c r="AS16" s="380"/>
      <c r="AT16" s="380"/>
      <c r="AU16" s="380"/>
      <c r="AV16" s="380"/>
      <c r="AW16" s="380"/>
      <c r="AX16" s="33"/>
      <c r="AY16" s="33"/>
      <c r="AZ16" s="43"/>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row>
    <row r="17" spans="1:146" ht="12.75" customHeight="1" x14ac:dyDescent="0.2">
      <c r="A17" s="60"/>
      <c r="B17" s="447"/>
      <c r="C17" s="448"/>
      <c r="D17" s="448"/>
      <c r="E17" s="448"/>
      <c r="F17" s="448"/>
      <c r="G17" s="448"/>
      <c r="H17" s="448"/>
      <c r="I17" s="448"/>
      <c r="J17" s="448"/>
      <c r="K17" s="448"/>
      <c r="L17" s="448"/>
      <c r="M17" s="448"/>
      <c r="N17" s="448"/>
      <c r="O17" s="448"/>
      <c r="P17" s="448"/>
      <c r="Q17" s="448"/>
      <c r="R17" s="448"/>
      <c r="S17" s="448"/>
      <c r="T17" s="448"/>
      <c r="U17" s="448"/>
      <c r="V17" s="448"/>
      <c r="W17" s="448"/>
      <c r="X17" s="448"/>
      <c r="Y17" s="448"/>
      <c r="Z17" s="448"/>
      <c r="AA17" s="448"/>
      <c r="AB17" s="448"/>
      <c r="AC17" s="448"/>
      <c r="AD17" s="448"/>
      <c r="AE17" s="448"/>
      <c r="AF17" s="448"/>
      <c r="AG17" s="448"/>
      <c r="AH17" s="448"/>
      <c r="AI17" s="448"/>
      <c r="AJ17" s="448"/>
      <c r="AK17" s="449"/>
      <c r="AL17" s="86"/>
      <c r="AM17" s="32"/>
      <c r="AN17" s="32"/>
      <c r="AO17" s="32"/>
      <c r="AP17" s="32"/>
      <c r="AQ17" s="32"/>
      <c r="AR17" s="32"/>
      <c r="AS17" s="32"/>
      <c r="AT17" s="32"/>
      <c r="AU17" s="32"/>
      <c r="AV17" s="32"/>
      <c r="AW17" s="32"/>
      <c r="AX17" s="33"/>
      <c r="AY17" s="33"/>
      <c r="AZ17" s="43"/>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row>
    <row r="18" spans="1:146" ht="12.75" customHeight="1" x14ac:dyDescent="0.2">
      <c r="A18" s="60"/>
      <c r="B18" s="450"/>
      <c r="C18" s="451"/>
      <c r="D18" s="451"/>
      <c r="E18" s="451"/>
      <c r="F18" s="451"/>
      <c r="G18" s="451"/>
      <c r="H18" s="451"/>
      <c r="I18" s="451"/>
      <c r="J18" s="451"/>
      <c r="K18" s="451"/>
      <c r="L18" s="451"/>
      <c r="M18" s="451"/>
      <c r="N18" s="451"/>
      <c r="O18" s="451"/>
      <c r="P18" s="451"/>
      <c r="Q18" s="451"/>
      <c r="R18" s="451"/>
      <c r="S18" s="451"/>
      <c r="T18" s="451"/>
      <c r="U18" s="451"/>
      <c r="V18" s="451"/>
      <c r="W18" s="451"/>
      <c r="X18" s="451"/>
      <c r="Y18" s="451"/>
      <c r="Z18" s="451"/>
      <c r="AA18" s="451"/>
      <c r="AB18" s="451"/>
      <c r="AC18" s="451"/>
      <c r="AD18" s="451"/>
      <c r="AE18" s="451"/>
      <c r="AF18" s="451"/>
      <c r="AG18" s="451"/>
      <c r="AH18" s="451"/>
      <c r="AI18" s="451"/>
      <c r="AJ18" s="451"/>
      <c r="AK18" s="452"/>
      <c r="AL18" s="97"/>
      <c r="AM18" s="32"/>
      <c r="AN18" s="32"/>
      <c r="AO18" s="32"/>
      <c r="AP18" s="32"/>
      <c r="AQ18" s="32"/>
      <c r="AR18" s="32"/>
      <c r="AS18" s="32"/>
      <c r="AT18" s="32"/>
      <c r="AU18" s="32"/>
      <c r="AV18" s="32"/>
      <c r="AW18" s="32"/>
      <c r="AX18" s="33"/>
      <c r="AY18" s="33"/>
      <c r="AZ18" s="43"/>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row>
    <row r="19" spans="1:146" ht="3" customHeight="1" x14ac:dyDescent="0.2">
      <c r="A19" s="60"/>
      <c r="B19" s="341"/>
      <c r="C19" s="342"/>
      <c r="D19" s="342"/>
      <c r="E19" s="342"/>
      <c r="F19" s="342"/>
      <c r="G19" s="342"/>
      <c r="H19" s="342"/>
      <c r="I19" s="342"/>
      <c r="J19" s="342"/>
      <c r="K19" s="342"/>
      <c r="L19" s="342"/>
      <c r="M19" s="342"/>
      <c r="N19" s="342"/>
      <c r="O19" s="342"/>
      <c r="P19" s="342"/>
      <c r="Q19" s="342"/>
      <c r="R19" s="342"/>
      <c r="S19" s="342"/>
      <c r="T19" s="342"/>
      <c r="U19" s="342"/>
      <c r="V19" s="342"/>
      <c r="W19" s="342"/>
      <c r="X19" s="342"/>
      <c r="Y19" s="342"/>
      <c r="Z19" s="342"/>
      <c r="AA19" s="342"/>
      <c r="AB19" s="342"/>
      <c r="AC19" s="342"/>
      <c r="AD19" s="342"/>
      <c r="AE19" s="342"/>
      <c r="AF19" s="342"/>
      <c r="AG19" s="342"/>
      <c r="AH19" s="342"/>
      <c r="AI19" s="342"/>
      <c r="AJ19" s="342"/>
      <c r="AK19" s="343"/>
      <c r="AL19" s="32"/>
      <c r="AM19" s="32"/>
      <c r="AN19" s="32"/>
      <c r="AO19" s="32"/>
      <c r="AP19" s="32"/>
      <c r="AQ19" s="32"/>
      <c r="AR19" s="32"/>
      <c r="AS19" s="32"/>
      <c r="AT19" s="32"/>
      <c r="AU19" s="32"/>
      <c r="AV19" s="32"/>
      <c r="AW19" s="32"/>
      <c r="AX19" s="33"/>
      <c r="AY19" s="33"/>
      <c r="AZ19" s="43"/>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row>
    <row r="20" spans="1:146" ht="19.5" customHeight="1" x14ac:dyDescent="0.2">
      <c r="A20" s="60"/>
      <c r="B20" s="434" t="s">
        <v>3503</v>
      </c>
      <c r="C20" s="435"/>
      <c r="D20" s="435"/>
      <c r="E20" s="435"/>
      <c r="F20" s="435"/>
      <c r="G20" s="435"/>
      <c r="H20" s="435"/>
      <c r="I20" s="435"/>
      <c r="J20" s="435"/>
      <c r="K20" s="435"/>
      <c r="L20" s="435"/>
      <c r="M20" s="435"/>
      <c r="N20" s="435"/>
      <c r="O20" s="435"/>
      <c r="P20" s="435"/>
      <c r="Q20" s="435"/>
      <c r="R20" s="435"/>
      <c r="S20" s="435"/>
      <c r="T20" s="435"/>
      <c r="U20" s="435"/>
      <c r="V20" s="435"/>
      <c r="W20" s="435"/>
      <c r="X20" s="435"/>
      <c r="Y20" s="435"/>
      <c r="Z20" s="435"/>
      <c r="AA20" s="435"/>
      <c r="AB20" s="435"/>
      <c r="AC20" s="435"/>
      <c r="AD20" s="435"/>
      <c r="AE20" s="435"/>
      <c r="AF20" s="435"/>
      <c r="AG20" s="436"/>
      <c r="AH20" s="100"/>
      <c r="AI20" s="100"/>
      <c r="AJ20" s="100"/>
      <c r="AK20" s="101"/>
      <c r="AL20" s="86"/>
      <c r="AM20" s="379" t="s">
        <v>583</v>
      </c>
      <c r="AN20" s="380"/>
      <c r="AO20" s="380"/>
      <c r="AP20" s="380"/>
      <c r="AQ20" s="380"/>
      <c r="AR20" s="380"/>
      <c r="AS20" s="380"/>
      <c r="AT20" s="380"/>
      <c r="AU20" s="380"/>
      <c r="AV20" s="380"/>
      <c r="AW20" s="380"/>
      <c r="AX20" s="33"/>
      <c r="AY20" s="33"/>
      <c r="AZ20" s="43"/>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row>
    <row r="21" spans="1:146" ht="12.75" customHeight="1" x14ac:dyDescent="0.2">
      <c r="A21" s="60"/>
      <c r="B21" s="447"/>
      <c r="C21" s="448"/>
      <c r="D21" s="448"/>
      <c r="E21" s="448"/>
      <c r="F21" s="448"/>
      <c r="G21" s="448"/>
      <c r="H21" s="448"/>
      <c r="I21" s="448"/>
      <c r="J21" s="448"/>
      <c r="K21" s="448"/>
      <c r="L21" s="448"/>
      <c r="M21" s="448"/>
      <c r="N21" s="448"/>
      <c r="O21" s="448"/>
      <c r="P21" s="448"/>
      <c r="Q21" s="448"/>
      <c r="R21" s="448"/>
      <c r="S21" s="448"/>
      <c r="T21" s="448"/>
      <c r="U21" s="448"/>
      <c r="V21" s="448"/>
      <c r="W21" s="448"/>
      <c r="X21" s="448"/>
      <c r="Y21" s="448"/>
      <c r="Z21" s="448"/>
      <c r="AA21" s="448"/>
      <c r="AB21" s="448"/>
      <c r="AC21" s="448"/>
      <c r="AD21" s="448"/>
      <c r="AE21" s="448"/>
      <c r="AF21" s="448"/>
      <c r="AG21" s="448"/>
      <c r="AH21" s="448"/>
      <c r="AI21" s="448"/>
      <c r="AJ21" s="448"/>
      <c r="AK21" s="449"/>
      <c r="AL21" s="86"/>
      <c r="AM21" s="32"/>
      <c r="AN21" s="32"/>
      <c r="AO21" s="32"/>
      <c r="AP21" s="32"/>
      <c r="AQ21" s="32"/>
      <c r="AR21" s="32"/>
      <c r="AS21" s="32"/>
      <c r="AT21" s="32"/>
      <c r="AU21" s="32"/>
      <c r="AV21" s="32"/>
      <c r="AW21" s="32"/>
      <c r="AX21" s="33"/>
      <c r="AY21" s="33"/>
      <c r="AZ21" s="43"/>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row>
    <row r="22" spans="1:146" ht="12.75" customHeight="1" x14ac:dyDescent="0.2">
      <c r="A22" s="60"/>
      <c r="B22" s="450"/>
      <c r="C22" s="451"/>
      <c r="D22" s="451"/>
      <c r="E22" s="451"/>
      <c r="F22" s="451"/>
      <c r="G22" s="451"/>
      <c r="H22" s="451"/>
      <c r="I22" s="451"/>
      <c r="J22" s="451"/>
      <c r="K22" s="451"/>
      <c r="L22" s="451"/>
      <c r="M22" s="451"/>
      <c r="N22" s="451"/>
      <c r="O22" s="451"/>
      <c r="P22" s="451"/>
      <c r="Q22" s="451"/>
      <c r="R22" s="451"/>
      <c r="S22" s="451"/>
      <c r="T22" s="451"/>
      <c r="U22" s="451"/>
      <c r="V22" s="451"/>
      <c r="W22" s="451"/>
      <c r="X22" s="451"/>
      <c r="Y22" s="451"/>
      <c r="Z22" s="451"/>
      <c r="AA22" s="451"/>
      <c r="AB22" s="451"/>
      <c r="AC22" s="451"/>
      <c r="AD22" s="451"/>
      <c r="AE22" s="451"/>
      <c r="AF22" s="451"/>
      <c r="AG22" s="451"/>
      <c r="AH22" s="451"/>
      <c r="AI22" s="451"/>
      <c r="AJ22" s="451"/>
      <c r="AK22" s="452"/>
      <c r="AL22" s="86"/>
      <c r="AM22" s="32"/>
      <c r="AN22" s="32"/>
      <c r="AO22" s="32"/>
      <c r="AP22" s="32"/>
      <c r="AQ22" s="32"/>
      <c r="AR22" s="32"/>
      <c r="AS22" s="32"/>
      <c r="AT22" s="32"/>
      <c r="AU22" s="32"/>
      <c r="AV22" s="32"/>
      <c r="AW22" s="32"/>
      <c r="AX22" s="33"/>
      <c r="AY22" s="33"/>
      <c r="AZ22" s="43"/>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row>
    <row r="23" spans="1:146" ht="3" customHeight="1" x14ac:dyDescent="0.2">
      <c r="A23" s="60"/>
      <c r="B23" s="341"/>
      <c r="C23" s="342"/>
      <c r="D23" s="342"/>
      <c r="E23" s="342"/>
      <c r="F23" s="342"/>
      <c r="G23" s="342"/>
      <c r="H23" s="342"/>
      <c r="I23" s="342"/>
      <c r="J23" s="342"/>
      <c r="K23" s="342"/>
      <c r="L23" s="342"/>
      <c r="M23" s="342"/>
      <c r="N23" s="342"/>
      <c r="O23" s="342"/>
      <c r="P23" s="342"/>
      <c r="Q23" s="342"/>
      <c r="R23" s="342"/>
      <c r="S23" s="342"/>
      <c r="T23" s="342"/>
      <c r="U23" s="342"/>
      <c r="V23" s="342"/>
      <c r="W23" s="342"/>
      <c r="X23" s="342"/>
      <c r="Y23" s="342"/>
      <c r="Z23" s="342"/>
      <c r="AA23" s="342"/>
      <c r="AB23" s="342"/>
      <c r="AC23" s="342"/>
      <c r="AD23" s="342"/>
      <c r="AE23" s="342"/>
      <c r="AF23" s="342"/>
      <c r="AG23" s="342"/>
      <c r="AH23" s="342"/>
      <c r="AI23" s="342"/>
      <c r="AJ23" s="342"/>
      <c r="AK23" s="343"/>
      <c r="AL23" s="32"/>
      <c r="AM23" s="32"/>
      <c r="AN23" s="32"/>
      <c r="AO23" s="32"/>
      <c r="AP23" s="32"/>
      <c r="AQ23" s="32"/>
      <c r="AR23" s="32"/>
      <c r="AS23" s="32"/>
      <c r="AT23" s="32"/>
      <c r="AU23" s="32"/>
      <c r="AV23" s="32"/>
      <c r="AW23" s="32"/>
      <c r="AX23" s="33"/>
      <c r="AY23" s="33"/>
      <c r="AZ23" s="43"/>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row>
    <row r="24" spans="1:146" ht="15" x14ac:dyDescent="0.2">
      <c r="A24" s="212" t="s">
        <v>3193</v>
      </c>
      <c r="B24" s="426"/>
      <c r="C24" s="426"/>
      <c r="D24" s="426"/>
      <c r="E24" s="426"/>
      <c r="F24" s="426"/>
      <c r="G24" s="426"/>
      <c r="H24" s="426"/>
      <c r="I24" s="426"/>
      <c r="J24" s="426"/>
      <c r="K24" s="426"/>
      <c r="L24" s="426"/>
      <c r="M24" s="426"/>
      <c r="N24" s="426"/>
      <c r="O24" s="426"/>
      <c r="P24" s="426"/>
      <c r="Q24" s="426"/>
      <c r="R24" s="426"/>
      <c r="S24" s="426"/>
      <c r="T24" s="426"/>
      <c r="U24" s="426"/>
      <c r="V24" s="426"/>
      <c r="W24" s="426"/>
      <c r="X24" s="426"/>
      <c r="Y24" s="426"/>
      <c r="Z24" s="426"/>
      <c r="AA24" s="426"/>
      <c r="AB24" s="426"/>
      <c r="AC24" s="426"/>
      <c r="AD24" s="426"/>
      <c r="AE24" s="426"/>
      <c r="AF24" s="426"/>
      <c r="AG24" s="426"/>
      <c r="AH24" s="426"/>
      <c r="AI24" s="426"/>
      <c r="AJ24" s="426"/>
      <c r="AK24" s="427"/>
      <c r="AL24" s="34"/>
      <c r="AM24" s="34"/>
      <c r="AN24" s="34"/>
      <c r="AO24" s="34"/>
      <c r="AP24" s="34"/>
      <c r="AQ24" s="34"/>
      <c r="AR24" s="34"/>
      <c r="AS24" s="34"/>
      <c r="AT24" s="34"/>
      <c r="AU24" s="34"/>
      <c r="AV24" s="34"/>
      <c r="AW24" s="34"/>
      <c r="AX24" s="33"/>
      <c r="AY24" s="33"/>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10"/>
      <c r="DJ24" s="68"/>
      <c r="DK24" s="11"/>
      <c r="DL24" s="11"/>
      <c r="DM24" s="11"/>
      <c r="DN24" s="11"/>
      <c r="DO24" s="11"/>
      <c r="DP24" s="11"/>
      <c r="DQ24" s="11"/>
      <c r="DR24" s="11"/>
      <c r="DS24" s="12"/>
      <c r="DT24" s="11"/>
      <c r="DU24" s="10"/>
      <c r="DV24" s="9"/>
      <c r="DW24" s="9"/>
      <c r="DX24" s="9"/>
      <c r="DY24" s="9"/>
      <c r="DZ24" s="9"/>
      <c r="EA24" s="9"/>
      <c r="EB24" s="9"/>
      <c r="EC24" s="9"/>
      <c r="ED24" s="10"/>
      <c r="EE24" s="10"/>
      <c r="EF24" s="14"/>
      <c r="EG24" s="10"/>
      <c r="EH24" s="10"/>
      <c r="EI24" s="10"/>
      <c r="EJ24" s="10"/>
      <c r="EK24" s="10"/>
      <c r="EL24" s="10"/>
      <c r="EM24" s="10"/>
      <c r="EN24" s="17"/>
      <c r="EO24" s="10"/>
      <c r="EP24" s="10"/>
    </row>
    <row r="25" spans="1:146" ht="13.7" customHeight="1" x14ac:dyDescent="0.2">
      <c r="A25" s="35">
        <v>2</v>
      </c>
      <c r="B25" s="201" t="s">
        <v>3395</v>
      </c>
      <c r="C25" s="202"/>
      <c r="D25" s="202"/>
      <c r="E25" s="202"/>
      <c r="F25" s="445" t="s">
        <v>3389</v>
      </c>
      <c r="G25" s="446"/>
      <c r="H25" s="463"/>
      <c r="I25" s="464"/>
      <c r="J25" s="464"/>
      <c r="K25" s="464"/>
      <c r="L25" s="464"/>
      <c r="M25" s="464"/>
      <c r="N25" s="464"/>
      <c r="O25" s="465"/>
      <c r="P25" s="453" t="s">
        <v>3194</v>
      </c>
      <c r="Q25" s="454"/>
      <c r="R25" s="455"/>
      <c r="S25" s="166"/>
      <c r="T25" s="171"/>
      <c r="U25" s="171"/>
      <c r="V25" s="171"/>
      <c r="W25" s="171"/>
      <c r="X25" s="171"/>
      <c r="Y25" s="171"/>
      <c r="Z25" s="172"/>
      <c r="AA25" s="444" t="s">
        <v>3388</v>
      </c>
      <c r="AB25" s="445"/>
      <c r="AC25" s="445"/>
      <c r="AD25" s="446"/>
      <c r="AE25" s="166"/>
      <c r="AF25" s="171"/>
      <c r="AG25" s="171"/>
      <c r="AH25" s="171"/>
      <c r="AI25" s="171"/>
      <c r="AJ25" s="171"/>
      <c r="AK25" s="172"/>
      <c r="AL25" s="34"/>
      <c r="AM25" s="443" t="s">
        <v>3465</v>
      </c>
      <c r="AN25" s="443"/>
      <c r="AO25" s="443"/>
      <c r="AP25" s="443"/>
      <c r="AQ25" s="443"/>
      <c r="AR25" s="443"/>
      <c r="AS25" s="443"/>
      <c r="AT25" s="443"/>
      <c r="AU25" s="443"/>
      <c r="AV25" s="443"/>
      <c r="AW25" s="443"/>
      <c r="AX25" s="443"/>
      <c r="AY25" s="33"/>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t="s">
        <v>584</v>
      </c>
      <c r="DF25" s="9"/>
      <c r="DG25" s="9"/>
      <c r="DH25" s="9"/>
      <c r="DI25" s="10"/>
      <c r="DJ25" s="68"/>
      <c r="DK25" s="11"/>
      <c r="DL25" s="11"/>
      <c r="DM25" s="11"/>
      <c r="DN25" s="11"/>
      <c r="DO25" s="11"/>
      <c r="DP25" s="11"/>
      <c r="DQ25" s="11"/>
      <c r="DR25" s="11"/>
      <c r="DS25" s="12"/>
      <c r="DT25" s="11"/>
      <c r="DU25" s="10"/>
      <c r="DV25" s="9"/>
      <c r="DW25" s="9"/>
      <c r="DX25" s="9"/>
      <c r="DY25" s="9"/>
      <c r="DZ25" s="9"/>
      <c r="EA25" s="9"/>
      <c r="EB25" s="9"/>
      <c r="EC25" s="9"/>
      <c r="ED25" s="10"/>
      <c r="EE25" s="10"/>
      <c r="EF25" s="10"/>
      <c r="EG25" s="11"/>
      <c r="EH25" s="11"/>
      <c r="EI25" s="11"/>
      <c r="EJ25" s="11"/>
      <c r="EK25" s="11"/>
      <c r="EL25" s="11"/>
      <c r="EM25" s="11"/>
      <c r="EN25" s="12"/>
      <c r="EO25" s="11"/>
      <c r="EP25" s="10"/>
    </row>
    <row r="26" spans="1:146" ht="13.7" customHeight="1" x14ac:dyDescent="0.2">
      <c r="A26" s="36"/>
      <c r="B26" s="199" t="s">
        <v>3550</v>
      </c>
      <c r="C26" s="482"/>
      <c r="D26" s="482"/>
      <c r="E26" s="482"/>
      <c r="F26" s="349"/>
      <c r="G26" s="350"/>
      <c r="H26" s="169"/>
      <c r="I26" s="480"/>
      <c r="J26" s="480"/>
      <c r="K26" s="480"/>
      <c r="L26" s="481"/>
      <c r="M26" s="471" t="s">
        <v>3420</v>
      </c>
      <c r="N26" s="472"/>
      <c r="O26" s="472"/>
      <c r="P26" s="454"/>
      <c r="Q26" s="454"/>
      <c r="R26" s="455"/>
      <c r="S26" s="166"/>
      <c r="T26" s="171"/>
      <c r="U26" s="171"/>
      <c r="V26" s="171"/>
      <c r="W26" s="171"/>
      <c r="X26" s="171"/>
      <c r="Y26" s="171"/>
      <c r="Z26" s="172"/>
      <c r="AA26" s="483" t="s">
        <v>3196</v>
      </c>
      <c r="AB26" s="484"/>
      <c r="AC26" s="484"/>
      <c r="AD26" s="485"/>
      <c r="AE26" s="166"/>
      <c r="AF26" s="171"/>
      <c r="AG26" s="171"/>
      <c r="AH26" s="171"/>
      <c r="AI26" s="171"/>
      <c r="AJ26" s="171"/>
      <c r="AK26" s="172"/>
      <c r="AL26" s="34"/>
      <c r="AM26" s="443"/>
      <c r="AN26" s="443"/>
      <c r="AO26" s="443"/>
      <c r="AP26" s="443"/>
      <c r="AQ26" s="443"/>
      <c r="AR26" s="443"/>
      <c r="AS26" s="443"/>
      <c r="AT26" s="443"/>
      <c r="AU26" s="443"/>
      <c r="AV26" s="443"/>
      <c r="AW26" s="443"/>
      <c r="AX26" s="443"/>
      <c r="AY26" s="33"/>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t="s">
        <v>585</v>
      </c>
      <c r="DF26" s="9"/>
      <c r="DG26" s="9"/>
      <c r="DH26" s="9"/>
      <c r="DI26" s="10"/>
      <c r="DJ26" s="10"/>
      <c r="DK26" s="10"/>
      <c r="DL26" s="10"/>
      <c r="DM26" s="10"/>
      <c r="DN26" s="10"/>
      <c r="DO26" s="10"/>
      <c r="DP26" s="10"/>
      <c r="DQ26" s="10"/>
      <c r="DR26" s="18"/>
      <c r="DS26" s="17"/>
      <c r="DT26" s="10"/>
      <c r="DU26" s="10"/>
      <c r="DV26" s="9"/>
      <c r="DW26" s="9"/>
      <c r="DX26" s="9"/>
      <c r="DY26" s="9"/>
      <c r="DZ26" s="9"/>
      <c r="EA26" s="9"/>
      <c r="EB26" s="9"/>
      <c r="EC26" s="9"/>
      <c r="ED26" s="10"/>
      <c r="EE26" s="10"/>
      <c r="EF26" s="10"/>
      <c r="EG26" s="11"/>
      <c r="EH26" s="11"/>
      <c r="EI26" s="11"/>
      <c r="EJ26" s="11"/>
      <c r="EK26" s="11"/>
      <c r="EL26" s="11"/>
      <c r="EM26" s="11"/>
      <c r="EN26" s="12"/>
      <c r="EO26" s="11"/>
      <c r="EP26" s="10"/>
    </row>
    <row r="27" spans="1:146" ht="6" customHeight="1" x14ac:dyDescent="0.2">
      <c r="A27" s="38"/>
      <c r="B27" s="201"/>
      <c r="C27" s="202"/>
      <c r="D27" s="202"/>
      <c r="E27" s="202"/>
      <c r="F27" s="202"/>
      <c r="G27" s="202"/>
      <c r="H27" s="202"/>
      <c r="I27" s="202"/>
      <c r="J27" s="202"/>
      <c r="K27" s="202"/>
      <c r="L27" s="202"/>
      <c r="M27" s="202"/>
      <c r="N27" s="202"/>
      <c r="O27" s="202"/>
      <c r="P27" s="202"/>
      <c r="Q27" s="202"/>
      <c r="R27" s="202"/>
      <c r="S27" s="202"/>
      <c r="T27" s="202"/>
      <c r="U27" s="202"/>
      <c r="V27" s="202"/>
      <c r="W27" s="202"/>
      <c r="X27" s="202"/>
      <c r="Y27" s="202"/>
      <c r="Z27" s="202"/>
      <c r="AA27" s="202"/>
      <c r="AB27" s="202"/>
      <c r="AC27" s="202"/>
      <c r="AD27" s="202"/>
      <c r="AE27" s="202"/>
      <c r="AF27" s="202"/>
      <c r="AG27" s="202"/>
      <c r="AH27" s="202"/>
      <c r="AI27" s="202"/>
      <c r="AJ27" s="202"/>
      <c r="AK27" s="203"/>
      <c r="AL27" s="34"/>
      <c r="AM27" s="34"/>
      <c r="AN27" s="34"/>
      <c r="AO27" s="34"/>
      <c r="AP27"/>
      <c r="AQ27" s="34"/>
      <c r="AR27" s="34"/>
      <c r="AS27" s="34"/>
      <c r="AT27" s="34"/>
      <c r="AU27" s="34"/>
      <c r="AV27" s="34"/>
      <c r="AW27" s="34"/>
      <c r="AX27" s="33"/>
      <c r="AY27" s="33"/>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10"/>
      <c r="DJ27" s="10"/>
      <c r="DK27" s="10"/>
      <c r="DL27" s="10"/>
      <c r="DM27" s="10"/>
      <c r="DN27" s="10"/>
      <c r="DO27" s="10"/>
      <c r="DP27" s="10"/>
      <c r="DQ27" s="10"/>
      <c r="DR27" s="10"/>
      <c r="DS27" s="10"/>
      <c r="DT27" s="10"/>
      <c r="DU27" s="10"/>
      <c r="DV27" s="9"/>
      <c r="DW27" s="9"/>
      <c r="DX27" s="9"/>
      <c r="DY27" s="9"/>
      <c r="DZ27" s="9"/>
      <c r="EA27" s="9"/>
      <c r="EB27" s="9"/>
      <c r="EC27" s="9"/>
      <c r="ED27" s="10"/>
      <c r="EE27" s="10"/>
      <c r="EF27" s="10"/>
      <c r="EG27" s="10"/>
      <c r="EH27" s="10"/>
      <c r="EI27" s="10"/>
      <c r="EJ27" s="10"/>
      <c r="EK27" s="10"/>
      <c r="EL27" s="10"/>
      <c r="EO27" s="10"/>
      <c r="EP27" s="10"/>
    </row>
    <row r="28" spans="1:146" x14ac:dyDescent="0.2">
      <c r="A28" s="41"/>
      <c r="B28" s="467" t="s">
        <v>3417</v>
      </c>
      <c r="C28" s="467"/>
      <c r="D28" s="467"/>
      <c r="E28" s="467"/>
      <c r="F28" s="467"/>
      <c r="G28" s="467"/>
      <c r="H28" s="467"/>
      <c r="I28" s="467"/>
      <c r="J28" s="468"/>
      <c r="K28" s="166"/>
      <c r="L28" s="171"/>
      <c r="M28" s="171"/>
      <c r="N28" s="171"/>
      <c r="O28" s="171"/>
      <c r="P28" s="171"/>
      <c r="Q28" s="171"/>
      <c r="R28" s="171"/>
      <c r="S28" s="172"/>
      <c r="T28" s="166"/>
      <c r="U28" s="171"/>
      <c r="V28" s="171"/>
      <c r="W28" s="171"/>
      <c r="X28" s="171"/>
      <c r="Y28" s="171"/>
      <c r="Z28" s="171"/>
      <c r="AA28" s="171"/>
      <c r="AB28" s="172"/>
      <c r="AC28" s="166"/>
      <c r="AD28" s="171"/>
      <c r="AE28" s="171"/>
      <c r="AF28" s="171"/>
      <c r="AG28" s="171"/>
      <c r="AH28" s="171"/>
      <c r="AI28" s="171"/>
      <c r="AJ28" s="171"/>
      <c r="AK28" s="172"/>
      <c r="AL28" s="40"/>
      <c r="AM28" s="40"/>
      <c r="AN28" s="40"/>
      <c r="AO28" s="40"/>
      <c r="AP28" s="40"/>
      <c r="AQ28" s="40"/>
      <c r="AR28" s="40"/>
      <c r="AS28" s="40"/>
      <c r="AT28" s="40"/>
      <c r="AU28" s="34"/>
      <c r="AV28" s="34"/>
      <c r="AW28" s="34"/>
      <c r="AX28" s="33"/>
      <c r="AY28" s="33"/>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t="s">
        <v>586</v>
      </c>
      <c r="DF28" s="9"/>
      <c r="DG28" s="9"/>
      <c r="DH28" s="9"/>
      <c r="DI28" s="10"/>
      <c r="DJ28" s="10"/>
      <c r="DK28" s="10"/>
      <c r="DL28" s="10"/>
      <c r="DM28" s="10"/>
      <c r="DN28" s="10"/>
      <c r="DO28" s="10"/>
      <c r="DP28" s="10"/>
      <c r="DQ28" s="10"/>
      <c r="DR28" s="10"/>
      <c r="DS28" s="10"/>
      <c r="DT28" s="10"/>
      <c r="DU28" s="10"/>
      <c r="DV28" s="9"/>
      <c r="DW28" s="9"/>
      <c r="DX28" s="9"/>
      <c r="DY28" s="9"/>
      <c r="DZ28" s="9"/>
      <c r="EA28" s="9"/>
      <c r="EB28" s="9"/>
      <c r="EC28" s="9"/>
      <c r="ED28" s="10"/>
      <c r="EE28" s="10"/>
      <c r="EF28" s="10"/>
      <c r="EG28" s="10"/>
      <c r="EH28" s="10"/>
      <c r="EI28" s="10"/>
      <c r="EJ28" s="10"/>
      <c r="EK28" s="10"/>
      <c r="EL28" s="10"/>
    </row>
    <row r="29" spans="1:146" x14ac:dyDescent="0.2">
      <c r="A29" s="41"/>
      <c r="B29" s="469"/>
      <c r="C29" s="469"/>
      <c r="D29" s="469"/>
      <c r="E29" s="469"/>
      <c r="F29" s="469"/>
      <c r="G29" s="469"/>
      <c r="H29" s="469"/>
      <c r="I29" s="469"/>
      <c r="J29" s="470"/>
      <c r="K29" s="160" t="s">
        <v>3461</v>
      </c>
      <c r="L29" s="200"/>
      <c r="M29" s="166"/>
      <c r="N29" s="171"/>
      <c r="O29" s="171"/>
      <c r="P29" s="172"/>
      <c r="Q29" s="160" t="s">
        <v>3463</v>
      </c>
      <c r="R29" s="161"/>
      <c r="S29" s="162"/>
      <c r="T29" s="166"/>
      <c r="U29" s="171"/>
      <c r="V29" s="171"/>
      <c r="W29" s="171"/>
      <c r="X29" s="172"/>
      <c r="Y29" s="160" t="s">
        <v>3460</v>
      </c>
      <c r="Z29" s="161"/>
      <c r="AA29" s="200"/>
      <c r="AB29" s="166"/>
      <c r="AC29" s="171"/>
      <c r="AD29" s="171"/>
      <c r="AE29" s="172"/>
      <c r="AF29" s="199" t="s">
        <v>3487</v>
      </c>
      <c r="AG29" s="466"/>
      <c r="AH29" s="466"/>
      <c r="AI29" s="166"/>
      <c r="AJ29" s="231"/>
      <c r="AK29" s="232"/>
      <c r="AL29" s="40"/>
      <c r="AM29" s="40"/>
      <c r="AN29" s="40"/>
      <c r="AO29" s="40"/>
      <c r="AP29" s="40"/>
      <c r="AQ29" s="40"/>
      <c r="AR29" s="40"/>
      <c r="AS29" s="40"/>
      <c r="AT29" s="40"/>
      <c r="AU29" s="34"/>
      <c r="AV29" s="34"/>
      <c r="AW29" s="34"/>
      <c r="AX29" s="33"/>
      <c r="AY29" s="33"/>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t="s">
        <v>587</v>
      </c>
      <c r="DF29" s="9"/>
      <c r="DG29" s="9"/>
      <c r="DH29" s="9"/>
      <c r="DI29" s="10"/>
      <c r="DJ29" s="10"/>
      <c r="DK29" s="10"/>
      <c r="DL29" s="10"/>
      <c r="DM29" s="10"/>
      <c r="DN29" s="10"/>
      <c r="DO29" s="10"/>
      <c r="DP29" s="10"/>
      <c r="DQ29" s="10"/>
      <c r="DR29" s="10"/>
      <c r="DS29" s="10"/>
      <c r="DT29" s="10"/>
      <c r="DU29" s="10"/>
      <c r="DV29" s="9"/>
      <c r="DW29" s="9"/>
      <c r="DX29" s="9"/>
      <c r="DY29" s="9"/>
      <c r="DZ29" s="9"/>
      <c r="EA29" s="9"/>
      <c r="EB29" s="9"/>
      <c r="EC29" s="9"/>
      <c r="ED29" s="9"/>
      <c r="EE29" s="9"/>
      <c r="EF29" s="9"/>
    </row>
    <row r="30" spans="1:146" ht="12" customHeight="1" x14ac:dyDescent="0.2">
      <c r="A30" s="41"/>
      <c r="B30" s="477" t="s">
        <v>3198</v>
      </c>
      <c r="C30" s="478"/>
      <c r="D30" s="478"/>
      <c r="E30" s="479"/>
      <c r="F30" s="166"/>
      <c r="G30" s="171"/>
      <c r="H30" s="172"/>
      <c r="I30" s="201" t="s">
        <v>3199</v>
      </c>
      <c r="J30" s="203"/>
      <c r="K30" s="166"/>
      <c r="L30" s="171"/>
      <c r="M30" s="171"/>
      <c r="N30" s="172"/>
      <c r="O30" s="199" t="s">
        <v>3200</v>
      </c>
      <c r="P30" s="200"/>
      <c r="Q30" s="166"/>
      <c r="R30" s="171"/>
      <c r="S30" s="171"/>
      <c r="T30" s="420"/>
      <c r="U30" s="263" t="s">
        <v>3201</v>
      </c>
      <c r="V30" s="264"/>
      <c r="W30" s="265"/>
      <c r="X30" s="166"/>
      <c r="Y30" s="171"/>
      <c r="Z30" s="171"/>
      <c r="AA30" s="172"/>
      <c r="AB30" s="279" t="s">
        <v>3202</v>
      </c>
      <c r="AC30" s="265"/>
      <c r="AD30" s="276"/>
      <c r="AE30" s="277"/>
      <c r="AF30" s="277"/>
      <c r="AG30" s="277"/>
      <c r="AH30" s="277"/>
      <c r="AI30" s="277"/>
      <c r="AJ30" s="277"/>
      <c r="AK30" s="278"/>
      <c r="AL30" s="37"/>
      <c r="AM30" s="37"/>
      <c r="AN30" s="37"/>
      <c r="AO30" s="37"/>
      <c r="AP30" s="37"/>
      <c r="AQ30" s="37"/>
      <c r="AR30" s="37"/>
      <c r="AS30" s="37"/>
      <c r="AT30" s="37"/>
      <c r="AU30" s="33"/>
      <c r="AV30" s="33"/>
      <c r="AW30" s="33"/>
      <c r="AX30" s="33"/>
      <c r="AY30" s="33"/>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t="s">
        <v>588</v>
      </c>
      <c r="DF30" s="9"/>
      <c r="DG30" s="9"/>
      <c r="DH30" s="9"/>
      <c r="DI30" s="10"/>
      <c r="DJ30" s="10"/>
      <c r="DK30" s="10"/>
      <c r="DL30" s="10"/>
      <c r="DM30" s="10"/>
      <c r="DN30" s="10"/>
      <c r="DO30" s="10"/>
      <c r="DP30" s="10"/>
      <c r="DQ30" s="10"/>
      <c r="DR30" s="10"/>
      <c r="DS30" s="10"/>
      <c r="DT30" s="10"/>
      <c r="DU30" s="10"/>
      <c r="DV30" s="9"/>
      <c r="DW30" s="9"/>
      <c r="DX30" s="9"/>
      <c r="DY30" s="9"/>
      <c r="DZ30" s="9"/>
      <c r="EA30" s="9"/>
      <c r="EB30" s="9"/>
      <c r="EC30" s="9"/>
      <c r="ED30" s="9"/>
      <c r="EE30" s="9"/>
      <c r="EF30" s="9"/>
    </row>
    <row r="31" spans="1:146" ht="20.25" customHeight="1" x14ac:dyDescent="0.2">
      <c r="A31" s="41"/>
      <c r="B31" s="473" t="s">
        <v>3402</v>
      </c>
      <c r="C31" s="177"/>
      <c r="D31" s="177"/>
      <c r="E31" s="177"/>
      <c r="F31" s="177"/>
      <c r="G31" s="177"/>
      <c r="H31" s="177"/>
      <c r="I31" s="177"/>
      <c r="J31" s="178"/>
      <c r="K31" s="345"/>
      <c r="L31" s="349"/>
      <c r="M31" s="92" t="s">
        <v>589</v>
      </c>
      <c r="N31" s="349"/>
      <c r="O31" s="349"/>
      <c r="P31" s="349"/>
      <c r="Q31" s="349"/>
      <c r="R31" s="349"/>
      <c r="S31" s="349"/>
      <c r="T31" s="349"/>
      <c r="U31" s="349"/>
      <c r="V31" s="349"/>
      <c r="W31" s="349"/>
      <c r="X31" s="349"/>
      <c r="Y31" s="349"/>
      <c r="Z31" s="349"/>
      <c r="AA31" s="349"/>
      <c r="AB31" s="349"/>
      <c r="AC31" s="349"/>
      <c r="AD31" s="349"/>
      <c r="AE31" s="349"/>
      <c r="AF31" s="349"/>
      <c r="AG31" s="349"/>
      <c r="AH31" s="349"/>
      <c r="AI31" s="349"/>
      <c r="AJ31" s="349"/>
      <c r="AK31" s="350"/>
      <c r="AL31" s="37"/>
      <c r="AM31" s="37"/>
      <c r="AN31" s="37"/>
      <c r="AO31" s="37"/>
      <c r="AP31" s="37"/>
      <c r="AQ31" s="37"/>
      <c r="AR31" s="37"/>
      <c r="AS31" s="37"/>
      <c r="AT31" s="37"/>
      <c r="AU31" s="33"/>
      <c r="AV31" s="33"/>
      <c r="AW31" s="33"/>
      <c r="AX31" s="33"/>
      <c r="AY31" s="33"/>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t="s">
        <v>590</v>
      </c>
      <c r="DF31" s="9"/>
      <c r="DG31" s="9"/>
      <c r="DH31" s="9"/>
      <c r="DI31" s="10"/>
      <c r="DJ31" s="10"/>
      <c r="DK31" s="10"/>
      <c r="DL31" s="10"/>
      <c r="DM31" s="10"/>
      <c r="DN31" s="10"/>
      <c r="DO31" s="10"/>
      <c r="DP31" s="10"/>
      <c r="DQ31" s="10"/>
      <c r="DR31" s="10"/>
      <c r="DS31" s="10"/>
      <c r="DT31" s="10"/>
      <c r="DU31" s="10"/>
      <c r="DV31" s="9"/>
      <c r="DW31" s="9"/>
      <c r="DX31" s="9"/>
      <c r="DY31" s="9"/>
      <c r="DZ31" s="9"/>
      <c r="EA31" s="9"/>
      <c r="EB31" s="9"/>
      <c r="EC31" s="9"/>
      <c r="ED31" s="9"/>
      <c r="EE31" s="9"/>
      <c r="EF31" s="9"/>
    </row>
    <row r="32" spans="1:146" ht="12.75" customHeight="1" x14ac:dyDescent="0.2">
      <c r="A32" s="38"/>
      <c r="B32" s="474"/>
      <c r="C32" s="475"/>
      <c r="D32" s="475"/>
      <c r="E32" s="475"/>
      <c r="F32" s="475"/>
      <c r="G32" s="475"/>
      <c r="H32" s="475"/>
      <c r="I32" s="475"/>
      <c r="J32" s="476"/>
      <c r="K32" s="171" t="s">
        <v>3515</v>
      </c>
      <c r="L32" s="171"/>
      <c r="M32" s="171"/>
      <c r="N32" s="171"/>
      <c r="O32" s="171"/>
      <c r="P32" s="171"/>
      <c r="Q32" s="171"/>
      <c r="R32" s="171"/>
      <c r="S32" s="172"/>
      <c r="T32" s="166" t="s">
        <v>591</v>
      </c>
      <c r="U32" s="171"/>
      <c r="V32" s="171"/>
      <c r="W32" s="171"/>
      <c r="X32" s="171"/>
      <c r="Y32" s="171"/>
      <c r="Z32" s="171"/>
      <c r="AA32" s="171"/>
      <c r="AB32" s="172"/>
      <c r="AC32" s="166" t="s">
        <v>592</v>
      </c>
      <c r="AD32" s="171"/>
      <c r="AE32" s="171"/>
      <c r="AF32" s="171"/>
      <c r="AG32" s="171"/>
      <c r="AH32" s="171"/>
      <c r="AI32" s="171"/>
      <c r="AJ32" s="171"/>
      <c r="AK32" s="172"/>
      <c r="AL32" s="33"/>
      <c r="AM32" s="33"/>
      <c r="AN32" s="33"/>
      <c r="AO32" s="33"/>
      <c r="AP32" s="33"/>
      <c r="AQ32" s="33"/>
      <c r="AR32" s="33"/>
      <c r="AS32" s="33"/>
      <c r="AT32" s="33"/>
      <c r="AU32" s="33"/>
      <c r="AV32" s="33"/>
      <c r="AW32" s="33"/>
      <c r="AX32" s="33"/>
      <c r="AY32" s="33"/>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t="s">
        <v>593</v>
      </c>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row>
    <row r="33" spans="1:146" ht="12.75" customHeight="1" x14ac:dyDescent="0.2">
      <c r="A33" s="38"/>
      <c r="B33" s="179"/>
      <c r="C33" s="180"/>
      <c r="D33" s="180"/>
      <c r="E33" s="180"/>
      <c r="F33" s="180"/>
      <c r="G33" s="180"/>
      <c r="H33" s="180"/>
      <c r="I33" s="180"/>
      <c r="J33" s="181"/>
      <c r="K33" s="161" t="s">
        <v>594</v>
      </c>
      <c r="L33" s="200"/>
      <c r="M33" s="166" t="s">
        <v>595</v>
      </c>
      <c r="N33" s="171"/>
      <c r="O33" s="171"/>
      <c r="P33" s="172"/>
      <c r="Q33" s="160" t="s">
        <v>596</v>
      </c>
      <c r="R33" s="161"/>
      <c r="S33" s="162"/>
      <c r="T33" s="166" t="s">
        <v>597</v>
      </c>
      <c r="U33" s="171"/>
      <c r="V33" s="171"/>
      <c r="W33" s="171"/>
      <c r="X33" s="172"/>
      <c r="Y33" s="160" t="s">
        <v>598</v>
      </c>
      <c r="Z33" s="161"/>
      <c r="AA33" s="200"/>
      <c r="AB33" s="166"/>
      <c r="AC33" s="171"/>
      <c r="AD33" s="171"/>
      <c r="AE33" s="172"/>
      <c r="AF33" s="199" t="s">
        <v>3462</v>
      </c>
      <c r="AG33" s="466"/>
      <c r="AH33" s="466"/>
      <c r="AI33" s="166" t="s">
        <v>599</v>
      </c>
      <c r="AJ33" s="231"/>
      <c r="AK33" s="232"/>
      <c r="AL33" s="33"/>
      <c r="AM33" s="33"/>
      <c r="AN33" s="33"/>
      <c r="AO33" s="33"/>
      <c r="AP33" s="33"/>
      <c r="AQ33" s="33"/>
      <c r="AR33" s="33"/>
      <c r="AS33" s="33"/>
      <c r="AT33" s="33"/>
      <c r="AU33" s="33"/>
      <c r="AV33" s="33"/>
      <c r="AW33" s="33"/>
      <c r="AX33" s="33"/>
      <c r="AY33" s="33"/>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t="s">
        <v>600</v>
      </c>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row>
    <row r="34" spans="1:146" x14ac:dyDescent="0.2">
      <c r="A34" s="38"/>
      <c r="B34" s="201" t="s">
        <v>601</v>
      </c>
      <c r="C34" s="202"/>
      <c r="D34" s="202"/>
      <c r="E34" s="203"/>
      <c r="F34" s="166" t="s">
        <v>602</v>
      </c>
      <c r="G34" s="171"/>
      <c r="H34" s="172"/>
      <c r="I34" s="201" t="s">
        <v>603</v>
      </c>
      <c r="J34" s="203"/>
      <c r="K34" s="166" t="s">
        <v>604</v>
      </c>
      <c r="L34" s="171"/>
      <c r="M34" s="171"/>
      <c r="N34" s="172"/>
      <c r="O34" s="199" t="s">
        <v>605</v>
      </c>
      <c r="P34" s="200"/>
      <c r="Q34" s="166" t="s">
        <v>606</v>
      </c>
      <c r="R34" s="171"/>
      <c r="S34" s="171"/>
      <c r="T34" s="420"/>
      <c r="U34" s="263" t="s">
        <v>607</v>
      </c>
      <c r="V34" s="264"/>
      <c r="W34" s="265"/>
      <c r="X34" s="166" t="s">
        <v>608</v>
      </c>
      <c r="Y34" s="171"/>
      <c r="Z34" s="171"/>
      <c r="AA34" s="172"/>
      <c r="AB34" s="279" t="s">
        <v>609</v>
      </c>
      <c r="AC34" s="265"/>
      <c r="AD34" s="276" t="s">
        <v>610</v>
      </c>
      <c r="AE34" s="277"/>
      <c r="AF34" s="277"/>
      <c r="AG34" s="277"/>
      <c r="AH34" s="277"/>
      <c r="AI34" s="277"/>
      <c r="AJ34" s="277"/>
      <c r="AK34" s="278"/>
      <c r="AL34" s="33"/>
      <c r="AM34" s="33"/>
      <c r="AN34" s="33"/>
      <c r="AO34" s="33"/>
      <c r="AP34" s="33"/>
      <c r="AQ34" s="33"/>
      <c r="AR34" s="33"/>
      <c r="AS34" s="33"/>
      <c r="AT34" s="33"/>
      <c r="AU34" s="33"/>
      <c r="AV34" s="33"/>
      <c r="AW34" s="33"/>
      <c r="AX34" s="33"/>
      <c r="AY34" s="33"/>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t="s">
        <v>611</v>
      </c>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row>
    <row r="35" spans="1:146" ht="3.95" customHeight="1" x14ac:dyDescent="0.2">
      <c r="A35" s="38"/>
      <c r="B35" s="201"/>
      <c r="C35" s="202"/>
      <c r="D35" s="202"/>
      <c r="E35" s="202"/>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2"/>
      <c r="AE35" s="202"/>
      <c r="AF35" s="202"/>
      <c r="AG35" s="202"/>
      <c r="AH35" s="202"/>
      <c r="AI35" s="202"/>
      <c r="AJ35" s="202"/>
      <c r="AK35" s="203"/>
      <c r="AL35" s="34"/>
      <c r="AM35" s="34"/>
      <c r="AN35" s="34"/>
      <c r="AO35" s="34"/>
      <c r="AP35"/>
      <c r="AQ35" s="34"/>
      <c r="AR35" s="34"/>
      <c r="AS35" s="34"/>
      <c r="AT35" s="34"/>
      <c r="AU35" s="34"/>
      <c r="AV35" s="34"/>
      <c r="AW35" s="34"/>
      <c r="AX35" s="33"/>
      <c r="AY35" s="33"/>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10"/>
      <c r="DJ35" s="10"/>
      <c r="DK35" s="10"/>
      <c r="DL35" s="10"/>
      <c r="DM35" s="10"/>
      <c r="DN35" s="10"/>
      <c r="DO35" s="10"/>
      <c r="DP35" s="10"/>
      <c r="DQ35" s="10"/>
      <c r="DR35" s="10"/>
      <c r="DS35" s="10"/>
      <c r="DT35" s="10"/>
      <c r="DU35" s="10"/>
      <c r="DV35" s="9"/>
      <c r="DW35" s="9"/>
      <c r="DX35" s="9"/>
      <c r="DY35" s="9"/>
      <c r="DZ35" s="9"/>
      <c r="EA35" s="9"/>
      <c r="EB35" s="9"/>
      <c r="EC35" s="9"/>
      <c r="ED35" s="10"/>
      <c r="EE35" s="10"/>
      <c r="EF35" s="10"/>
      <c r="EG35" s="10"/>
      <c r="EH35" s="10"/>
      <c r="EI35" s="10"/>
      <c r="EJ35" s="10"/>
      <c r="EK35" s="10"/>
      <c r="EL35" s="10"/>
      <c r="EO35" s="10"/>
      <c r="EP35" s="10"/>
    </row>
    <row r="36" spans="1:146" x14ac:dyDescent="0.2">
      <c r="A36" s="212" t="s">
        <v>3523</v>
      </c>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4"/>
      <c r="AL36" s="34"/>
      <c r="AM36" s="34"/>
      <c r="AN36" s="34"/>
      <c r="AO36" s="34"/>
      <c r="AP36" s="34"/>
      <c r="AQ36" s="34"/>
      <c r="AR36" s="34"/>
      <c r="AS36" s="34"/>
      <c r="AT36" s="34"/>
      <c r="AU36" s="34"/>
      <c r="AV36" s="34"/>
      <c r="AW36" s="34"/>
      <c r="AX36" s="33"/>
      <c r="AY36" s="33"/>
      <c r="AZ36" s="43"/>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row>
    <row r="37" spans="1:146" x14ac:dyDescent="0.2">
      <c r="A37" s="215" t="s">
        <v>3551</v>
      </c>
      <c r="B37" s="176" t="s">
        <v>3411</v>
      </c>
      <c r="C37" s="217"/>
      <c r="D37" s="217"/>
      <c r="E37" s="217"/>
      <c r="F37" s="217"/>
      <c r="G37" s="217"/>
      <c r="H37" s="217"/>
      <c r="I37" s="217"/>
      <c r="J37" s="217"/>
      <c r="K37" s="217"/>
      <c r="L37" s="218"/>
      <c r="M37" s="222" t="s">
        <v>3412</v>
      </c>
      <c r="N37" s="223"/>
      <c r="O37" s="223"/>
      <c r="P37" s="223"/>
      <c r="Q37" s="223"/>
      <c r="R37" s="223"/>
      <c r="S37" s="266" t="s">
        <v>3409</v>
      </c>
      <c r="T37" s="267"/>
      <c r="U37" s="268"/>
      <c r="V37" s="266" t="s">
        <v>3410</v>
      </c>
      <c r="W37" s="267"/>
      <c r="X37" s="268"/>
      <c r="Y37" s="188" t="s">
        <v>3525</v>
      </c>
      <c r="Z37" s="189"/>
      <c r="AA37" s="189"/>
      <c r="AB37" s="189"/>
      <c r="AC37" s="189"/>
      <c r="AD37" s="189"/>
      <c r="AE37" s="275" t="s">
        <v>3546</v>
      </c>
      <c r="AF37" s="273"/>
      <c r="AG37" s="273"/>
      <c r="AH37" s="243"/>
      <c r="AI37" s="272" t="s">
        <v>3547</v>
      </c>
      <c r="AJ37" s="273"/>
      <c r="AK37" s="243"/>
      <c r="AL37" s="34"/>
      <c r="AM37" s="34"/>
      <c r="AN37" s="34"/>
      <c r="AO37" s="34"/>
      <c r="AP37" s="34"/>
      <c r="AQ37" s="34"/>
      <c r="AR37" s="34"/>
      <c r="AS37" s="34"/>
      <c r="AT37" s="34"/>
      <c r="AU37" s="34"/>
      <c r="AV37" s="34"/>
      <c r="AW37" s="34"/>
      <c r="AX37" s="33"/>
      <c r="AY37" s="33"/>
      <c r="AZ37" s="43"/>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row>
    <row r="38" spans="1:146" x14ac:dyDescent="0.2">
      <c r="A38" s="216"/>
      <c r="B38" s="219"/>
      <c r="C38" s="220"/>
      <c r="D38" s="220"/>
      <c r="E38" s="220"/>
      <c r="F38" s="220"/>
      <c r="G38" s="220"/>
      <c r="H38" s="220"/>
      <c r="I38" s="220"/>
      <c r="J38" s="220"/>
      <c r="K38" s="220"/>
      <c r="L38" s="221"/>
      <c r="M38" s="224"/>
      <c r="N38" s="225"/>
      <c r="O38" s="225"/>
      <c r="P38" s="225"/>
      <c r="Q38" s="225"/>
      <c r="R38" s="225"/>
      <c r="S38" s="269"/>
      <c r="T38" s="270"/>
      <c r="U38" s="271"/>
      <c r="V38" s="269"/>
      <c r="W38" s="270"/>
      <c r="X38" s="271"/>
      <c r="Y38" s="190"/>
      <c r="Z38" s="191"/>
      <c r="AA38" s="191"/>
      <c r="AB38" s="191"/>
      <c r="AC38" s="191"/>
      <c r="AD38" s="191"/>
      <c r="AE38" s="244"/>
      <c r="AF38" s="274"/>
      <c r="AG38" s="274"/>
      <c r="AH38" s="245"/>
      <c r="AI38" s="274"/>
      <c r="AJ38" s="274"/>
      <c r="AK38" s="245"/>
      <c r="AL38" s="34"/>
      <c r="AM38" s="34"/>
      <c r="AN38" s="34"/>
      <c r="AO38" s="34"/>
      <c r="AP38" s="34"/>
      <c r="AQ38" s="34"/>
      <c r="AR38" s="34"/>
      <c r="AS38" s="34"/>
      <c r="AT38" s="34"/>
      <c r="AU38" s="34"/>
      <c r="AV38" s="34"/>
      <c r="AW38" s="34"/>
      <c r="AX38" s="33"/>
      <c r="AY38" s="33"/>
      <c r="AZ38" s="43"/>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row>
    <row r="39" spans="1:146" x14ac:dyDescent="0.2">
      <c r="A39" s="63"/>
      <c r="B39" s="166"/>
      <c r="C39" s="171"/>
      <c r="D39" s="171"/>
      <c r="E39" s="171"/>
      <c r="F39" s="171"/>
      <c r="G39" s="171"/>
      <c r="H39" s="171"/>
      <c r="I39" s="171"/>
      <c r="J39" s="171"/>
      <c r="K39" s="171"/>
      <c r="L39" s="172"/>
      <c r="M39" s="166"/>
      <c r="N39" s="171"/>
      <c r="O39" s="171"/>
      <c r="P39" s="171"/>
      <c r="Q39" s="171"/>
      <c r="R39" s="172"/>
      <c r="S39" s="163"/>
      <c r="T39" s="164"/>
      <c r="U39" s="165"/>
      <c r="V39" s="163"/>
      <c r="W39" s="210"/>
      <c r="X39" s="211"/>
      <c r="Y39" s="166"/>
      <c r="Z39" s="173"/>
      <c r="AA39" s="173"/>
      <c r="AB39" s="173"/>
      <c r="AC39" s="173"/>
      <c r="AD39" s="174"/>
      <c r="AE39" s="207"/>
      <c r="AF39" s="208"/>
      <c r="AG39" s="208"/>
      <c r="AH39" s="209"/>
      <c r="AI39" s="204" t="s">
        <v>612</v>
      </c>
      <c r="AJ39" s="205"/>
      <c r="AK39" s="206"/>
      <c r="AL39" s="51"/>
      <c r="AM39" s="262" t="s">
        <v>3393</v>
      </c>
      <c r="AN39" s="262"/>
      <c r="AO39" s="262"/>
      <c r="AP39" s="262"/>
      <c r="AQ39" s="262"/>
      <c r="AR39" s="262"/>
      <c r="AS39" s="262"/>
      <c r="AT39" s="262"/>
      <c r="AU39" s="262"/>
      <c r="AV39" s="262"/>
      <c r="AW39" s="34"/>
      <c r="AX39" s="33"/>
      <c r="AY39" s="33"/>
      <c r="AZ39" s="43"/>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t="s">
        <v>613</v>
      </c>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row>
    <row r="40" spans="1:146" x14ac:dyDescent="0.2">
      <c r="A40" s="48"/>
      <c r="B40" s="166"/>
      <c r="C40" s="171"/>
      <c r="D40" s="171"/>
      <c r="E40" s="171"/>
      <c r="F40" s="171"/>
      <c r="G40" s="171"/>
      <c r="H40" s="171"/>
      <c r="I40" s="171"/>
      <c r="J40" s="171"/>
      <c r="K40" s="171"/>
      <c r="L40" s="172"/>
      <c r="M40" s="166"/>
      <c r="N40" s="171"/>
      <c r="O40" s="171"/>
      <c r="P40" s="171"/>
      <c r="Q40" s="171"/>
      <c r="R40" s="172"/>
      <c r="S40" s="163"/>
      <c r="T40" s="164"/>
      <c r="U40" s="165"/>
      <c r="V40" s="163"/>
      <c r="W40" s="164"/>
      <c r="X40" s="165"/>
      <c r="Y40" s="166"/>
      <c r="Z40" s="173"/>
      <c r="AA40" s="173"/>
      <c r="AB40" s="173"/>
      <c r="AC40" s="173"/>
      <c r="AD40" s="174"/>
      <c r="AE40" s="255"/>
      <c r="AF40" s="208"/>
      <c r="AG40" s="208"/>
      <c r="AH40" s="209"/>
      <c r="AI40" s="204" t="s">
        <v>614</v>
      </c>
      <c r="AJ40" s="205"/>
      <c r="AK40" s="206"/>
      <c r="AL40" s="34"/>
      <c r="AM40" s="34"/>
      <c r="AN40" s="34"/>
      <c r="AO40" s="34"/>
      <c r="AP40" s="34"/>
      <c r="AQ40" s="34"/>
      <c r="AR40" s="34"/>
      <c r="AS40" s="34"/>
      <c r="AT40" s="34"/>
      <c r="AU40" s="34"/>
      <c r="AV40" s="34"/>
      <c r="AW40" s="34"/>
      <c r="AX40" s="33"/>
      <c r="AY40" s="33"/>
      <c r="AZ40" s="43"/>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t="s">
        <v>615</v>
      </c>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row>
    <row r="41" spans="1:146" x14ac:dyDescent="0.2">
      <c r="A41" s="48"/>
      <c r="B41" s="166"/>
      <c r="C41" s="171"/>
      <c r="D41" s="171"/>
      <c r="E41" s="171"/>
      <c r="F41" s="171"/>
      <c r="G41" s="171"/>
      <c r="H41" s="171"/>
      <c r="I41" s="171"/>
      <c r="J41" s="171"/>
      <c r="K41" s="171"/>
      <c r="L41" s="172"/>
      <c r="M41" s="166"/>
      <c r="N41" s="171"/>
      <c r="O41" s="171"/>
      <c r="P41" s="171"/>
      <c r="Q41" s="171"/>
      <c r="R41" s="172"/>
      <c r="S41" s="163"/>
      <c r="T41" s="164"/>
      <c r="U41" s="165"/>
      <c r="V41" s="163"/>
      <c r="W41" s="164"/>
      <c r="X41" s="165"/>
      <c r="Y41" s="166"/>
      <c r="Z41" s="173"/>
      <c r="AA41" s="173"/>
      <c r="AB41" s="173"/>
      <c r="AC41" s="173"/>
      <c r="AD41" s="174"/>
      <c r="AE41" s="255"/>
      <c r="AF41" s="208"/>
      <c r="AG41" s="208"/>
      <c r="AH41" s="209"/>
      <c r="AI41" s="204" t="s">
        <v>616</v>
      </c>
      <c r="AJ41" s="205"/>
      <c r="AK41" s="206"/>
      <c r="AL41" s="34"/>
      <c r="AM41" s="34"/>
      <c r="AN41" s="34"/>
      <c r="AO41" s="34"/>
      <c r="AP41" s="34"/>
      <c r="AQ41" s="34"/>
      <c r="AR41" s="34"/>
      <c r="AS41" s="34"/>
      <c r="AT41" s="34"/>
      <c r="AU41" s="34"/>
      <c r="AV41" s="34"/>
      <c r="AW41" s="34"/>
      <c r="AX41" s="33"/>
      <c r="AY41" s="33"/>
      <c r="AZ41" s="43"/>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t="s">
        <v>617</v>
      </c>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row>
    <row r="42" spans="1:146" x14ac:dyDescent="0.2">
      <c r="A42" s="48"/>
      <c r="B42" s="166"/>
      <c r="C42" s="171"/>
      <c r="D42" s="171"/>
      <c r="E42" s="171"/>
      <c r="F42" s="171"/>
      <c r="G42" s="171"/>
      <c r="H42" s="171"/>
      <c r="I42" s="171"/>
      <c r="J42" s="171"/>
      <c r="K42" s="171"/>
      <c r="L42" s="172"/>
      <c r="M42" s="166"/>
      <c r="N42" s="171"/>
      <c r="O42" s="171"/>
      <c r="P42" s="171"/>
      <c r="Q42" s="171"/>
      <c r="R42" s="172"/>
      <c r="S42" s="163"/>
      <c r="T42" s="164"/>
      <c r="U42" s="165"/>
      <c r="V42" s="163"/>
      <c r="W42" s="164"/>
      <c r="X42" s="165"/>
      <c r="Y42" s="166"/>
      <c r="Z42" s="173"/>
      <c r="AA42" s="173"/>
      <c r="AB42" s="173"/>
      <c r="AC42" s="173"/>
      <c r="AD42" s="174"/>
      <c r="AE42" s="255"/>
      <c r="AF42" s="208"/>
      <c r="AG42" s="208"/>
      <c r="AH42" s="209"/>
      <c r="AI42" s="204" t="s">
        <v>618</v>
      </c>
      <c r="AJ42" s="205"/>
      <c r="AK42" s="206"/>
      <c r="AL42" s="34"/>
      <c r="AM42" s="34"/>
      <c r="AN42" s="34"/>
      <c r="AO42" s="34"/>
      <c r="AP42" s="34"/>
      <c r="AQ42" s="34"/>
      <c r="AR42" s="34"/>
      <c r="AS42" s="34"/>
      <c r="AT42" s="34"/>
      <c r="AU42" s="34"/>
      <c r="AV42" s="34"/>
      <c r="AW42" s="34"/>
      <c r="AX42" s="33"/>
      <c r="AY42" s="33"/>
      <c r="AZ42" s="43"/>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t="s">
        <v>619</v>
      </c>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row>
    <row r="43" spans="1:146" ht="3.95" customHeight="1" x14ac:dyDescent="0.2">
      <c r="A43" s="55"/>
      <c r="B43" s="374"/>
      <c r="C43" s="375"/>
      <c r="D43" s="375"/>
      <c r="E43" s="375"/>
      <c r="F43" s="375"/>
      <c r="G43" s="375"/>
      <c r="H43" s="375"/>
      <c r="I43" s="375"/>
      <c r="J43" s="375"/>
      <c r="K43" s="375"/>
      <c r="L43" s="375"/>
      <c r="M43" s="375"/>
      <c r="N43" s="375"/>
      <c r="O43" s="375"/>
      <c r="P43" s="375"/>
      <c r="Q43" s="375"/>
      <c r="R43" s="375"/>
      <c r="S43" s="375"/>
      <c r="T43" s="375"/>
      <c r="U43" s="375"/>
      <c r="V43" s="375"/>
      <c r="W43" s="375"/>
      <c r="X43" s="375"/>
      <c r="Y43" s="375"/>
      <c r="Z43" s="375"/>
      <c r="AA43" s="375"/>
      <c r="AB43" s="375"/>
      <c r="AC43" s="375"/>
      <c r="AD43" s="375"/>
      <c r="AE43" s="375"/>
      <c r="AF43" s="375"/>
      <c r="AG43" s="375"/>
      <c r="AH43" s="375"/>
      <c r="AI43" s="375"/>
      <c r="AJ43" s="375"/>
      <c r="AK43" s="376"/>
      <c r="AL43" s="34"/>
      <c r="AM43" s="34"/>
      <c r="AN43" s="34"/>
      <c r="AO43" s="34"/>
      <c r="AP43" s="34"/>
      <c r="AQ43" s="34"/>
      <c r="AR43" s="34"/>
      <c r="AS43" s="34"/>
      <c r="AT43" s="34"/>
      <c r="AU43" s="34"/>
      <c r="AV43" s="34"/>
      <c r="AW43" s="34"/>
      <c r="AX43" s="33"/>
      <c r="AY43" s="33"/>
      <c r="AZ43" s="43"/>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row>
    <row r="44" spans="1:146" x14ac:dyDescent="0.2">
      <c r="A44" s="212" t="s">
        <v>3524</v>
      </c>
      <c r="B44" s="426"/>
      <c r="C44" s="426"/>
      <c r="D44" s="426"/>
      <c r="E44" s="426"/>
      <c r="F44" s="426"/>
      <c r="G44" s="426"/>
      <c r="H44" s="426"/>
      <c r="I44" s="426"/>
      <c r="J44" s="426"/>
      <c r="K44" s="426"/>
      <c r="L44" s="426"/>
      <c r="M44" s="426"/>
      <c r="N44" s="426"/>
      <c r="O44" s="426"/>
      <c r="P44" s="426"/>
      <c r="Q44" s="426"/>
      <c r="R44" s="426"/>
      <c r="S44" s="426"/>
      <c r="T44" s="426"/>
      <c r="U44" s="426"/>
      <c r="V44" s="426"/>
      <c r="W44" s="426"/>
      <c r="X44" s="426"/>
      <c r="Y44" s="426"/>
      <c r="Z44" s="426"/>
      <c r="AA44" s="426"/>
      <c r="AB44" s="426"/>
      <c r="AC44" s="426"/>
      <c r="AD44" s="426"/>
      <c r="AE44" s="426"/>
      <c r="AF44" s="426"/>
      <c r="AG44" s="426"/>
      <c r="AH44" s="426"/>
      <c r="AI44" s="426"/>
      <c r="AJ44" s="426"/>
      <c r="AK44" s="427"/>
      <c r="AL44" s="34"/>
      <c r="AM44" s="34"/>
      <c r="AN44" s="34"/>
      <c r="AO44" s="34"/>
      <c r="AP44" s="34"/>
      <c r="AQ44" s="34"/>
      <c r="AR44" s="34"/>
      <c r="AS44" s="34"/>
      <c r="AT44" s="34"/>
      <c r="AU44" s="34"/>
      <c r="AV44" s="34"/>
      <c r="AW44" s="34"/>
      <c r="AX44" s="33"/>
      <c r="AY44" s="33"/>
      <c r="AZ44" s="43"/>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row>
    <row r="45" spans="1:146" ht="12.75" customHeight="1" x14ac:dyDescent="0.2">
      <c r="A45" s="599" t="s">
        <v>3552</v>
      </c>
      <c r="B45" s="176" t="s">
        <v>3526</v>
      </c>
      <c r="C45" s="217"/>
      <c r="D45" s="217"/>
      <c r="E45" s="217"/>
      <c r="F45" s="217"/>
      <c r="G45" s="217"/>
      <c r="H45" s="217"/>
      <c r="I45" s="217"/>
      <c r="J45" s="217"/>
      <c r="K45" s="217"/>
      <c r="L45" s="218"/>
      <c r="M45" s="222" t="s">
        <v>620</v>
      </c>
      <c r="N45" s="223"/>
      <c r="O45" s="223"/>
      <c r="P45" s="223"/>
      <c r="Q45" s="223"/>
      <c r="R45" s="223"/>
      <c r="S45" s="266" t="s">
        <v>621</v>
      </c>
      <c r="T45" s="267"/>
      <c r="U45" s="268"/>
      <c r="V45" s="266" t="s">
        <v>622</v>
      </c>
      <c r="W45" s="267"/>
      <c r="X45" s="268"/>
      <c r="Y45" s="188" t="s">
        <v>3528</v>
      </c>
      <c r="Z45" s="189"/>
      <c r="AA45" s="189"/>
      <c r="AB45" s="189"/>
      <c r="AC45" s="189"/>
      <c r="AD45" s="189"/>
      <c r="AE45" s="275" t="s">
        <v>623</v>
      </c>
      <c r="AF45" s="273"/>
      <c r="AG45" s="273" t="s">
        <v>3527</v>
      </c>
      <c r="AH45" s="243"/>
      <c r="AI45" s="272" t="s">
        <v>624</v>
      </c>
      <c r="AJ45" s="273"/>
      <c r="AK45" s="243"/>
      <c r="AL45" s="34"/>
      <c r="AM45" s="34"/>
      <c r="AN45" s="34"/>
      <c r="AO45" s="34"/>
      <c r="AP45" s="34"/>
      <c r="AQ45" s="34"/>
      <c r="AR45" s="34"/>
      <c r="AS45" s="34"/>
      <c r="AT45" s="34"/>
      <c r="AU45" s="34"/>
      <c r="AV45" s="34"/>
      <c r="AW45" s="34"/>
      <c r="AX45" s="33"/>
      <c r="AY45" s="33"/>
      <c r="AZ45" s="43"/>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row>
    <row r="46" spans="1:146" x14ac:dyDescent="0.2">
      <c r="A46" s="600"/>
      <c r="B46" s="219"/>
      <c r="C46" s="220"/>
      <c r="D46" s="220"/>
      <c r="E46" s="220"/>
      <c r="F46" s="220"/>
      <c r="G46" s="220"/>
      <c r="H46" s="220"/>
      <c r="I46" s="220"/>
      <c r="J46" s="220"/>
      <c r="K46" s="220"/>
      <c r="L46" s="221"/>
      <c r="M46" s="224"/>
      <c r="N46" s="225"/>
      <c r="O46" s="225"/>
      <c r="P46" s="225"/>
      <c r="Q46" s="225"/>
      <c r="R46" s="225"/>
      <c r="S46" s="269"/>
      <c r="T46" s="270"/>
      <c r="U46" s="271"/>
      <c r="V46" s="269"/>
      <c r="W46" s="270"/>
      <c r="X46" s="271"/>
      <c r="Y46" s="190"/>
      <c r="Z46" s="191"/>
      <c r="AA46" s="191"/>
      <c r="AB46" s="191"/>
      <c r="AC46" s="191"/>
      <c r="AD46" s="191"/>
      <c r="AE46" s="244"/>
      <c r="AF46" s="274"/>
      <c r="AG46" s="274"/>
      <c r="AH46" s="245"/>
      <c r="AI46" s="274"/>
      <c r="AJ46" s="274"/>
      <c r="AK46" s="245"/>
      <c r="AL46" s="34"/>
      <c r="AM46" s="34"/>
      <c r="AN46" s="34"/>
      <c r="AO46" s="34"/>
      <c r="AP46" s="34"/>
      <c r="AQ46" s="34"/>
      <c r="AR46" s="34"/>
      <c r="AS46" s="34"/>
      <c r="AT46" s="34"/>
      <c r="AU46" s="34"/>
      <c r="AV46" s="34"/>
      <c r="AW46" s="34"/>
      <c r="AX46" s="33"/>
      <c r="AY46" s="33"/>
      <c r="AZ46" s="43"/>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row>
    <row r="47" spans="1:146" x14ac:dyDescent="0.2">
      <c r="A47" s="48"/>
      <c r="B47" s="166"/>
      <c r="C47" s="171"/>
      <c r="D47" s="171"/>
      <c r="E47" s="171"/>
      <c r="F47" s="171"/>
      <c r="G47" s="171"/>
      <c r="H47" s="171"/>
      <c r="I47" s="171"/>
      <c r="J47" s="171"/>
      <c r="K47" s="171"/>
      <c r="L47" s="172"/>
      <c r="M47" s="166"/>
      <c r="N47" s="171"/>
      <c r="O47" s="171"/>
      <c r="P47" s="171"/>
      <c r="Q47" s="171"/>
      <c r="R47" s="172"/>
      <c r="S47" s="163"/>
      <c r="T47" s="164"/>
      <c r="U47" s="165"/>
      <c r="V47" s="163"/>
      <c r="W47" s="164"/>
      <c r="X47" s="165"/>
      <c r="Y47" s="166"/>
      <c r="Z47" s="173"/>
      <c r="AA47" s="173"/>
      <c r="AB47" s="173"/>
      <c r="AC47" s="173"/>
      <c r="AD47" s="174"/>
      <c r="AE47" s="207"/>
      <c r="AF47" s="208"/>
      <c r="AG47" s="208"/>
      <c r="AH47" s="209"/>
      <c r="AI47" s="204" t="s">
        <v>625</v>
      </c>
      <c r="AJ47" s="205"/>
      <c r="AK47" s="206"/>
      <c r="AL47" s="395" t="s">
        <v>626</v>
      </c>
      <c r="AM47" s="262"/>
      <c r="AN47" s="262"/>
      <c r="AO47" s="262"/>
      <c r="AP47" s="262"/>
      <c r="AQ47" s="262"/>
      <c r="AR47" s="262"/>
      <c r="AS47" s="262"/>
      <c r="AT47" s="262"/>
      <c r="AU47" s="262"/>
      <c r="AV47" s="262"/>
      <c r="AW47" s="34"/>
      <c r="AX47" s="33"/>
      <c r="AY47" s="33"/>
      <c r="AZ47" s="43"/>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t="s">
        <v>627</v>
      </c>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row>
    <row r="48" spans="1:146" x14ac:dyDescent="0.2">
      <c r="A48" s="48"/>
      <c r="B48" s="166"/>
      <c r="C48" s="171"/>
      <c r="D48" s="171"/>
      <c r="E48" s="171"/>
      <c r="F48" s="171"/>
      <c r="G48" s="171"/>
      <c r="H48" s="171"/>
      <c r="I48" s="171"/>
      <c r="J48" s="171"/>
      <c r="K48" s="171"/>
      <c r="L48" s="172"/>
      <c r="M48" s="166"/>
      <c r="N48" s="171"/>
      <c r="O48" s="171"/>
      <c r="P48" s="171"/>
      <c r="Q48" s="171"/>
      <c r="R48" s="172"/>
      <c r="S48" s="163"/>
      <c r="T48" s="164"/>
      <c r="U48" s="165"/>
      <c r="V48" s="163"/>
      <c r="W48" s="164"/>
      <c r="X48" s="165"/>
      <c r="Y48" s="166"/>
      <c r="Z48" s="173"/>
      <c r="AA48" s="173"/>
      <c r="AB48" s="173"/>
      <c r="AC48" s="173"/>
      <c r="AD48" s="174"/>
      <c r="AE48" s="255"/>
      <c r="AF48" s="208"/>
      <c r="AG48" s="208"/>
      <c r="AH48" s="209"/>
      <c r="AI48" s="204" t="s">
        <v>628</v>
      </c>
      <c r="AJ48" s="205"/>
      <c r="AK48" s="206"/>
      <c r="AL48" s="34"/>
      <c r="AM48" s="34"/>
      <c r="AN48" s="34"/>
      <c r="AO48" s="34"/>
      <c r="AP48" s="34"/>
      <c r="AQ48" s="34"/>
      <c r="AR48" s="34"/>
      <c r="AS48" s="34"/>
      <c r="AT48" s="34"/>
      <c r="AU48" s="34"/>
      <c r="AV48" s="34"/>
      <c r="AW48" s="34"/>
      <c r="AX48" s="33"/>
      <c r="AY48" s="33"/>
      <c r="AZ48" s="43"/>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t="s">
        <v>629</v>
      </c>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row>
    <row r="49" spans="1:146" x14ac:dyDescent="0.2">
      <c r="A49" s="48"/>
      <c r="B49" s="166"/>
      <c r="C49" s="171"/>
      <c r="D49" s="171"/>
      <c r="E49" s="171"/>
      <c r="F49" s="171"/>
      <c r="G49" s="171"/>
      <c r="H49" s="171"/>
      <c r="I49" s="171"/>
      <c r="J49" s="171"/>
      <c r="K49" s="171"/>
      <c r="L49" s="172"/>
      <c r="M49" s="166"/>
      <c r="N49" s="171"/>
      <c r="O49" s="171"/>
      <c r="P49" s="171"/>
      <c r="Q49" s="171"/>
      <c r="R49" s="172"/>
      <c r="S49" s="163"/>
      <c r="T49" s="164"/>
      <c r="U49" s="165"/>
      <c r="V49" s="163"/>
      <c r="W49" s="164"/>
      <c r="X49" s="165"/>
      <c r="Y49" s="166"/>
      <c r="Z49" s="173"/>
      <c r="AA49" s="173"/>
      <c r="AB49" s="173"/>
      <c r="AC49" s="173"/>
      <c r="AD49" s="174"/>
      <c r="AE49" s="255"/>
      <c r="AF49" s="208"/>
      <c r="AG49" s="208"/>
      <c r="AH49" s="209"/>
      <c r="AI49" s="204" t="s">
        <v>630</v>
      </c>
      <c r="AJ49" s="205"/>
      <c r="AK49" s="206"/>
      <c r="AL49" s="34"/>
      <c r="AM49" s="34"/>
      <c r="AN49" s="34"/>
      <c r="AO49" s="34"/>
      <c r="AP49" s="34"/>
      <c r="AQ49" s="34"/>
      <c r="AR49" s="34"/>
      <c r="AS49" s="34"/>
      <c r="AT49" s="34"/>
      <c r="AU49" s="34"/>
      <c r="AV49" s="34"/>
      <c r="AW49" s="34"/>
      <c r="AX49" s="33"/>
      <c r="AY49" s="33"/>
      <c r="AZ49" s="43"/>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t="s">
        <v>631</v>
      </c>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row>
    <row r="50" spans="1:146" x14ac:dyDescent="0.2">
      <c r="A50" s="48"/>
      <c r="B50" s="166"/>
      <c r="C50" s="171"/>
      <c r="D50" s="171"/>
      <c r="E50" s="171"/>
      <c r="F50" s="171"/>
      <c r="G50" s="171"/>
      <c r="H50" s="171"/>
      <c r="I50" s="171"/>
      <c r="J50" s="171"/>
      <c r="K50" s="171"/>
      <c r="L50" s="172"/>
      <c r="M50" s="166"/>
      <c r="N50" s="171"/>
      <c r="O50" s="171"/>
      <c r="P50" s="171"/>
      <c r="Q50" s="171"/>
      <c r="R50" s="172"/>
      <c r="S50" s="163"/>
      <c r="T50" s="164"/>
      <c r="U50" s="165"/>
      <c r="V50" s="163"/>
      <c r="W50" s="164"/>
      <c r="X50" s="165"/>
      <c r="Y50" s="166"/>
      <c r="Z50" s="173"/>
      <c r="AA50" s="173"/>
      <c r="AB50" s="173"/>
      <c r="AC50" s="173"/>
      <c r="AD50" s="174"/>
      <c r="AE50" s="255"/>
      <c r="AF50" s="208"/>
      <c r="AG50" s="208"/>
      <c r="AH50" s="209"/>
      <c r="AI50" s="204" t="s">
        <v>632</v>
      </c>
      <c r="AJ50" s="205"/>
      <c r="AK50" s="206"/>
      <c r="AL50" s="34"/>
      <c r="AM50" s="34"/>
      <c r="AN50" s="34"/>
      <c r="AO50" s="34"/>
      <c r="AP50" s="34"/>
      <c r="AQ50" s="34"/>
      <c r="AR50" s="34"/>
      <c r="AS50" s="34"/>
      <c r="AT50" s="34"/>
      <c r="AU50" s="34"/>
      <c r="AV50" s="34"/>
      <c r="AW50" s="34"/>
      <c r="AX50" s="33"/>
      <c r="AY50" s="33"/>
      <c r="AZ50" s="43"/>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t="s">
        <v>633</v>
      </c>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row>
    <row r="51" spans="1:146" ht="3.95" customHeight="1" x14ac:dyDescent="0.2">
      <c r="A51" s="55"/>
      <c r="B51" s="374"/>
      <c r="C51" s="375"/>
      <c r="D51" s="375"/>
      <c r="E51" s="375"/>
      <c r="F51" s="375"/>
      <c r="G51" s="375"/>
      <c r="H51" s="375"/>
      <c r="I51" s="375"/>
      <c r="J51" s="375"/>
      <c r="K51" s="375"/>
      <c r="L51" s="375"/>
      <c r="M51" s="375"/>
      <c r="N51" s="375"/>
      <c r="O51" s="375"/>
      <c r="P51" s="375"/>
      <c r="Q51" s="375"/>
      <c r="R51" s="375"/>
      <c r="S51" s="375"/>
      <c r="T51" s="375"/>
      <c r="U51" s="375"/>
      <c r="V51" s="375"/>
      <c r="W51" s="375"/>
      <c r="X51" s="375"/>
      <c r="Y51" s="375"/>
      <c r="Z51" s="375"/>
      <c r="AA51" s="375"/>
      <c r="AB51" s="375"/>
      <c r="AC51" s="375"/>
      <c r="AD51" s="375"/>
      <c r="AE51" s="375"/>
      <c r="AF51" s="375"/>
      <c r="AG51" s="375"/>
      <c r="AH51" s="375"/>
      <c r="AI51" s="375"/>
      <c r="AJ51" s="375"/>
      <c r="AK51" s="376"/>
      <c r="AL51" s="34"/>
      <c r="AM51" s="34"/>
      <c r="AN51" s="34"/>
      <c r="AO51" s="34"/>
      <c r="AP51" s="34"/>
      <c r="AQ51" s="34"/>
      <c r="AR51" s="34"/>
      <c r="AS51" s="34"/>
      <c r="AT51" s="34"/>
      <c r="AU51" s="34"/>
      <c r="AV51" s="34"/>
      <c r="AW51" s="34"/>
      <c r="AX51" s="33"/>
      <c r="AY51" s="33"/>
      <c r="AZ51" s="43"/>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row>
    <row r="52" spans="1:146" x14ac:dyDescent="0.2">
      <c r="A52" s="212" t="s">
        <v>3529</v>
      </c>
      <c r="B52" s="426"/>
      <c r="C52" s="426"/>
      <c r="D52" s="426"/>
      <c r="E52" s="426"/>
      <c r="F52" s="426"/>
      <c r="G52" s="426"/>
      <c r="H52" s="426"/>
      <c r="I52" s="426"/>
      <c r="J52" s="426"/>
      <c r="K52" s="426"/>
      <c r="L52" s="426"/>
      <c r="M52" s="426"/>
      <c r="N52" s="426"/>
      <c r="O52" s="426"/>
      <c r="P52" s="426"/>
      <c r="Q52" s="426"/>
      <c r="R52" s="426"/>
      <c r="S52" s="426"/>
      <c r="T52" s="426"/>
      <c r="U52" s="426"/>
      <c r="V52" s="426"/>
      <c r="W52" s="426"/>
      <c r="X52" s="426"/>
      <c r="Y52" s="426"/>
      <c r="Z52" s="426"/>
      <c r="AA52" s="426"/>
      <c r="AB52" s="426"/>
      <c r="AC52" s="426"/>
      <c r="AD52" s="426"/>
      <c r="AE52" s="426"/>
      <c r="AF52" s="426"/>
      <c r="AG52" s="426"/>
      <c r="AH52" s="426"/>
      <c r="AI52" s="426"/>
      <c r="AJ52" s="426"/>
      <c r="AK52" s="427"/>
      <c r="AL52" s="34"/>
      <c r="AM52" s="34"/>
      <c r="AN52" s="34"/>
      <c r="AO52" s="34"/>
      <c r="AP52" s="34"/>
      <c r="AQ52" s="34"/>
      <c r="AR52" s="34"/>
      <c r="AS52" s="34"/>
      <c r="AT52" s="34"/>
      <c r="AU52" s="34"/>
      <c r="AV52" s="34"/>
      <c r="AW52" s="34"/>
      <c r="AX52" s="33"/>
      <c r="AY52" s="33"/>
      <c r="AZ52" s="43"/>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row>
    <row r="53" spans="1:146" ht="12.75" customHeight="1" x14ac:dyDescent="0.2">
      <c r="A53" s="424">
        <v>4</v>
      </c>
      <c r="B53" s="425" t="s">
        <v>3530</v>
      </c>
      <c r="C53" s="407"/>
      <c r="D53" s="407"/>
      <c r="E53" s="407"/>
      <c r="F53" s="407"/>
      <c r="G53" s="407"/>
      <c r="H53" s="407"/>
      <c r="I53" s="407"/>
      <c r="J53" s="407"/>
      <c r="K53" s="407"/>
      <c r="L53" s="407"/>
      <c r="M53" s="425" t="s">
        <v>634</v>
      </c>
      <c r="N53" s="407"/>
      <c r="O53" s="407"/>
      <c r="P53" s="407"/>
      <c r="Q53" s="407"/>
      <c r="R53" s="407"/>
      <c r="S53" s="425" t="s">
        <v>3400</v>
      </c>
      <c r="T53" s="407"/>
      <c r="U53" s="407"/>
      <c r="V53" s="407"/>
      <c r="W53" s="407"/>
      <c r="X53" s="612" t="s">
        <v>3403</v>
      </c>
      <c r="Y53" s="610"/>
      <c r="Z53" s="610"/>
      <c r="AA53" s="610"/>
      <c r="AB53" s="407" t="s">
        <v>3404</v>
      </c>
      <c r="AC53" s="407"/>
      <c r="AD53" s="407"/>
      <c r="AE53" s="407"/>
      <c r="AF53" s="407"/>
      <c r="AG53" s="407"/>
      <c r="AH53" s="610" t="s">
        <v>3401</v>
      </c>
      <c r="AI53" s="610"/>
      <c r="AJ53" s="610"/>
      <c r="AK53" s="610"/>
      <c r="AL53" s="34"/>
      <c r="AN53" s="34"/>
      <c r="AO53" s="34"/>
      <c r="AP53" s="34"/>
      <c r="AQ53" s="40"/>
      <c r="AR53" s="40"/>
      <c r="AS53" s="40"/>
      <c r="AT53" s="40"/>
      <c r="AU53" s="40"/>
      <c r="AV53" s="34"/>
      <c r="AW53" s="34"/>
      <c r="AX53" s="33"/>
      <c r="AY53" s="33"/>
      <c r="AZ53" s="43"/>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row>
    <row r="54" spans="1:146" ht="11.25" customHeight="1" x14ac:dyDescent="0.2">
      <c r="A54" s="424"/>
      <c r="B54" s="408"/>
      <c r="C54" s="408"/>
      <c r="D54" s="408"/>
      <c r="E54" s="408"/>
      <c r="F54" s="408"/>
      <c r="G54" s="408"/>
      <c r="H54" s="408"/>
      <c r="I54" s="408"/>
      <c r="J54" s="408"/>
      <c r="K54" s="408"/>
      <c r="L54" s="408"/>
      <c r="M54" s="408"/>
      <c r="N54" s="408"/>
      <c r="O54" s="408"/>
      <c r="P54" s="408"/>
      <c r="Q54" s="408"/>
      <c r="R54" s="408"/>
      <c r="S54" s="408"/>
      <c r="T54" s="408"/>
      <c r="U54" s="408"/>
      <c r="V54" s="408"/>
      <c r="W54" s="408"/>
      <c r="X54" s="611"/>
      <c r="Y54" s="611"/>
      <c r="Z54" s="611"/>
      <c r="AA54" s="611"/>
      <c r="AB54" s="408"/>
      <c r="AC54" s="408"/>
      <c r="AD54" s="408"/>
      <c r="AE54" s="408"/>
      <c r="AF54" s="408"/>
      <c r="AG54" s="408"/>
      <c r="AH54" s="611"/>
      <c r="AI54" s="611"/>
      <c r="AJ54" s="611"/>
      <c r="AK54" s="611"/>
      <c r="AL54" s="34"/>
      <c r="AM54" s="34"/>
      <c r="AN54" s="34"/>
      <c r="AO54" s="34"/>
      <c r="AP54" s="34"/>
      <c r="AQ54" s="34"/>
      <c r="AR54" s="34"/>
      <c r="AS54" s="34"/>
      <c r="AT54" s="34"/>
      <c r="AU54" s="34"/>
      <c r="AV54" s="34"/>
      <c r="AW54" s="34"/>
      <c r="AX54" s="33"/>
      <c r="AY54" s="33"/>
      <c r="AZ54" s="43"/>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row>
    <row r="55" spans="1:146" x14ac:dyDescent="0.2">
      <c r="A55" s="47"/>
      <c r="B55" s="371" t="s">
        <v>3532</v>
      </c>
      <c r="C55" s="372"/>
      <c r="D55" s="372"/>
      <c r="E55" s="372"/>
      <c r="F55" s="372"/>
      <c r="G55" s="372"/>
      <c r="H55" s="372"/>
      <c r="I55" s="372"/>
      <c r="J55" s="372"/>
      <c r="K55" s="372"/>
      <c r="L55" s="373"/>
      <c r="M55" s="226"/>
      <c r="N55" s="227"/>
      <c r="O55" s="227"/>
      <c r="P55" s="227"/>
      <c r="Q55" s="227"/>
      <c r="R55" s="228"/>
      <c r="S55" s="185"/>
      <c r="T55" s="186"/>
      <c r="U55" s="186"/>
      <c r="V55" s="186"/>
      <c r="W55" s="187"/>
      <c r="X55" s="182"/>
      <c r="Y55" s="183"/>
      <c r="Z55" s="183"/>
      <c r="AA55" s="184"/>
      <c r="AB55" s="404"/>
      <c r="AC55" s="405"/>
      <c r="AD55" s="405"/>
      <c r="AE55" s="405"/>
      <c r="AF55" s="405"/>
      <c r="AG55" s="406"/>
      <c r="AH55" s="182"/>
      <c r="AI55" s="183"/>
      <c r="AJ55" s="183"/>
      <c r="AK55" s="184"/>
      <c r="AL55" s="34"/>
      <c r="AM55" s="382" t="s">
        <v>3548</v>
      </c>
      <c r="AN55" s="399"/>
      <c r="AO55" s="399"/>
      <c r="AP55" s="399"/>
      <c r="AQ55" s="399"/>
      <c r="AR55" s="399"/>
      <c r="AS55" s="399"/>
      <c r="AT55" s="399"/>
      <c r="AU55" s="399"/>
      <c r="AV55" s="399"/>
      <c r="AW55" s="399"/>
      <c r="AX55" s="399"/>
      <c r="AY55" s="33"/>
      <c r="AZ55" s="43"/>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t="s">
        <v>635</v>
      </c>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row>
    <row r="56" spans="1:146" x14ac:dyDescent="0.2">
      <c r="A56" s="47"/>
      <c r="B56" s="371" t="s">
        <v>3531</v>
      </c>
      <c r="C56" s="372"/>
      <c r="D56" s="372"/>
      <c r="E56" s="372"/>
      <c r="F56" s="372"/>
      <c r="G56" s="372"/>
      <c r="H56" s="372"/>
      <c r="I56" s="372"/>
      <c r="J56" s="372"/>
      <c r="K56" s="372"/>
      <c r="L56" s="373"/>
      <c r="M56" s="226"/>
      <c r="N56" s="227"/>
      <c r="O56" s="227"/>
      <c r="P56" s="227"/>
      <c r="Q56" s="227"/>
      <c r="R56" s="228"/>
      <c r="S56" s="185"/>
      <c r="T56" s="186"/>
      <c r="U56" s="186"/>
      <c r="V56" s="186"/>
      <c r="W56" s="187"/>
      <c r="X56" s="182"/>
      <c r="Y56" s="183"/>
      <c r="Z56" s="183"/>
      <c r="AA56" s="184"/>
      <c r="AB56" s="404"/>
      <c r="AC56" s="405"/>
      <c r="AD56" s="405"/>
      <c r="AE56" s="405"/>
      <c r="AF56" s="405"/>
      <c r="AG56" s="406"/>
      <c r="AH56" s="182"/>
      <c r="AI56" s="183"/>
      <c r="AJ56" s="183"/>
      <c r="AK56" s="184"/>
      <c r="AX56" s="33"/>
      <c r="AY56" s="33"/>
      <c r="AZ56" s="43"/>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t="s">
        <v>636</v>
      </c>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row>
    <row r="57" spans="1:146" x14ac:dyDescent="0.2">
      <c r="A57" s="47"/>
      <c r="B57" s="371"/>
      <c r="C57" s="372"/>
      <c r="D57" s="372"/>
      <c r="E57" s="372"/>
      <c r="F57" s="372"/>
      <c r="G57" s="372"/>
      <c r="H57" s="372"/>
      <c r="I57" s="372"/>
      <c r="J57" s="372"/>
      <c r="K57" s="372"/>
      <c r="L57" s="373"/>
      <c r="M57" s="226"/>
      <c r="N57" s="227"/>
      <c r="O57" s="227"/>
      <c r="P57" s="227"/>
      <c r="Q57" s="227"/>
      <c r="R57" s="228"/>
      <c r="S57" s="185"/>
      <c r="T57" s="186"/>
      <c r="U57" s="186"/>
      <c r="V57" s="186"/>
      <c r="W57" s="187"/>
      <c r="X57" s="182"/>
      <c r="Y57" s="183"/>
      <c r="Z57" s="183"/>
      <c r="AA57" s="184"/>
      <c r="AB57" s="404"/>
      <c r="AC57" s="405"/>
      <c r="AD57" s="405"/>
      <c r="AE57" s="405"/>
      <c r="AF57" s="405"/>
      <c r="AG57" s="406"/>
      <c r="AH57" s="182"/>
      <c r="AI57" s="183"/>
      <c r="AJ57" s="183"/>
      <c r="AK57" s="184"/>
      <c r="AL57" s="34"/>
      <c r="AM57" s="34"/>
      <c r="AN57" s="34"/>
      <c r="AO57" s="34"/>
      <c r="AP57" s="34"/>
      <c r="AQ57" s="34"/>
      <c r="AR57" s="34"/>
      <c r="AS57" s="34"/>
      <c r="AT57" s="34"/>
      <c r="AU57" s="34"/>
      <c r="AV57" s="34"/>
      <c r="AW57" s="34"/>
      <c r="AX57" s="33"/>
      <c r="AY57" s="33"/>
      <c r="AZ57" s="43"/>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t="s">
        <v>637</v>
      </c>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row>
    <row r="58" spans="1:146" x14ac:dyDescent="0.2">
      <c r="A58" s="47"/>
      <c r="B58" s="371"/>
      <c r="C58" s="372"/>
      <c r="D58" s="372"/>
      <c r="E58" s="372"/>
      <c r="F58" s="372"/>
      <c r="G58" s="372"/>
      <c r="H58" s="372"/>
      <c r="I58" s="372"/>
      <c r="J58" s="372"/>
      <c r="K58" s="372"/>
      <c r="L58" s="373"/>
      <c r="M58" s="226"/>
      <c r="N58" s="227"/>
      <c r="O58" s="227"/>
      <c r="P58" s="227"/>
      <c r="Q58" s="227"/>
      <c r="R58" s="228"/>
      <c r="S58" s="185"/>
      <c r="T58" s="186"/>
      <c r="U58" s="186"/>
      <c r="V58" s="186"/>
      <c r="W58" s="187"/>
      <c r="X58" s="182"/>
      <c r="Y58" s="183"/>
      <c r="Z58" s="183"/>
      <c r="AA58" s="184"/>
      <c r="AB58" s="404"/>
      <c r="AC58" s="405"/>
      <c r="AD58" s="405"/>
      <c r="AE58" s="405"/>
      <c r="AF58" s="405"/>
      <c r="AG58" s="406"/>
      <c r="AH58" s="182"/>
      <c r="AI58" s="183"/>
      <c r="AJ58" s="183"/>
      <c r="AK58" s="184"/>
      <c r="AL58" s="34"/>
      <c r="AM58" s="34"/>
      <c r="AN58" s="34"/>
      <c r="AO58" s="34"/>
      <c r="AP58" s="34"/>
      <c r="AQ58" s="34"/>
      <c r="AR58" s="34"/>
      <c r="AS58" s="34"/>
      <c r="AT58" s="34"/>
      <c r="AU58" s="34"/>
      <c r="AV58" s="34"/>
      <c r="AW58" s="34"/>
      <c r="AX58" s="33"/>
      <c r="AY58" s="33"/>
      <c r="AZ58" s="43"/>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t="s">
        <v>638</v>
      </c>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row>
    <row r="59" spans="1:146" x14ac:dyDescent="0.2">
      <c r="A59" s="47"/>
      <c r="B59" s="371"/>
      <c r="C59" s="372"/>
      <c r="D59" s="372"/>
      <c r="E59" s="372"/>
      <c r="F59" s="372"/>
      <c r="G59" s="372"/>
      <c r="H59" s="372"/>
      <c r="I59" s="372"/>
      <c r="J59" s="372"/>
      <c r="K59" s="372"/>
      <c r="L59" s="373"/>
      <c r="M59" s="226"/>
      <c r="N59" s="227"/>
      <c r="O59" s="227"/>
      <c r="P59" s="227"/>
      <c r="Q59" s="227"/>
      <c r="R59" s="228"/>
      <c r="S59" s="185"/>
      <c r="T59" s="186"/>
      <c r="U59" s="186"/>
      <c r="V59" s="186"/>
      <c r="W59" s="187"/>
      <c r="X59" s="182"/>
      <c r="Y59" s="183"/>
      <c r="Z59" s="183"/>
      <c r="AA59" s="184"/>
      <c r="AB59" s="404"/>
      <c r="AC59" s="405"/>
      <c r="AD59" s="405"/>
      <c r="AE59" s="405"/>
      <c r="AF59" s="405"/>
      <c r="AG59" s="406"/>
      <c r="AH59" s="182"/>
      <c r="AI59" s="183"/>
      <c r="AJ59" s="183"/>
      <c r="AK59" s="184"/>
      <c r="AL59" s="34"/>
      <c r="AM59" s="34"/>
      <c r="AN59" s="34"/>
      <c r="AO59" s="34"/>
      <c r="AP59" s="34"/>
      <c r="AQ59" s="34"/>
      <c r="AR59" s="34"/>
      <c r="AS59" s="34"/>
      <c r="AT59" s="34"/>
      <c r="AU59" s="34"/>
      <c r="AV59" s="34"/>
      <c r="AW59" s="34"/>
      <c r="AX59" s="33"/>
      <c r="AY59" s="33"/>
      <c r="AZ59" s="43"/>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t="s">
        <v>639</v>
      </c>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row>
    <row r="60" spans="1:146" x14ac:dyDescent="0.2">
      <c r="A60" s="38"/>
      <c r="B60" s="201" t="s">
        <v>3396</v>
      </c>
      <c r="C60" s="202"/>
      <c r="D60" s="202"/>
      <c r="E60" s="202"/>
      <c r="F60" s="484" t="s">
        <v>3197</v>
      </c>
      <c r="G60" s="485"/>
      <c r="H60" s="166"/>
      <c r="I60" s="171"/>
      <c r="J60" s="171"/>
      <c r="K60" s="172"/>
      <c r="L60" s="601" t="s">
        <v>640</v>
      </c>
      <c r="M60" s="602"/>
      <c r="N60" s="602"/>
      <c r="O60" s="603"/>
      <c r="P60" s="166"/>
      <c r="Q60" s="171"/>
      <c r="R60" s="171"/>
      <c r="S60" s="172"/>
      <c r="T60" s="601" t="s">
        <v>641</v>
      </c>
      <c r="U60" s="602"/>
      <c r="V60" s="602"/>
      <c r="W60" s="603"/>
      <c r="X60" s="163"/>
      <c r="Y60" s="164"/>
      <c r="Z60" s="164"/>
      <c r="AA60" s="164"/>
      <c r="AB60" s="165"/>
      <c r="AC60" s="160" t="s">
        <v>642</v>
      </c>
      <c r="AD60" s="161"/>
      <c r="AE60" s="161"/>
      <c r="AF60" s="162"/>
      <c r="AG60" s="163"/>
      <c r="AH60" s="164"/>
      <c r="AI60" s="164"/>
      <c r="AJ60" s="164"/>
      <c r="AK60" s="165"/>
      <c r="AL60" s="381"/>
      <c r="AM60" s="382"/>
      <c r="AN60" s="382"/>
      <c r="AO60" s="382"/>
      <c r="AP60" s="382"/>
      <c r="AQ60" s="382"/>
      <c r="AR60" s="382"/>
      <c r="AS60" s="382"/>
      <c r="AT60" s="382"/>
      <c r="AU60" s="382"/>
      <c r="AV60" s="382"/>
      <c r="AW60" s="34"/>
      <c r="AX60" s="33"/>
      <c r="AY60" s="33"/>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t="s">
        <v>643</v>
      </c>
      <c r="DF60" s="9"/>
      <c r="DG60" s="9"/>
      <c r="DH60" s="9"/>
      <c r="DI60" s="10"/>
      <c r="DJ60" s="10"/>
      <c r="DK60" s="10"/>
      <c r="DL60" s="10"/>
      <c r="DM60" s="10"/>
      <c r="DN60" s="10"/>
      <c r="DO60" s="10"/>
      <c r="DP60" s="10"/>
      <c r="DQ60" s="10"/>
      <c r="DR60" s="18"/>
      <c r="DS60" s="17"/>
      <c r="DT60" s="10"/>
      <c r="DU60" s="10"/>
      <c r="DV60" s="9"/>
      <c r="DW60" s="9"/>
      <c r="DX60" s="9"/>
      <c r="DY60" s="9"/>
      <c r="DZ60" s="9"/>
      <c r="EA60" s="9"/>
      <c r="EB60" s="9"/>
      <c r="EC60" s="9"/>
      <c r="ED60" s="10"/>
      <c r="EE60" s="10"/>
      <c r="EF60" s="10"/>
      <c r="EG60" s="10"/>
      <c r="EH60" s="10"/>
      <c r="EI60" s="10"/>
      <c r="EJ60" s="10"/>
      <c r="EK60" s="10"/>
      <c r="EL60" s="10"/>
      <c r="EM60" s="18"/>
      <c r="EN60" s="17"/>
      <c r="EO60" s="10"/>
      <c r="EP60" s="10"/>
    </row>
    <row r="61" spans="1:146" x14ac:dyDescent="0.2">
      <c r="A61" s="38"/>
      <c r="B61" s="201" t="s">
        <v>3556</v>
      </c>
      <c r="C61" s="202"/>
      <c r="D61" s="202"/>
      <c r="E61" s="202"/>
      <c r="F61" s="202" t="s">
        <v>3459</v>
      </c>
      <c r="G61" s="203"/>
      <c r="H61" s="166"/>
      <c r="I61" s="171"/>
      <c r="J61" s="171"/>
      <c r="K61" s="172"/>
      <c r="L61" s="601" t="s">
        <v>644</v>
      </c>
      <c r="M61" s="602"/>
      <c r="N61" s="602"/>
      <c r="O61" s="603"/>
      <c r="P61" s="166"/>
      <c r="Q61" s="171"/>
      <c r="R61" s="171"/>
      <c r="S61" s="172"/>
      <c r="T61" s="601" t="s">
        <v>645</v>
      </c>
      <c r="U61" s="602"/>
      <c r="V61" s="602"/>
      <c r="W61" s="603"/>
      <c r="X61" s="163"/>
      <c r="Y61" s="164"/>
      <c r="Z61" s="164"/>
      <c r="AA61" s="164"/>
      <c r="AB61" s="165"/>
      <c r="AC61" s="160" t="s">
        <v>646</v>
      </c>
      <c r="AD61" s="161"/>
      <c r="AE61" s="161"/>
      <c r="AF61" s="162"/>
      <c r="AG61" s="163"/>
      <c r="AH61" s="164"/>
      <c r="AI61" s="164"/>
      <c r="AJ61" s="164"/>
      <c r="AK61" s="165"/>
      <c r="AL61" s="106"/>
      <c r="AM61" s="40"/>
      <c r="AN61" s="40"/>
      <c r="AO61" s="40"/>
      <c r="AP61" s="40"/>
      <c r="AQ61" s="40"/>
      <c r="AR61" s="40"/>
      <c r="AS61" s="40"/>
      <c r="AT61" s="40"/>
      <c r="AU61" s="40"/>
      <c r="AV61" s="40"/>
      <c r="AW61" s="34"/>
      <c r="AX61" s="33"/>
      <c r="AY61" s="33"/>
      <c r="BD61" s="21">
        <v>111</v>
      </c>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t="s">
        <v>647</v>
      </c>
      <c r="DF61" s="9"/>
      <c r="DG61" s="9"/>
      <c r="DH61" s="9"/>
      <c r="DI61" s="10"/>
      <c r="DJ61" s="10"/>
      <c r="DK61" s="10"/>
      <c r="DL61" s="10"/>
      <c r="DM61" s="10"/>
      <c r="DN61" s="10"/>
      <c r="DO61" s="10"/>
      <c r="DP61" s="10"/>
      <c r="DQ61" s="10"/>
      <c r="DR61" s="18"/>
      <c r="DS61" s="17"/>
      <c r="DT61" s="10"/>
      <c r="DU61" s="10"/>
      <c r="DV61" s="9"/>
      <c r="DW61" s="9"/>
      <c r="DX61" s="9"/>
      <c r="DY61" s="9"/>
      <c r="DZ61" s="9"/>
      <c r="EA61" s="9"/>
      <c r="EB61" s="9"/>
      <c r="EC61" s="9"/>
      <c r="ED61" s="10"/>
      <c r="EE61" s="10"/>
      <c r="EF61" s="10"/>
      <c r="EG61" s="10"/>
      <c r="EH61" s="10"/>
      <c r="EI61" s="10"/>
      <c r="EJ61" s="10"/>
      <c r="EK61" s="10"/>
      <c r="EL61" s="10"/>
      <c r="EM61" s="18"/>
      <c r="EN61" s="17"/>
      <c r="EO61" s="10"/>
      <c r="EP61" s="10"/>
    </row>
    <row r="62" spans="1:146" ht="3.95" customHeight="1" x14ac:dyDescent="0.2">
      <c r="A62" s="55"/>
      <c r="B62" s="374"/>
      <c r="C62" s="375"/>
      <c r="D62" s="375"/>
      <c r="E62" s="375"/>
      <c r="F62" s="375"/>
      <c r="G62" s="375"/>
      <c r="H62" s="375"/>
      <c r="I62" s="375"/>
      <c r="J62" s="375"/>
      <c r="K62" s="375"/>
      <c r="L62" s="375"/>
      <c r="M62" s="375"/>
      <c r="N62" s="375"/>
      <c r="O62" s="375"/>
      <c r="P62" s="375"/>
      <c r="Q62" s="375"/>
      <c r="R62" s="375"/>
      <c r="S62" s="375"/>
      <c r="T62" s="375"/>
      <c r="U62" s="375"/>
      <c r="V62" s="375"/>
      <c r="W62" s="375"/>
      <c r="X62" s="375"/>
      <c r="Y62" s="375"/>
      <c r="Z62" s="375"/>
      <c r="AA62" s="375"/>
      <c r="AB62" s="375"/>
      <c r="AC62" s="375"/>
      <c r="AD62" s="375"/>
      <c r="AE62" s="375"/>
      <c r="AF62" s="375"/>
      <c r="AG62" s="375"/>
      <c r="AH62" s="375"/>
      <c r="AI62" s="375"/>
      <c r="AJ62" s="375"/>
      <c r="AK62" s="376"/>
      <c r="AL62" s="34"/>
      <c r="AM62" s="34"/>
      <c r="AN62" s="34"/>
      <c r="AO62" s="34"/>
      <c r="AP62" s="34"/>
      <c r="AQ62" s="34"/>
      <c r="AR62" s="34"/>
      <c r="AS62" s="34"/>
      <c r="AT62" s="34"/>
      <c r="AU62" s="34"/>
      <c r="AV62" s="34"/>
      <c r="AW62" s="34"/>
      <c r="AX62" s="33"/>
      <c r="AY62" s="33"/>
      <c r="AZ62" s="43"/>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row>
    <row r="63" spans="1:146" ht="19.5" customHeight="1" x14ac:dyDescent="0.2">
      <c r="A63" s="49"/>
      <c r="B63" s="330" t="s">
        <v>3534</v>
      </c>
      <c r="C63" s="604"/>
      <c r="D63" s="604"/>
      <c r="E63" s="604"/>
      <c r="F63" s="604"/>
      <c r="G63" s="604"/>
      <c r="H63" s="604"/>
      <c r="I63" s="604"/>
      <c r="J63" s="604"/>
      <c r="K63" s="604"/>
      <c r="L63" s="604"/>
      <c r="M63" s="604"/>
      <c r="N63" s="604"/>
      <c r="O63" s="604"/>
      <c r="P63" s="604"/>
      <c r="Q63" s="604"/>
      <c r="R63" s="604"/>
      <c r="S63" s="604"/>
      <c r="T63" s="604"/>
      <c r="U63" s="604"/>
      <c r="V63" s="604"/>
      <c r="W63" s="604"/>
      <c r="X63" s="604"/>
      <c r="Y63" s="604"/>
      <c r="Z63" s="604"/>
      <c r="AA63" s="604"/>
      <c r="AB63" s="604"/>
      <c r="AC63" s="604"/>
      <c r="AD63" s="604"/>
      <c r="AE63" s="604"/>
      <c r="AF63" s="604"/>
      <c r="AG63" s="605"/>
      <c r="AH63" s="98"/>
      <c r="AI63" s="98"/>
      <c r="AJ63" s="98"/>
      <c r="AK63" s="99"/>
      <c r="AL63" s="379" t="s">
        <v>648</v>
      </c>
      <c r="AM63" s="380"/>
      <c r="AN63" s="380"/>
      <c r="AO63" s="380"/>
      <c r="AP63" s="380"/>
      <c r="AQ63" s="380"/>
      <c r="AR63" s="380"/>
      <c r="AS63" s="380"/>
      <c r="AT63" s="380"/>
      <c r="AU63" s="380"/>
      <c r="AV63" s="380"/>
      <c r="AW63" s="32"/>
      <c r="AX63" s="33"/>
      <c r="AY63" s="33"/>
      <c r="AZ63" s="43"/>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t="s">
        <v>649</v>
      </c>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row>
    <row r="64" spans="1:146" ht="12.75" customHeight="1" x14ac:dyDescent="0.2">
      <c r="A64" s="60"/>
      <c r="B64" s="351"/>
      <c r="C64" s="352"/>
      <c r="D64" s="352"/>
      <c r="E64" s="352"/>
      <c r="F64" s="352"/>
      <c r="G64" s="352"/>
      <c r="H64" s="352"/>
      <c r="I64" s="352"/>
      <c r="J64" s="352"/>
      <c r="K64" s="352"/>
      <c r="L64" s="352"/>
      <c r="M64" s="352"/>
      <c r="N64" s="352"/>
      <c r="O64" s="352"/>
      <c r="P64" s="352"/>
      <c r="Q64" s="352"/>
      <c r="R64" s="352"/>
      <c r="S64" s="352"/>
      <c r="T64" s="352"/>
      <c r="U64" s="352"/>
      <c r="V64" s="352"/>
      <c r="W64" s="352"/>
      <c r="X64" s="352"/>
      <c r="Y64" s="352"/>
      <c r="Z64" s="352"/>
      <c r="AA64" s="352"/>
      <c r="AB64" s="352"/>
      <c r="AC64" s="352"/>
      <c r="AD64" s="352"/>
      <c r="AE64" s="352"/>
      <c r="AF64" s="352"/>
      <c r="AG64" s="352"/>
      <c r="AH64" s="352"/>
      <c r="AI64" s="352"/>
      <c r="AJ64" s="352"/>
      <c r="AK64" s="353"/>
      <c r="AL64" s="24"/>
      <c r="AM64" s="32"/>
      <c r="AN64" s="32"/>
      <c r="AO64" s="32"/>
      <c r="AP64" s="32"/>
      <c r="AQ64" s="32"/>
      <c r="AR64" s="32"/>
      <c r="AS64" s="32"/>
      <c r="AT64" s="32"/>
      <c r="AU64" s="32"/>
      <c r="AV64" s="32"/>
      <c r="AW64" s="32"/>
      <c r="AX64" s="33"/>
      <c r="AY64" s="33"/>
      <c r="AZ64" s="43"/>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t="s">
        <v>650</v>
      </c>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row>
    <row r="65" spans="1:146" ht="29.25" customHeight="1" x14ac:dyDescent="0.2">
      <c r="A65" s="60"/>
      <c r="B65" s="354"/>
      <c r="C65" s="355"/>
      <c r="D65" s="355"/>
      <c r="E65" s="355"/>
      <c r="F65" s="355"/>
      <c r="G65" s="355"/>
      <c r="H65" s="355"/>
      <c r="I65" s="355"/>
      <c r="J65" s="355"/>
      <c r="K65" s="355"/>
      <c r="L65" s="355"/>
      <c r="M65" s="355"/>
      <c r="N65" s="355"/>
      <c r="O65" s="355"/>
      <c r="P65" s="355"/>
      <c r="Q65" s="355"/>
      <c r="R65" s="355"/>
      <c r="S65" s="355"/>
      <c r="T65" s="355"/>
      <c r="U65" s="355"/>
      <c r="V65" s="355"/>
      <c r="W65" s="355"/>
      <c r="X65" s="355"/>
      <c r="Y65" s="355"/>
      <c r="Z65" s="355"/>
      <c r="AA65" s="355"/>
      <c r="AB65" s="355"/>
      <c r="AC65" s="355"/>
      <c r="AD65" s="355"/>
      <c r="AE65" s="355"/>
      <c r="AF65" s="355"/>
      <c r="AG65" s="355"/>
      <c r="AH65" s="355"/>
      <c r="AI65" s="355"/>
      <c r="AJ65" s="355"/>
      <c r="AK65" s="356"/>
      <c r="AL65" s="32"/>
      <c r="AM65" s="32"/>
      <c r="AN65" s="32"/>
      <c r="AO65" s="32"/>
      <c r="AP65" s="32"/>
      <c r="AQ65" s="32"/>
      <c r="AR65" s="32"/>
      <c r="AS65" s="32"/>
      <c r="AT65" s="32"/>
      <c r="AU65" s="32"/>
      <c r="AV65" s="32"/>
      <c r="AW65" s="32"/>
      <c r="AX65" s="33"/>
      <c r="AY65" s="33"/>
      <c r="AZ65" s="43"/>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t="s">
        <v>651</v>
      </c>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row>
    <row r="66" spans="1:146" ht="3.95" customHeight="1" x14ac:dyDescent="0.2">
      <c r="A66" s="60"/>
      <c r="B66" s="374"/>
      <c r="C66" s="375"/>
      <c r="D66" s="375"/>
      <c r="E66" s="375"/>
      <c r="F66" s="375"/>
      <c r="G66" s="375"/>
      <c r="H66" s="375"/>
      <c r="I66" s="375"/>
      <c r="J66" s="375"/>
      <c r="K66" s="375"/>
      <c r="L66" s="375"/>
      <c r="M66" s="375"/>
      <c r="N66" s="375"/>
      <c r="O66" s="375"/>
      <c r="P66" s="375"/>
      <c r="Q66" s="375"/>
      <c r="R66" s="375"/>
      <c r="S66" s="375"/>
      <c r="T66" s="375"/>
      <c r="U66" s="375"/>
      <c r="V66" s="375"/>
      <c r="W66" s="375"/>
      <c r="X66" s="375"/>
      <c r="Y66" s="375"/>
      <c r="Z66" s="375"/>
      <c r="AA66" s="375"/>
      <c r="AB66" s="375"/>
      <c r="AC66" s="375"/>
      <c r="AD66" s="375"/>
      <c r="AE66" s="375"/>
      <c r="AF66" s="375"/>
      <c r="AG66" s="375"/>
      <c r="AH66" s="375"/>
      <c r="AI66" s="375"/>
      <c r="AJ66" s="375"/>
      <c r="AK66" s="376"/>
      <c r="AL66" s="379"/>
      <c r="AM66" s="443"/>
      <c r="AN66" s="443"/>
      <c r="AO66" s="443"/>
      <c r="AP66" s="443"/>
      <c r="AQ66" s="443"/>
      <c r="AR66" s="443"/>
      <c r="AS66" s="443"/>
      <c r="AT66" s="443"/>
      <c r="AU66" s="32"/>
      <c r="AV66" s="32"/>
      <c r="AW66" s="32"/>
      <c r="AX66" s="33"/>
      <c r="AY66" s="33"/>
      <c r="AZ66" s="43"/>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row>
    <row r="67" spans="1:146" ht="13.7" customHeight="1" x14ac:dyDescent="0.2">
      <c r="A67" s="36"/>
      <c r="B67" s="345" t="s">
        <v>3490</v>
      </c>
      <c r="C67" s="346"/>
      <c r="D67" s="346"/>
      <c r="E67" s="346"/>
      <c r="F67" s="349"/>
      <c r="G67" s="350"/>
      <c r="H67" s="166"/>
      <c r="I67" s="171"/>
      <c r="J67" s="171"/>
      <c r="K67" s="171"/>
      <c r="L67" s="171"/>
      <c r="M67" s="167"/>
      <c r="N67" s="167"/>
      <c r="O67" s="167"/>
      <c r="P67" s="167"/>
      <c r="Q67" s="167"/>
      <c r="R67" s="168"/>
      <c r="S67" s="345" t="s">
        <v>3555</v>
      </c>
      <c r="T67" s="349"/>
      <c r="U67" s="349"/>
      <c r="V67" s="349"/>
      <c r="W67" s="349"/>
      <c r="X67" s="349"/>
      <c r="Y67" s="349"/>
      <c r="Z67" s="349"/>
      <c r="AA67" s="350"/>
      <c r="AB67" s="409"/>
      <c r="AC67" s="231"/>
      <c r="AD67" s="231"/>
      <c r="AE67" s="231"/>
      <c r="AF67" s="231"/>
      <c r="AG67" s="231"/>
      <c r="AH67" s="231"/>
      <c r="AI67" s="231"/>
      <c r="AJ67" s="231"/>
      <c r="AK67" s="232"/>
      <c r="AL67" s="34"/>
      <c r="AM67" s="34"/>
      <c r="AN67" s="34"/>
      <c r="AO67" s="34"/>
      <c r="AP67" s="34"/>
      <c r="AQ67" s="34"/>
      <c r="AR67" s="34"/>
      <c r="AS67" s="34"/>
      <c r="AT67" s="34"/>
      <c r="AU67" s="34"/>
      <c r="AV67" s="34"/>
      <c r="AW67" s="34"/>
      <c r="AX67" s="33"/>
      <c r="AY67" s="33"/>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t="s">
        <v>652</v>
      </c>
      <c r="DF67" s="9"/>
      <c r="DG67" s="9"/>
      <c r="DH67" s="9"/>
      <c r="DI67" s="10"/>
      <c r="DJ67" s="10"/>
      <c r="DK67" s="10"/>
      <c r="DL67" s="10"/>
      <c r="DM67" s="10"/>
      <c r="DN67" s="10"/>
      <c r="DO67" s="10"/>
      <c r="DP67" s="10"/>
      <c r="DQ67" s="10"/>
      <c r="DR67" s="18"/>
      <c r="DS67" s="17"/>
      <c r="DT67" s="10"/>
      <c r="DU67" s="10"/>
      <c r="DV67" s="9"/>
      <c r="DW67" s="9"/>
      <c r="DX67" s="9"/>
      <c r="DY67" s="9"/>
      <c r="DZ67" s="9"/>
      <c r="EA67" s="9"/>
      <c r="EB67" s="9"/>
      <c r="EC67" s="9"/>
      <c r="ED67" s="10"/>
      <c r="EE67" s="10"/>
      <c r="EF67" s="10"/>
      <c r="EG67" s="10"/>
      <c r="EH67" s="10"/>
      <c r="EI67" s="10"/>
      <c r="EJ67" s="10"/>
      <c r="EK67" s="10"/>
      <c r="EL67" s="11"/>
      <c r="EM67" s="11"/>
      <c r="EN67" s="12"/>
      <c r="EO67" s="11"/>
      <c r="EP67" s="10"/>
    </row>
    <row r="68" spans="1:146" ht="13.7" customHeight="1" x14ac:dyDescent="0.2">
      <c r="A68" s="36"/>
      <c r="B68" s="345" t="s">
        <v>3533</v>
      </c>
      <c r="C68" s="346"/>
      <c r="D68" s="346"/>
      <c r="E68" s="346"/>
      <c r="F68" s="349"/>
      <c r="G68" s="350"/>
      <c r="H68" s="166"/>
      <c r="I68" s="171"/>
      <c r="J68" s="171"/>
      <c r="K68" s="171"/>
      <c r="L68" s="171"/>
      <c r="M68" s="167"/>
      <c r="N68" s="167"/>
      <c r="O68" s="167"/>
      <c r="P68" s="167"/>
      <c r="Q68" s="167"/>
      <c r="R68" s="168"/>
      <c r="S68" s="345"/>
      <c r="T68" s="349"/>
      <c r="U68" s="349"/>
      <c r="V68" s="349"/>
      <c r="W68" s="349"/>
      <c r="X68" s="349"/>
      <c r="Y68" s="349"/>
      <c r="Z68" s="349"/>
      <c r="AA68" s="349"/>
      <c r="AB68" s="349"/>
      <c r="AC68" s="349"/>
      <c r="AD68" s="349"/>
      <c r="AE68" s="349"/>
      <c r="AF68" s="349"/>
      <c r="AG68" s="349"/>
      <c r="AH68" s="349"/>
      <c r="AI68" s="349"/>
      <c r="AJ68" s="349"/>
      <c r="AK68" s="350"/>
      <c r="AL68" s="34"/>
      <c r="AM68" s="34"/>
      <c r="AN68" s="34"/>
      <c r="AO68" s="34"/>
      <c r="AP68" s="34"/>
      <c r="AQ68" s="34"/>
      <c r="AR68" s="34"/>
      <c r="AS68" s="34"/>
      <c r="AT68" s="34"/>
      <c r="AU68" s="34"/>
      <c r="AV68" s="34"/>
      <c r="AW68" s="34"/>
      <c r="AX68" s="33"/>
      <c r="AY68" s="33"/>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t="s">
        <v>653</v>
      </c>
      <c r="DF68" s="9"/>
      <c r="DG68" s="9"/>
      <c r="DH68" s="9"/>
      <c r="DI68" s="10"/>
      <c r="DJ68" s="10"/>
      <c r="DK68" s="10"/>
      <c r="DL68" s="10"/>
      <c r="DM68" s="10"/>
      <c r="DN68" s="10"/>
      <c r="DO68" s="10"/>
      <c r="DP68" s="10"/>
      <c r="DQ68" s="10"/>
      <c r="DR68" s="18"/>
      <c r="DS68" s="17"/>
      <c r="DT68" s="10"/>
      <c r="DU68" s="10"/>
      <c r="DV68" s="9"/>
      <c r="DW68" s="9"/>
      <c r="DX68" s="9"/>
      <c r="DY68" s="9"/>
      <c r="DZ68" s="9"/>
      <c r="EA68" s="9"/>
      <c r="EB68" s="9"/>
      <c r="EC68" s="9"/>
      <c r="ED68" s="10"/>
      <c r="EE68" s="10"/>
      <c r="EF68" s="10"/>
      <c r="EG68" s="10"/>
      <c r="EH68" s="10"/>
      <c r="EI68" s="10"/>
      <c r="EJ68" s="10"/>
      <c r="EK68" s="10"/>
      <c r="EL68" s="11"/>
      <c r="EM68" s="11"/>
      <c r="EN68" s="12"/>
      <c r="EO68" s="11"/>
      <c r="EP68" s="10"/>
    </row>
    <row r="69" spans="1:146" ht="3.95" customHeight="1" x14ac:dyDescent="0.2">
      <c r="A69" s="60"/>
      <c r="B69" s="374"/>
      <c r="C69" s="375"/>
      <c r="D69" s="375"/>
      <c r="E69" s="375"/>
      <c r="F69" s="375"/>
      <c r="G69" s="375"/>
      <c r="H69" s="375"/>
      <c r="I69" s="375"/>
      <c r="J69" s="375"/>
      <c r="K69" s="375"/>
      <c r="L69" s="375"/>
      <c r="M69" s="375"/>
      <c r="N69" s="375"/>
      <c r="O69" s="375"/>
      <c r="P69" s="375"/>
      <c r="Q69" s="375"/>
      <c r="R69" s="375"/>
      <c r="S69" s="375"/>
      <c r="T69" s="375"/>
      <c r="U69" s="375"/>
      <c r="V69" s="375"/>
      <c r="W69" s="375"/>
      <c r="X69" s="375"/>
      <c r="Y69" s="375"/>
      <c r="Z69" s="375"/>
      <c r="AA69" s="375"/>
      <c r="AB69" s="375"/>
      <c r="AC69" s="375"/>
      <c r="AD69" s="375"/>
      <c r="AE69" s="375"/>
      <c r="AF69" s="375"/>
      <c r="AG69" s="375"/>
      <c r="AH69" s="375"/>
      <c r="AI69" s="375"/>
      <c r="AJ69" s="375"/>
      <c r="AK69" s="376"/>
      <c r="AL69" s="379"/>
      <c r="AM69" s="443"/>
      <c r="AN69" s="443"/>
      <c r="AO69" s="443"/>
      <c r="AP69" s="443"/>
      <c r="AQ69" s="443"/>
      <c r="AR69" s="443"/>
      <c r="AS69" s="443"/>
      <c r="AT69" s="443"/>
      <c r="AU69" s="32"/>
      <c r="AV69" s="32"/>
      <c r="AW69" s="32"/>
      <c r="AX69" s="33"/>
      <c r="AY69" s="33"/>
      <c r="AZ69" s="43"/>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row>
    <row r="70" spans="1:146" ht="12.75" customHeight="1" x14ac:dyDescent="0.2">
      <c r="A70" s="598">
        <v>5</v>
      </c>
      <c r="B70" s="421" t="s">
        <v>3488</v>
      </c>
      <c r="C70" s="421"/>
      <c r="D70" s="421"/>
      <c r="E70" s="421"/>
      <c r="F70" s="421"/>
      <c r="G70" s="421"/>
      <c r="H70" s="421"/>
      <c r="I70" s="421"/>
      <c r="J70" s="421"/>
      <c r="K70" s="606" t="s">
        <v>3203</v>
      </c>
      <c r="L70" s="607"/>
      <c r="M70" s="618" t="s">
        <v>3418</v>
      </c>
      <c r="N70" s="618"/>
      <c r="O70" s="618"/>
      <c r="P70" s="593" t="s">
        <v>3398</v>
      </c>
      <c r="Q70" s="593"/>
      <c r="R70" s="593"/>
      <c r="S70" s="593"/>
      <c r="T70" s="593"/>
      <c r="U70" s="229" t="s">
        <v>3399</v>
      </c>
      <c r="V70" s="229"/>
      <c r="W70" s="229"/>
      <c r="X70" s="229"/>
      <c r="Y70" s="593" t="s">
        <v>654</v>
      </c>
      <c r="Z70" s="593"/>
      <c r="AA70" s="593"/>
      <c r="AB70" s="593" t="s">
        <v>655</v>
      </c>
      <c r="AC70" s="593"/>
      <c r="AD70" s="593"/>
      <c r="AE70" s="421" t="s">
        <v>656</v>
      </c>
      <c r="AF70" s="421"/>
      <c r="AG70" s="421"/>
      <c r="AH70" s="421"/>
      <c r="AI70" s="421"/>
      <c r="AJ70" s="400" t="s">
        <v>3204</v>
      </c>
      <c r="AK70" s="401"/>
      <c r="AL70" s="34"/>
      <c r="AM70" s="34"/>
      <c r="AN70" s="34"/>
      <c r="AO70" s="34"/>
      <c r="AP70" s="34"/>
      <c r="AQ70" s="42"/>
      <c r="AR70" s="42"/>
      <c r="AS70" s="42"/>
      <c r="AT70" s="42"/>
      <c r="AU70" s="34"/>
      <c r="AV70" s="34"/>
      <c r="AW70" s="34"/>
      <c r="AX70" s="33"/>
      <c r="AY70" s="33"/>
      <c r="AZ70" s="43"/>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row>
    <row r="71" spans="1:146" x14ac:dyDescent="0.2">
      <c r="A71" s="598"/>
      <c r="B71" s="422"/>
      <c r="C71" s="422"/>
      <c r="D71" s="422"/>
      <c r="E71" s="422"/>
      <c r="F71" s="422"/>
      <c r="G71" s="422"/>
      <c r="H71" s="422"/>
      <c r="I71" s="422"/>
      <c r="J71" s="422"/>
      <c r="K71" s="608"/>
      <c r="L71" s="609"/>
      <c r="M71" s="619"/>
      <c r="N71" s="619"/>
      <c r="O71" s="619"/>
      <c r="P71" s="594"/>
      <c r="Q71" s="594"/>
      <c r="R71" s="594"/>
      <c r="S71" s="594"/>
      <c r="T71" s="594"/>
      <c r="U71" s="230"/>
      <c r="V71" s="230"/>
      <c r="W71" s="230"/>
      <c r="X71" s="230"/>
      <c r="Y71" s="594"/>
      <c r="Z71" s="594"/>
      <c r="AA71" s="594"/>
      <c r="AB71" s="594"/>
      <c r="AC71" s="594"/>
      <c r="AD71" s="594"/>
      <c r="AE71" s="422"/>
      <c r="AF71" s="422"/>
      <c r="AG71" s="422"/>
      <c r="AH71" s="422"/>
      <c r="AI71" s="422"/>
      <c r="AJ71" s="402"/>
      <c r="AK71" s="403"/>
      <c r="AL71" s="381" t="s">
        <v>3394</v>
      </c>
      <c r="AM71" s="382"/>
      <c r="AN71" s="382"/>
      <c r="AO71" s="382"/>
      <c r="AP71" s="382"/>
      <c r="AQ71" s="382"/>
      <c r="AR71" s="382"/>
      <c r="AS71" s="382"/>
      <c r="AT71" s="382"/>
      <c r="AU71" s="382"/>
      <c r="AV71" s="34"/>
      <c r="AW71" s="34"/>
      <c r="AX71" s="33"/>
      <c r="AY71" s="33"/>
      <c r="AZ71" s="43"/>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row>
    <row r="72" spans="1:146" x14ac:dyDescent="0.2">
      <c r="A72" s="44"/>
      <c r="B72" s="175"/>
      <c r="C72" s="175"/>
      <c r="D72" s="175"/>
      <c r="E72" s="175"/>
      <c r="F72" s="175"/>
      <c r="G72" s="175"/>
      <c r="H72" s="175"/>
      <c r="I72" s="175"/>
      <c r="J72" s="175"/>
      <c r="K72" s="175"/>
      <c r="L72" s="175"/>
      <c r="M72" s="423"/>
      <c r="N72" s="423"/>
      <c r="O72" s="423"/>
      <c r="P72" s="175"/>
      <c r="Q72" s="175"/>
      <c r="R72" s="175"/>
      <c r="S72" s="175"/>
      <c r="T72" s="175"/>
      <c r="U72" s="175"/>
      <c r="V72" s="175"/>
      <c r="W72" s="175"/>
      <c r="X72" s="175"/>
      <c r="Y72" s="198"/>
      <c r="Z72" s="198"/>
      <c r="AA72" s="198"/>
      <c r="AB72" s="198"/>
      <c r="AC72" s="198"/>
      <c r="AD72" s="198"/>
      <c r="AE72" s="175"/>
      <c r="AF72" s="175"/>
      <c r="AG72" s="175"/>
      <c r="AH72" s="175"/>
      <c r="AI72" s="175"/>
      <c r="AJ72" s="204"/>
      <c r="AK72" s="261"/>
      <c r="AL72" s="381"/>
      <c r="AM72" s="558"/>
      <c r="AN72" s="558"/>
      <c r="AO72" s="558"/>
      <c r="AP72" s="558"/>
      <c r="AQ72" s="558"/>
      <c r="AR72" s="558"/>
      <c r="AS72" s="558"/>
      <c r="AT72" s="558"/>
      <c r="AU72" s="34"/>
      <c r="AV72" s="34"/>
      <c r="AW72" s="34"/>
      <c r="AX72" s="33"/>
      <c r="AY72" s="33"/>
      <c r="AZ72" s="43"/>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t="s">
        <v>657</v>
      </c>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row>
    <row r="73" spans="1:146" x14ac:dyDescent="0.2">
      <c r="A73" s="44"/>
      <c r="B73" s="175"/>
      <c r="C73" s="175"/>
      <c r="D73" s="175"/>
      <c r="E73" s="175"/>
      <c r="F73" s="175"/>
      <c r="G73" s="175"/>
      <c r="H73" s="175"/>
      <c r="I73" s="175"/>
      <c r="J73" s="175"/>
      <c r="K73" s="175"/>
      <c r="L73" s="175"/>
      <c r="M73" s="423"/>
      <c r="N73" s="423"/>
      <c r="O73" s="423"/>
      <c r="P73" s="175"/>
      <c r="Q73" s="175"/>
      <c r="R73" s="175"/>
      <c r="S73" s="175"/>
      <c r="T73" s="175"/>
      <c r="U73" s="175"/>
      <c r="V73" s="175"/>
      <c r="W73" s="175"/>
      <c r="X73" s="175"/>
      <c r="Y73" s="198"/>
      <c r="Z73" s="198"/>
      <c r="AA73" s="198"/>
      <c r="AB73" s="198"/>
      <c r="AC73" s="198"/>
      <c r="AD73" s="198"/>
      <c r="AE73" s="175"/>
      <c r="AF73" s="175"/>
      <c r="AG73" s="175"/>
      <c r="AH73" s="175"/>
      <c r="AI73" s="175"/>
      <c r="AJ73" s="204"/>
      <c r="AK73" s="261"/>
      <c r="AL73" s="381"/>
      <c r="AM73" s="558"/>
      <c r="AN73" s="558"/>
      <c r="AO73" s="558"/>
      <c r="AP73" s="558"/>
      <c r="AQ73" s="558"/>
      <c r="AR73" s="558"/>
      <c r="AS73" s="558"/>
      <c r="AT73" s="558"/>
      <c r="AU73" s="34"/>
      <c r="AV73" s="34"/>
      <c r="AW73" s="34"/>
      <c r="AX73" s="33"/>
      <c r="AY73" s="33"/>
      <c r="AZ73" s="43"/>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t="s">
        <v>658</v>
      </c>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row>
    <row r="74" spans="1:146" x14ac:dyDescent="0.2">
      <c r="A74" s="44"/>
      <c r="B74" s="175"/>
      <c r="C74" s="175"/>
      <c r="D74" s="175"/>
      <c r="E74" s="175"/>
      <c r="F74" s="175"/>
      <c r="G74" s="175"/>
      <c r="H74" s="175"/>
      <c r="I74" s="175"/>
      <c r="J74" s="175"/>
      <c r="K74" s="175"/>
      <c r="L74" s="175"/>
      <c r="M74" s="423"/>
      <c r="N74" s="423"/>
      <c r="O74" s="423"/>
      <c r="P74" s="175"/>
      <c r="Q74" s="175"/>
      <c r="R74" s="175"/>
      <c r="S74" s="175"/>
      <c r="T74" s="175"/>
      <c r="U74" s="175"/>
      <c r="V74" s="175"/>
      <c r="W74" s="175"/>
      <c r="X74" s="175"/>
      <c r="Y74" s="198"/>
      <c r="Z74" s="198"/>
      <c r="AA74" s="198"/>
      <c r="AB74" s="198"/>
      <c r="AC74" s="198"/>
      <c r="AD74" s="198"/>
      <c r="AE74" s="175"/>
      <c r="AF74" s="175"/>
      <c r="AG74" s="175"/>
      <c r="AH74" s="175"/>
      <c r="AI74" s="175"/>
      <c r="AJ74" s="204"/>
      <c r="AK74" s="261"/>
      <c r="AL74" s="381"/>
      <c r="AM74" s="558"/>
      <c r="AN74" s="558"/>
      <c r="AO74" s="558"/>
      <c r="AP74" s="558"/>
      <c r="AQ74" s="558"/>
      <c r="AR74" s="558"/>
      <c r="AS74" s="558"/>
      <c r="AT74" s="558"/>
      <c r="AU74" s="34"/>
      <c r="AV74" s="34"/>
      <c r="AW74" s="34"/>
      <c r="AX74" s="33"/>
      <c r="AY74" s="33"/>
      <c r="AZ74" s="43"/>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t="s">
        <v>659</v>
      </c>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row>
    <row r="75" spans="1:146" x14ac:dyDescent="0.2">
      <c r="A75" s="44"/>
      <c r="B75" s="175"/>
      <c r="C75" s="175"/>
      <c r="D75" s="175"/>
      <c r="E75" s="175"/>
      <c r="F75" s="175"/>
      <c r="G75" s="175"/>
      <c r="H75" s="175"/>
      <c r="I75" s="175"/>
      <c r="J75" s="175"/>
      <c r="K75" s="175"/>
      <c r="L75" s="175"/>
      <c r="M75" s="423"/>
      <c r="N75" s="423"/>
      <c r="O75" s="423"/>
      <c r="P75" s="175"/>
      <c r="Q75" s="175"/>
      <c r="R75" s="175"/>
      <c r="S75" s="175"/>
      <c r="T75" s="175"/>
      <c r="U75" s="175"/>
      <c r="V75" s="175"/>
      <c r="W75" s="175"/>
      <c r="X75" s="175"/>
      <c r="Y75" s="198"/>
      <c r="Z75" s="198"/>
      <c r="AA75" s="198"/>
      <c r="AB75" s="198"/>
      <c r="AC75" s="198"/>
      <c r="AD75" s="198"/>
      <c r="AE75" s="175"/>
      <c r="AF75" s="175"/>
      <c r="AG75" s="175"/>
      <c r="AH75" s="175"/>
      <c r="AI75" s="175"/>
      <c r="AJ75" s="204"/>
      <c r="AK75" s="261"/>
      <c r="AL75" s="381"/>
      <c r="AM75" s="558"/>
      <c r="AN75" s="558"/>
      <c r="AO75" s="558"/>
      <c r="AP75" s="558"/>
      <c r="AQ75" s="558"/>
      <c r="AR75" s="558"/>
      <c r="AS75" s="558"/>
      <c r="AT75" s="558"/>
      <c r="AU75" s="34"/>
      <c r="AV75" s="34"/>
      <c r="AW75" s="34"/>
      <c r="AX75" s="33"/>
      <c r="AY75" s="33"/>
      <c r="AZ75" s="43"/>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t="s">
        <v>660</v>
      </c>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row>
    <row r="76" spans="1:146" x14ac:dyDescent="0.2">
      <c r="A76" s="44"/>
      <c r="B76" s="175"/>
      <c r="C76" s="175"/>
      <c r="D76" s="175"/>
      <c r="E76" s="175"/>
      <c r="F76" s="175"/>
      <c r="G76" s="175"/>
      <c r="H76" s="175"/>
      <c r="I76" s="175"/>
      <c r="J76" s="175"/>
      <c r="K76" s="175"/>
      <c r="L76" s="175"/>
      <c r="M76" s="423"/>
      <c r="N76" s="423"/>
      <c r="O76" s="423"/>
      <c r="P76" s="175"/>
      <c r="Q76" s="175"/>
      <c r="R76" s="175"/>
      <c r="S76" s="175"/>
      <c r="T76" s="175"/>
      <c r="U76" s="175"/>
      <c r="V76" s="175"/>
      <c r="W76" s="175"/>
      <c r="X76" s="175"/>
      <c r="Y76" s="198"/>
      <c r="Z76" s="198"/>
      <c r="AA76" s="198"/>
      <c r="AB76" s="198"/>
      <c r="AC76" s="198"/>
      <c r="AD76" s="198"/>
      <c r="AE76" s="175"/>
      <c r="AF76" s="175"/>
      <c r="AG76" s="175"/>
      <c r="AH76" s="175"/>
      <c r="AI76" s="175"/>
      <c r="AJ76" s="204"/>
      <c r="AK76" s="261"/>
      <c r="AL76" s="40"/>
      <c r="AM76" s="34"/>
      <c r="AN76" s="34"/>
      <c r="AO76" s="34"/>
      <c r="AP76" s="34"/>
      <c r="AQ76" s="34"/>
      <c r="AR76" s="34"/>
      <c r="AS76" s="34"/>
      <c r="AT76" s="34"/>
      <c r="AU76" s="34"/>
      <c r="AV76" s="34"/>
      <c r="AW76" s="34"/>
      <c r="AX76" s="33"/>
      <c r="AY76" s="33"/>
      <c r="AZ76" s="43"/>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t="s">
        <v>661</v>
      </c>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row>
    <row r="77" spans="1:146" x14ac:dyDescent="0.2">
      <c r="A77" s="44"/>
      <c r="B77" s="175"/>
      <c r="C77" s="175"/>
      <c r="D77" s="175"/>
      <c r="E77" s="175"/>
      <c r="F77" s="175"/>
      <c r="G77" s="175"/>
      <c r="H77" s="175"/>
      <c r="I77" s="175"/>
      <c r="J77" s="175"/>
      <c r="K77" s="175"/>
      <c r="L77" s="175"/>
      <c r="M77" s="423"/>
      <c r="N77" s="423"/>
      <c r="O77" s="423"/>
      <c r="P77" s="175"/>
      <c r="Q77" s="175"/>
      <c r="R77" s="175"/>
      <c r="S77" s="175"/>
      <c r="T77" s="175"/>
      <c r="U77" s="175"/>
      <c r="V77" s="175"/>
      <c r="W77" s="175"/>
      <c r="X77" s="175"/>
      <c r="Y77" s="198"/>
      <c r="Z77" s="198"/>
      <c r="AA77" s="198"/>
      <c r="AB77" s="198"/>
      <c r="AC77" s="198"/>
      <c r="AD77" s="198"/>
      <c r="AE77" s="175"/>
      <c r="AF77" s="175"/>
      <c r="AG77" s="175"/>
      <c r="AH77" s="175"/>
      <c r="AI77" s="175"/>
      <c r="AJ77" s="204"/>
      <c r="AK77" s="261"/>
      <c r="AL77" s="40"/>
      <c r="AM77" s="34"/>
      <c r="AN77" s="34"/>
      <c r="AO77" s="34"/>
      <c r="AP77" s="34"/>
      <c r="AQ77" s="34"/>
      <c r="AR77" s="34"/>
      <c r="AS77" s="34"/>
      <c r="AT77" s="34"/>
      <c r="AU77" s="34"/>
      <c r="AV77" s="34"/>
      <c r="AW77" s="34"/>
      <c r="AX77" s="33"/>
      <c r="AY77" s="33"/>
      <c r="AZ77" s="43"/>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t="s">
        <v>662</v>
      </c>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row>
    <row r="78" spans="1:146" x14ac:dyDescent="0.2">
      <c r="A78" s="44"/>
      <c r="B78" s="175"/>
      <c r="C78" s="175"/>
      <c r="D78" s="175"/>
      <c r="E78" s="175"/>
      <c r="F78" s="175"/>
      <c r="G78" s="175"/>
      <c r="H78" s="175"/>
      <c r="I78" s="175"/>
      <c r="J78" s="175"/>
      <c r="K78" s="175"/>
      <c r="L78" s="175"/>
      <c r="M78" s="423"/>
      <c r="N78" s="423"/>
      <c r="O78" s="423"/>
      <c r="P78" s="175"/>
      <c r="Q78" s="175"/>
      <c r="R78" s="175"/>
      <c r="S78" s="175"/>
      <c r="T78" s="175"/>
      <c r="U78" s="175"/>
      <c r="V78" s="175"/>
      <c r="W78" s="175"/>
      <c r="X78" s="175"/>
      <c r="Y78" s="198"/>
      <c r="Z78" s="198"/>
      <c r="AA78" s="198"/>
      <c r="AB78" s="198"/>
      <c r="AC78" s="198"/>
      <c r="AD78" s="198"/>
      <c r="AE78" s="175"/>
      <c r="AF78" s="175"/>
      <c r="AG78" s="175"/>
      <c r="AH78" s="175"/>
      <c r="AI78" s="175"/>
      <c r="AJ78" s="204"/>
      <c r="AK78" s="261"/>
      <c r="AL78" s="40"/>
      <c r="AM78" s="34"/>
      <c r="AN78" s="34"/>
      <c r="AO78" s="34"/>
      <c r="AP78" s="34"/>
      <c r="AQ78" s="34"/>
      <c r="AR78" s="34"/>
      <c r="AS78" s="34"/>
      <c r="AT78" s="34"/>
      <c r="AU78" s="34"/>
      <c r="AV78" s="34"/>
      <c r="AW78" s="34"/>
      <c r="AX78" s="33"/>
      <c r="AY78" s="33"/>
      <c r="AZ78" s="43"/>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t="s">
        <v>663</v>
      </c>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row>
    <row r="79" spans="1:146" x14ac:dyDescent="0.2">
      <c r="A79" s="44"/>
      <c r="B79" s="175"/>
      <c r="C79" s="175"/>
      <c r="D79" s="175"/>
      <c r="E79" s="175"/>
      <c r="F79" s="175"/>
      <c r="G79" s="175"/>
      <c r="H79" s="175"/>
      <c r="I79" s="175"/>
      <c r="J79" s="175"/>
      <c r="K79" s="175"/>
      <c r="L79" s="175"/>
      <c r="M79" s="423"/>
      <c r="N79" s="423"/>
      <c r="O79" s="423"/>
      <c r="P79" s="175"/>
      <c r="Q79" s="175"/>
      <c r="R79" s="175"/>
      <c r="S79" s="175"/>
      <c r="T79" s="175"/>
      <c r="U79" s="175"/>
      <c r="V79" s="175"/>
      <c r="W79" s="175"/>
      <c r="X79" s="175"/>
      <c r="Y79" s="198"/>
      <c r="Z79" s="198"/>
      <c r="AA79" s="198"/>
      <c r="AB79" s="198"/>
      <c r="AC79" s="198"/>
      <c r="AD79" s="198"/>
      <c r="AE79" s="175"/>
      <c r="AF79" s="175"/>
      <c r="AG79" s="175"/>
      <c r="AH79" s="175"/>
      <c r="AI79" s="175"/>
      <c r="AJ79" s="204"/>
      <c r="AK79" s="261"/>
      <c r="AL79" s="40"/>
      <c r="AM79" s="34"/>
      <c r="AN79" s="34"/>
      <c r="AO79" s="34"/>
      <c r="AP79" s="34"/>
      <c r="AQ79" s="34"/>
      <c r="AR79" s="34"/>
      <c r="AS79" s="34"/>
      <c r="AT79" s="34"/>
      <c r="AU79" s="34"/>
      <c r="AV79" s="34"/>
      <c r="AW79" s="34"/>
      <c r="AX79" s="33"/>
      <c r="AY79" s="33"/>
      <c r="AZ79" s="43"/>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t="s">
        <v>664</v>
      </c>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row>
    <row r="80" spans="1:146" ht="6" customHeight="1" x14ac:dyDescent="0.2">
      <c r="A80" s="45"/>
      <c r="B80" s="283"/>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5"/>
      <c r="AL80" s="102" t="s">
        <v>3549</v>
      </c>
      <c r="AM80" s="34"/>
      <c r="AN80" s="34"/>
      <c r="AO80" s="34"/>
      <c r="AP80" s="34"/>
      <c r="AQ80" s="40"/>
      <c r="AR80" s="40"/>
      <c r="AS80" s="40"/>
      <c r="AT80" s="40"/>
      <c r="AU80" s="40"/>
      <c r="AV80" s="34"/>
      <c r="AW80" s="34"/>
      <c r="AX80" s="33"/>
      <c r="AY80" s="33"/>
      <c r="AZ80" s="43"/>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row>
    <row r="81" spans="1:136" ht="6" hidden="1" customHeight="1" x14ac:dyDescent="0.2">
      <c r="A81" s="45"/>
      <c r="B81" s="374"/>
      <c r="C81" s="375"/>
      <c r="D81" s="375"/>
      <c r="E81" s="375"/>
      <c r="F81" s="375"/>
      <c r="G81" s="375"/>
      <c r="H81" s="375"/>
      <c r="I81" s="375"/>
      <c r="J81" s="375"/>
      <c r="K81" s="375"/>
      <c r="L81" s="375"/>
      <c r="M81" s="375"/>
      <c r="N81" s="375"/>
      <c r="O81" s="375"/>
      <c r="P81" s="375"/>
      <c r="Q81" s="375"/>
      <c r="R81" s="375"/>
      <c r="S81" s="375"/>
      <c r="T81" s="375"/>
      <c r="U81" s="375"/>
      <c r="V81" s="375"/>
      <c r="W81" s="375"/>
      <c r="X81" s="375"/>
      <c r="Y81" s="375"/>
      <c r="Z81" s="375"/>
      <c r="AA81" s="375"/>
      <c r="AB81" s="375"/>
      <c r="AC81" s="375"/>
      <c r="AD81" s="375"/>
      <c r="AE81" s="375"/>
      <c r="AF81" s="375"/>
      <c r="AG81" s="375"/>
      <c r="AH81" s="375"/>
      <c r="AI81" s="375"/>
      <c r="AJ81" s="375"/>
      <c r="AK81" s="376"/>
      <c r="AL81" s="34"/>
      <c r="AM81" s="34"/>
      <c r="AN81" s="34"/>
      <c r="AO81" s="34"/>
      <c r="AP81" s="34"/>
      <c r="AQ81" s="40"/>
      <c r="AR81" s="40"/>
      <c r="AS81" s="40"/>
      <c r="AT81" s="40"/>
      <c r="AU81" s="40"/>
      <c r="AV81" s="34"/>
      <c r="AW81" s="34"/>
      <c r="AX81" s="33"/>
      <c r="AY81" s="33"/>
      <c r="AZ81" s="43"/>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row>
    <row r="82" spans="1:136" ht="12.75" customHeight="1" x14ac:dyDescent="0.2">
      <c r="A82" s="424">
        <v>6</v>
      </c>
      <c r="B82" s="311" t="s">
        <v>3565</v>
      </c>
      <c r="C82" s="627"/>
      <c r="D82" s="627"/>
      <c r="E82" s="627"/>
      <c r="F82" s="627"/>
      <c r="G82" s="627"/>
      <c r="H82" s="627"/>
      <c r="I82" s="311" t="s">
        <v>665</v>
      </c>
      <c r="J82" s="627"/>
      <c r="K82" s="627"/>
      <c r="L82" s="627"/>
      <c r="M82" s="630"/>
      <c r="N82" s="311" t="s">
        <v>3566</v>
      </c>
      <c r="O82" s="627"/>
      <c r="P82" s="627"/>
      <c r="Q82" s="627"/>
      <c r="R82" s="627"/>
      <c r="S82" s="176" t="s">
        <v>3405</v>
      </c>
      <c r="T82" s="256"/>
      <c r="U82" s="257"/>
      <c r="V82" s="176" t="s">
        <v>3567</v>
      </c>
      <c r="W82" s="177"/>
      <c r="X82" s="177"/>
      <c r="Y82" s="177"/>
      <c r="Z82" s="177"/>
      <c r="AA82" s="178"/>
      <c r="AB82" s="311" t="s">
        <v>666</v>
      </c>
      <c r="AC82" s="312"/>
      <c r="AD82" s="313"/>
      <c r="AE82" s="305" t="s">
        <v>3498</v>
      </c>
      <c r="AF82" s="306"/>
      <c r="AG82" s="306"/>
      <c r="AH82" s="306"/>
      <c r="AI82" s="307"/>
      <c r="AJ82" s="286" t="s">
        <v>3458</v>
      </c>
      <c r="AK82" s="287"/>
      <c r="AL82" s="34"/>
      <c r="AN82" s="34"/>
      <c r="AO82" s="34"/>
      <c r="AP82" s="34"/>
      <c r="AQ82" s="40"/>
      <c r="AR82" s="40"/>
      <c r="AS82" s="40"/>
      <c r="AT82" s="40"/>
      <c r="AU82" s="40"/>
      <c r="AV82" s="34"/>
      <c r="AW82" s="34"/>
      <c r="AX82" s="33"/>
      <c r="AY82" s="33"/>
      <c r="AZ82" s="43"/>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row>
    <row r="83" spans="1:136" x14ac:dyDescent="0.2">
      <c r="A83" s="424"/>
      <c r="B83" s="628"/>
      <c r="C83" s="629"/>
      <c r="D83" s="629"/>
      <c r="E83" s="629"/>
      <c r="F83" s="629"/>
      <c r="G83" s="629"/>
      <c r="H83" s="629"/>
      <c r="I83" s="628"/>
      <c r="J83" s="629"/>
      <c r="K83" s="629"/>
      <c r="L83" s="629"/>
      <c r="M83" s="631"/>
      <c r="N83" s="628"/>
      <c r="O83" s="629"/>
      <c r="P83" s="629"/>
      <c r="Q83" s="629"/>
      <c r="R83" s="629"/>
      <c r="S83" s="258"/>
      <c r="T83" s="259"/>
      <c r="U83" s="260"/>
      <c r="V83" s="179"/>
      <c r="W83" s="180"/>
      <c r="X83" s="180"/>
      <c r="Y83" s="180"/>
      <c r="Z83" s="180"/>
      <c r="AA83" s="181"/>
      <c r="AB83" s="314"/>
      <c r="AC83" s="315"/>
      <c r="AD83" s="316"/>
      <c r="AE83" s="308"/>
      <c r="AF83" s="309"/>
      <c r="AG83" s="309"/>
      <c r="AH83" s="309"/>
      <c r="AI83" s="310"/>
      <c r="AJ83" s="288"/>
      <c r="AK83" s="289"/>
      <c r="AL83" s="34"/>
      <c r="AM83" s="34"/>
      <c r="AN83" s="34"/>
      <c r="AO83" s="34"/>
      <c r="AP83" s="34"/>
      <c r="AQ83" s="34"/>
      <c r="AR83" s="34"/>
      <c r="AS83" s="34"/>
      <c r="AT83" s="34"/>
      <c r="AU83" s="34"/>
      <c r="AV83" s="34"/>
      <c r="AW83" s="34"/>
      <c r="AX83" s="33"/>
      <c r="AY83" s="33"/>
      <c r="AZ83" s="43"/>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row>
    <row r="84" spans="1:136" x14ac:dyDescent="0.2">
      <c r="A84" s="45"/>
      <c r="B84" s="166"/>
      <c r="C84" s="171"/>
      <c r="D84" s="171"/>
      <c r="E84" s="171"/>
      <c r="F84" s="171"/>
      <c r="G84" s="171"/>
      <c r="H84" s="172"/>
      <c r="I84" s="166"/>
      <c r="J84" s="171"/>
      <c r="K84" s="171"/>
      <c r="L84" s="171"/>
      <c r="M84" s="172"/>
      <c r="N84" s="169"/>
      <c r="O84" s="480"/>
      <c r="P84" s="620"/>
      <c r="Q84" s="480"/>
      <c r="R84" s="481"/>
      <c r="S84" s="169"/>
      <c r="T84" s="170"/>
      <c r="U84" s="170"/>
      <c r="V84" s="166"/>
      <c r="W84" s="167"/>
      <c r="X84" s="167"/>
      <c r="Y84" s="167"/>
      <c r="Z84" s="167"/>
      <c r="AA84" s="168"/>
      <c r="AB84" s="163"/>
      <c r="AC84" s="164"/>
      <c r="AD84" s="165"/>
      <c r="AE84" s="175"/>
      <c r="AF84" s="175"/>
      <c r="AG84" s="175"/>
      <c r="AH84" s="175"/>
      <c r="AI84" s="175"/>
      <c r="AJ84" s="204"/>
      <c r="AK84" s="261"/>
      <c r="AL84" s="381" t="s">
        <v>3493</v>
      </c>
      <c r="AM84" s="382"/>
      <c r="AN84" s="382"/>
      <c r="AO84" s="382"/>
      <c r="AP84" s="382"/>
      <c r="AQ84" s="382"/>
      <c r="AR84" s="382"/>
      <c r="AS84" s="382"/>
      <c r="AT84" s="382"/>
      <c r="AU84" s="382"/>
      <c r="AV84" s="34"/>
      <c r="AW84" s="34"/>
      <c r="AX84" s="33"/>
      <c r="AY84" s="33"/>
      <c r="AZ84" s="43"/>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t="s">
        <v>667</v>
      </c>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row>
    <row r="85" spans="1:136" ht="13.7" customHeight="1" x14ac:dyDescent="0.2">
      <c r="A85" s="45"/>
      <c r="B85" s="166"/>
      <c r="C85" s="171"/>
      <c r="D85" s="171"/>
      <c r="E85" s="171"/>
      <c r="F85" s="171"/>
      <c r="G85" s="171"/>
      <c r="H85" s="172"/>
      <c r="I85" s="166"/>
      <c r="J85" s="171"/>
      <c r="K85" s="171"/>
      <c r="L85" s="171"/>
      <c r="M85" s="172"/>
      <c r="N85" s="169"/>
      <c r="O85" s="480"/>
      <c r="P85" s="620"/>
      <c r="Q85" s="480"/>
      <c r="R85" s="481"/>
      <c r="S85" s="169"/>
      <c r="T85" s="170"/>
      <c r="U85" s="170"/>
      <c r="V85" s="166"/>
      <c r="W85" s="167"/>
      <c r="X85" s="167"/>
      <c r="Y85" s="167"/>
      <c r="Z85" s="167"/>
      <c r="AA85" s="168"/>
      <c r="AB85" s="163"/>
      <c r="AC85" s="164"/>
      <c r="AD85" s="165"/>
      <c r="AE85" s="175"/>
      <c r="AF85" s="175"/>
      <c r="AG85" s="175"/>
      <c r="AH85" s="175"/>
      <c r="AI85" s="175"/>
      <c r="AJ85" s="204"/>
      <c r="AK85" s="261"/>
      <c r="AL85" s="381"/>
      <c r="AM85" s="382"/>
      <c r="AN85" s="382"/>
      <c r="AO85" s="382"/>
      <c r="AP85" s="382"/>
      <c r="AQ85" s="382"/>
      <c r="AR85" s="382"/>
      <c r="AS85" s="382"/>
      <c r="AT85" s="382"/>
      <c r="AU85" s="382"/>
      <c r="AV85" s="34"/>
      <c r="AW85" s="34"/>
      <c r="AX85" s="33"/>
      <c r="AY85" s="33"/>
      <c r="AZ85" s="43"/>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t="s">
        <v>668</v>
      </c>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row>
    <row r="86" spans="1:136" ht="13.7" customHeight="1" x14ac:dyDescent="0.2">
      <c r="A86" s="45"/>
      <c r="B86" s="166"/>
      <c r="C86" s="171"/>
      <c r="D86" s="171"/>
      <c r="E86" s="171"/>
      <c r="F86" s="171"/>
      <c r="G86" s="171"/>
      <c r="H86" s="172"/>
      <c r="I86" s="166"/>
      <c r="J86" s="171"/>
      <c r="K86" s="171"/>
      <c r="L86" s="171"/>
      <c r="M86" s="172"/>
      <c r="N86" s="169"/>
      <c r="O86" s="480"/>
      <c r="P86" s="620"/>
      <c r="Q86" s="480"/>
      <c r="R86" s="481"/>
      <c r="S86" s="169"/>
      <c r="T86" s="170"/>
      <c r="U86" s="170"/>
      <c r="V86" s="166"/>
      <c r="W86" s="167"/>
      <c r="X86" s="167"/>
      <c r="Y86" s="167"/>
      <c r="Z86" s="167"/>
      <c r="AA86" s="168"/>
      <c r="AB86" s="163"/>
      <c r="AC86" s="164"/>
      <c r="AD86" s="165"/>
      <c r="AE86" s="175"/>
      <c r="AF86" s="175"/>
      <c r="AG86" s="175"/>
      <c r="AH86" s="175"/>
      <c r="AI86" s="175"/>
      <c r="AJ86" s="204"/>
      <c r="AK86" s="261"/>
      <c r="AL86" s="39"/>
      <c r="AM86" s="40"/>
      <c r="AN86" s="40"/>
      <c r="AO86" s="40"/>
      <c r="AP86" s="40"/>
      <c r="AQ86" s="40"/>
      <c r="AR86" s="40"/>
      <c r="AS86" s="40"/>
      <c r="AT86" s="40"/>
      <c r="AU86" s="40"/>
      <c r="AV86" s="34"/>
      <c r="AW86" s="34"/>
      <c r="AX86" s="33"/>
      <c r="AY86" s="33"/>
      <c r="AZ86" s="43"/>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t="s">
        <v>669</v>
      </c>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row>
    <row r="87" spans="1:136" ht="13.7" customHeight="1" x14ac:dyDescent="0.2">
      <c r="A87" s="45"/>
      <c r="B87" s="166"/>
      <c r="C87" s="171"/>
      <c r="D87" s="171"/>
      <c r="E87" s="171"/>
      <c r="F87" s="171"/>
      <c r="G87" s="171"/>
      <c r="H87" s="172"/>
      <c r="I87" s="166"/>
      <c r="J87" s="171"/>
      <c r="K87" s="171"/>
      <c r="L87" s="171"/>
      <c r="M87" s="172"/>
      <c r="N87" s="169"/>
      <c r="O87" s="480"/>
      <c r="P87" s="620"/>
      <c r="Q87" s="480"/>
      <c r="R87" s="481"/>
      <c r="S87" s="169"/>
      <c r="T87" s="170"/>
      <c r="U87" s="170"/>
      <c r="V87" s="166"/>
      <c r="W87" s="167"/>
      <c r="X87" s="167"/>
      <c r="Y87" s="167"/>
      <c r="Z87" s="167"/>
      <c r="AA87" s="168"/>
      <c r="AB87" s="163"/>
      <c r="AC87" s="164"/>
      <c r="AD87" s="165"/>
      <c r="AE87" s="175"/>
      <c r="AF87" s="175"/>
      <c r="AG87" s="175"/>
      <c r="AH87" s="175"/>
      <c r="AI87" s="175"/>
      <c r="AJ87" s="204"/>
      <c r="AK87" s="261"/>
      <c r="AL87" s="39"/>
      <c r="AM87" s="40"/>
      <c r="AN87" s="40"/>
      <c r="AO87" s="40"/>
      <c r="AP87" s="40"/>
      <c r="AQ87" s="40"/>
      <c r="AR87" s="40"/>
      <c r="AS87" s="40"/>
      <c r="AT87" s="40"/>
      <c r="AU87" s="40"/>
      <c r="AV87" s="34"/>
      <c r="AW87" s="34"/>
      <c r="AX87" s="33"/>
      <c r="AY87" s="33"/>
      <c r="AZ87" s="43"/>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t="s">
        <v>670</v>
      </c>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row>
    <row r="88" spans="1:136" ht="13.7" customHeight="1" x14ac:dyDescent="0.2">
      <c r="A88" s="45"/>
      <c r="B88" s="166"/>
      <c r="C88" s="171"/>
      <c r="D88" s="171"/>
      <c r="E88" s="171"/>
      <c r="F88" s="171"/>
      <c r="G88" s="171"/>
      <c r="H88" s="172"/>
      <c r="I88" s="166"/>
      <c r="J88" s="171"/>
      <c r="K88" s="171"/>
      <c r="L88" s="171"/>
      <c r="M88" s="172"/>
      <c r="N88" s="169"/>
      <c r="O88" s="480"/>
      <c r="P88" s="620"/>
      <c r="Q88" s="480"/>
      <c r="R88" s="481"/>
      <c r="S88" s="169"/>
      <c r="T88" s="170"/>
      <c r="U88" s="170"/>
      <c r="V88" s="166"/>
      <c r="W88" s="167"/>
      <c r="X88" s="167"/>
      <c r="Y88" s="167"/>
      <c r="Z88" s="167"/>
      <c r="AA88" s="168"/>
      <c r="AB88" s="163"/>
      <c r="AC88" s="164"/>
      <c r="AD88" s="165"/>
      <c r="AE88" s="175"/>
      <c r="AF88" s="175"/>
      <c r="AG88" s="175"/>
      <c r="AH88" s="175"/>
      <c r="AI88" s="175"/>
      <c r="AJ88" s="204"/>
      <c r="AK88" s="261"/>
      <c r="AL88" s="39"/>
      <c r="AM88" s="40"/>
      <c r="AN88" s="40"/>
      <c r="AO88" s="40"/>
      <c r="AP88" s="40"/>
      <c r="AQ88" s="40"/>
      <c r="AR88" s="40"/>
      <c r="AS88" s="40"/>
      <c r="AT88" s="40"/>
      <c r="AU88" s="40"/>
      <c r="AV88" s="34"/>
      <c r="AW88" s="34"/>
      <c r="AX88" s="33"/>
      <c r="AY88" s="33"/>
      <c r="AZ88" s="43"/>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t="s">
        <v>671</v>
      </c>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row>
    <row r="89" spans="1:136" ht="13.7" customHeight="1" x14ac:dyDescent="0.2">
      <c r="A89" s="45"/>
      <c r="B89" s="166"/>
      <c r="C89" s="171"/>
      <c r="D89" s="171"/>
      <c r="E89" s="171"/>
      <c r="F89" s="171"/>
      <c r="G89" s="171"/>
      <c r="H89" s="172"/>
      <c r="I89" s="166"/>
      <c r="J89" s="171"/>
      <c r="K89" s="171"/>
      <c r="L89" s="171"/>
      <c r="M89" s="172"/>
      <c r="N89" s="169"/>
      <c r="O89" s="480"/>
      <c r="P89" s="620"/>
      <c r="Q89" s="480"/>
      <c r="R89" s="481"/>
      <c r="S89" s="169"/>
      <c r="T89" s="170"/>
      <c r="U89" s="170"/>
      <c r="V89" s="166"/>
      <c r="W89" s="167"/>
      <c r="X89" s="167"/>
      <c r="Y89" s="167"/>
      <c r="Z89" s="167"/>
      <c r="AA89" s="168"/>
      <c r="AB89" s="163"/>
      <c r="AC89" s="164"/>
      <c r="AD89" s="165"/>
      <c r="AE89" s="175"/>
      <c r="AF89" s="175"/>
      <c r="AG89" s="175"/>
      <c r="AH89" s="175"/>
      <c r="AI89" s="175"/>
      <c r="AJ89" s="204"/>
      <c r="AK89" s="261"/>
      <c r="AL89" s="39"/>
      <c r="AM89" s="40"/>
      <c r="AN89" s="40"/>
      <c r="AO89" s="40"/>
      <c r="AP89" s="40"/>
      <c r="AQ89" s="40"/>
      <c r="AR89" s="40"/>
      <c r="AS89" s="40"/>
      <c r="AT89" s="40"/>
      <c r="AU89" s="40"/>
      <c r="AV89" s="34"/>
      <c r="AW89" s="34"/>
      <c r="AX89" s="33"/>
      <c r="AY89" s="33"/>
      <c r="AZ89" s="43"/>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t="s">
        <v>672</v>
      </c>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row>
    <row r="90" spans="1:136" ht="13.7" customHeight="1" x14ac:dyDescent="0.2">
      <c r="A90" s="45"/>
      <c r="B90" s="166"/>
      <c r="C90" s="171"/>
      <c r="D90" s="171"/>
      <c r="E90" s="171"/>
      <c r="F90" s="171"/>
      <c r="G90" s="171"/>
      <c r="H90" s="172"/>
      <c r="I90" s="166"/>
      <c r="J90" s="171"/>
      <c r="K90" s="171"/>
      <c r="L90" s="171"/>
      <c r="M90" s="172"/>
      <c r="N90" s="169"/>
      <c r="O90" s="480"/>
      <c r="P90" s="620"/>
      <c r="Q90" s="480"/>
      <c r="R90" s="481"/>
      <c r="S90" s="169"/>
      <c r="T90" s="170"/>
      <c r="U90" s="170"/>
      <c r="V90" s="166"/>
      <c r="W90" s="167"/>
      <c r="X90" s="167"/>
      <c r="Y90" s="167"/>
      <c r="Z90" s="167"/>
      <c r="AA90" s="168"/>
      <c r="AB90" s="163"/>
      <c r="AC90" s="164"/>
      <c r="AD90" s="165"/>
      <c r="AE90" s="175"/>
      <c r="AF90" s="175"/>
      <c r="AG90" s="175"/>
      <c r="AH90" s="175"/>
      <c r="AI90" s="175"/>
      <c r="AJ90" s="204"/>
      <c r="AK90" s="261"/>
      <c r="AL90" s="39"/>
      <c r="AM90" s="40"/>
      <c r="AN90" s="40"/>
      <c r="AO90" s="40"/>
      <c r="AP90" s="40"/>
      <c r="AQ90" s="40"/>
      <c r="AR90" s="40"/>
      <c r="AS90" s="40"/>
      <c r="AT90" s="40"/>
      <c r="AU90" s="40"/>
      <c r="AV90" s="34"/>
      <c r="AW90" s="34"/>
      <c r="AX90" s="33"/>
      <c r="AY90" s="33"/>
      <c r="AZ90" s="43"/>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t="s">
        <v>673</v>
      </c>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row>
    <row r="91" spans="1:136" ht="13.7" customHeight="1" x14ac:dyDescent="0.2">
      <c r="A91" s="45"/>
      <c r="B91" s="166"/>
      <c r="C91" s="171"/>
      <c r="D91" s="171"/>
      <c r="E91" s="171"/>
      <c r="F91" s="171"/>
      <c r="G91" s="171"/>
      <c r="H91" s="172"/>
      <c r="I91" s="166"/>
      <c r="J91" s="171"/>
      <c r="K91" s="171"/>
      <c r="L91" s="171"/>
      <c r="M91" s="172"/>
      <c r="N91" s="169"/>
      <c r="O91" s="480"/>
      <c r="P91" s="620"/>
      <c r="Q91" s="480"/>
      <c r="R91" s="481"/>
      <c r="S91" s="169"/>
      <c r="T91" s="170"/>
      <c r="U91" s="170"/>
      <c r="V91" s="166"/>
      <c r="W91" s="167"/>
      <c r="X91" s="167"/>
      <c r="Y91" s="167"/>
      <c r="Z91" s="167"/>
      <c r="AA91" s="168"/>
      <c r="AB91" s="163"/>
      <c r="AC91" s="164"/>
      <c r="AD91" s="165"/>
      <c r="AE91" s="175"/>
      <c r="AF91" s="175"/>
      <c r="AG91" s="175"/>
      <c r="AH91" s="175"/>
      <c r="AI91" s="175"/>
      <c r="AJ91" s="204"/>
      <c r="AK91" s="261"/>
      <c r="AL91" s="39"/>
      <c r="AM91" s="40"/>
      <c r="AN91" s="40"/>
      <c r="AO91" s="40"/>
      <c r="AP91" s="40"/>
      <c r="AQ91" s="40"/>
      <c r="AR91" s="40"/>
      <c r="AS91" s="40"/>
      <c r="AT91" s="40"/>
      <c r="AU91" s="40"/>
      <c r="AV91" s="34"/>
      <c r="AW91" s="34"/>
      <c r="AX91" s="33"/>
      <c r="AY91" s="33"/>
      <c r="AZ91" s="43"/>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t="s">
        <v>674</v>
      </c>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row>
    <row r="92" spans="1:136" ht="13.7" customHeight="1" x14ac:dyDescent="0.2">
      <c r="A92" s="45"/>
      <c r="B92" s="166"/>
      <c r="C92" s="171"/>
      <c r="D92" s="171"/>
      <c r="E92" s="171"/>
      <c r="F92" s="171"/>
      <c r="G92" s="171"/>
      <c r="H92" s="172"/>
      <c r="I92" s="166"/>
      <c r="J92" s="171"/>
      <c r="K92" s="171"/>
      <c r="L92" s="171"/>
      <c r="M92" s="172"/>
      <c r="N92" s="169"/>
      <c r="O92" s="480"/>
      <c r="P92" s="620"/>
      <c r="Q92" s="480"/>
      <c r="R92" s="481"/>
      <c r="S92" s="169"/>
      <c r="T92" s="170"/>
      <c r="U92" s="170"/>
      <c r="V92" s="166"/>
      <c r="W92" s="167"/>
      <c r="X92" s="167"/>
      <c r="Y92" s="167"/>
      <c r="Z92" s="167"/>
      <c r="AA92" s="168"/>
      <c r="AB92" s="163"/>
      <c r="AC92" s="164"/>
      <c r="AD92" s="165"/>
      <c r="AE92" s="175"/>
      <c r="AF92" s="175"/>
      <c r="AG92" s="175"/>
      <c r="AH92" s="175"/>
      <c r="AI92" s="175"/>
      <c r="AJ92" s="204"/>
      <c r="AK92" s="261"/>
      <c r="AL92" s="39"/>
      <c r="AM92" s="40"/>
      <c r="AN92" s="40"/>
      <c r="AO92" s="40"/>
      <c r="AP92" s="40"/>
      <c r="AQ92" s="40"/>
      <c r="AR92" s="40"/>
      <c r="AS92" s="40"/>
      <c r="AT92" s="40"/>
      <c r="AU92" s="40"/>
      <c r="AV92" s="34"/>
      <c r="AW92" s="34"/>
      <c r="AX92" s="33"/>
      <c r="AY92" s="33"/>
      <c r="AZ92" s="43"/>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t="s">
        <v>675</v>
      </c>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row>
    <row r="93" spans="1:136" x14ac:dyDescent="0.2">
      <c r="A93" s="45"/>
      <c r="B93" s="166"/>
      <c r="C93" s="171"/>
      <c r="D93" s="171"/>
      <c r="E93" s="171"/>
      <c r="F93" s="171"/>
      <c r="G93" s="171"/>
      <c r="H93" s="172"/>
      <c r="I93" s="166"/>
      <c r="J93" s="171"/>
      <c r="K93" s="171"/>
      <c r="L93" s="171"/>
      <c r="M93" s="172"/>
      <c r="N93" s="169"/>
      <c r="O93" s="480"/>
      <c r="P93" s="620"/>
      <c r="Q93" s="480"/>
      <c r="R93" s="481"/>
      <c r="S93" s="169"/>
      <c r="T93" s="170"/>
      <c r="U93" s="170"/>
      <c r="V93" s="166"/>
      <c r="W93" s="167"/>
      <c r="X93" s="167"/>
      <c r="Y93" s="167"/>
      <c r="Z93" s="167"/>
      <c r="AA93" s="168"/>
      <c r="AB93" s="163"/>
      <c r="AC93" s="164"/>
      <c r="AD93" s="165"/>
      <c r="AE93" s="175"/>
      <c r="AF93" s="175"/>
      <c r="AG93" s="175"/>
      <c r="AH93" s="175"/>
      <c r="AI93" s="175"/>
      <c r="AJ93" s="204"/>
      <c r="AK93" s="261"/>
      <c r="AL93" s="39"/>
      <c r="AM93" s="40"/>
      <c r="AN93" s="40"/>
      <c r="AO93" s="40"/>
      <c r="AP93" s="40"/>
      <c r="AQ93" s="40"/>
      <c r="AR93" s="40"/>
      <c r="AS93" s="40"/>
      <c r="AT93" s="40"/>
      <c r="AU93" s="40"/>
      <c r="AV93" s="34"/>
      <c r="AW93" s="34"/>
      <c r="AX93" s="33"/>
      <c r="AY93" s="33"/>
      <c r="AZ93" s="43"/>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t="s">
        <v>676</v>
      </c>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row>
    <row r="94" spans="1:136" x14ac:dyDescent="0.2">
      <c r="A94" s="45"/>
      <c r="B94" s="166"/>
      <c r="C94" s="171"/>
      <c r="D94" s="171"/>
      <c r="E94" s="171"/>
      <c r="F94" s="171"/>
      <c r="G94" s="171"/>
      <c r="H94" s="172"/>
      <c r="I94" s="166"/>
      <c r="J94" s="171"/>
      <c r="K94" s="171"/>
      <c r="L94" s="171"/>
      <c r="M94" s="172"/>
      <c r="N94" s="169"/>
      <c r="O94" s="480"/>
      <c r="P94" s="620"/>
      <c r="Q94" s="480"/>
      <c r="R94" s="481"/>
      <c r="S94" s="169"/>
      <c r="T94" s="170"/>
      <c r="U94" s="170"/>
      <c r="V94" s="166"/>
      <c r="W94" s="167"/>
      <c r="X94" s="167"/>
      <c r="Y94" s="167"/>
      <c r="Z94" s="167"/>
      <c r="AA94" s="168"/>
      <c r="AB94" s="163"/>
      <c r="AC94" s="164"/>
      <c r="AD94" s="165"/>
      <c r="AE94" s="175"/>
      <c r="AF94" s="175"/>
      <c r="AG94" s="175"/>
      <c r="AH94" s="175"/>
      <c r="AI94" s="175"/>
      <c r="AJ94" s="204"/>
      <c r="AK94" s="261"/>
      <c r="AL94" s="39"/>
      <c r="AM94" s="40"/>
      <c r="AN94" s="40"/>
      <c r="AO94" s="40"/>
      <c r="AP94" s="40"/>
      <c r="AQ94" s="40"/>
      <c r="AR94" s="40"/>
      <c r="AS94" s="40"/>
      <c r="AT94" s="40"/>
      <c r="AU94" s="40"/>
      <c r="AV94" s="34"/>
      <c r="AW94" s="34"/>
      <c r="AX94" s="33"/>
      <c r="AY94" s="33"/>
      <c r="AZ94" s="43"/>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t="s">
        <v>677</v>
      </c>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row>
    <row r="95" spans="1:136" ht="13.7" customHeight="1" x14ac:dyDescent="0.2">
      <c r="A95" s="45"/>
      <c r="B95" s="166"/>
      <c r="C95" s="171"/>
      <c r="D95" s="171"/>
      <c r="E95" s="171"/>
      <c r="F95" s="171"/>
      <c r="G95" s="171"/>
      <c r="H95" s="172"/>
      <c r="I95" s="166"/>
      <c r="J95" s="171"/>
      <c r="K95" s="171"/>
      <c r="L95" s="171"/>
      <c r="M95" s="172"/>
      <c r="N95" s="169"/>
      <c r="O95" s="480"/>
      <c r="P95" s="620"/>
      <c r="Q95" s="480"/>
      <c r="R95" s="481"/>
      <c r="S95" s="169"/>
      <c r="T95" s="170"/>
      <c r="U95" s="170"/>
      <c r="V95" s="166"/>
      <c r="W95" s="167"/>
      <c r="X95" s="167"/>
      <c r="Y95" s="167"/>
      <c r="Z95" s="167"/>
      <c r="AA95" s="168"/>
      <c r="AB95" s="163"/>
      <c r="AC95" s="164"/>
      <c r="AD95" s="165"/>
      <c r="AE95" s="175"/>
      <c r="AF95" s="175"/>
      <c r="AG95" s="175"/>
      <c r="AH95" s="175"/>
      <c r="AI95" s="175"/>
      <c r="AJ95" s="204"/>
      <c r="AK95" s="261"/>
      <c r="AL95" s="381"/>
      <c r="AM95" s="382"/>
      <c r="AN95" s="382"/>
      <c r="AO95" s="382"/>
      <c r="AP95" s="382"/>
      <c r="AQ95" s="382"/>
      <c r="AR95" s="382"/>
      <c r="AS95" s="382"/>
      <c r="AT95" s="382"/>
      <c r="AU95" s="382"/>
      <c r="AV95" s="34"/>
      <c r="AW95" s="34"/>
      <c r="AX95" s="33"/>
      <c r="AY95" s="33"/>
      <c r="AZ95" s="43"/>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t="s">
        <v>678</v>
      </c>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row>
    <row r="96" spans="1:136" ht="5.25" customHeight="1" x14ac:dyDescent="0.2">
      <c r="A96" s="47"/>
      <c r="B96" s="374"/>
      <c r="C96" s="375"/>
      <c r="D96" s="375"/>
      <c r="E96" s="375"/>
      <c r="F96" s="375"/>
      <c r="G96" s="375"/>
      <c r="H96" s="375"/>
      <c r="I96" s="375"/>
      <c r="J96" s="375"/>
      <c r="K96" s="375"/>
      <c r="L96" s="375"/>
      <c r="M96" s="375"/>
      <c r="N96" s="375"/>
      <c r="O96" s="375"/>
      <c r="P96" s="375"/>
      <c r="Q96" s="375"/>
      <c r="R96" s="375"/>
      <c r="S96" s="375"/>
      <c r="T96" s="375"/>
      <c r="U96" s="375"/>
      <c r="V96" s="375"/>
      <c r="W96" s="375"/>
      <c r="X96" s="375"/>
      <c r="Y96" s="375"/>
      <c r="Z96" s="375"/>
      <c r="AA96" s="375"/>
      <c r="AB96" s="375"/>
      <c r="AC96" s="375"/>
      <c r="AD96" s="375"/>
      <c r="AE96" s="375"/>
      <c r="AF96" s="375"/>
      <c r="AG96" s="375"/>
      <c r="AH96" s="375"/>
      <c r="AI96" s="375"/>
      <c r="AJ96" s="375"/>
      <c r="AK96" s="376"/>
      <c r="AL96" s="34"/>
      <c r="AM96" s="34"/>
      <c r="AN96" s="34"/>
      <c r="AO96" s="34"/>
      <c r="AP96" s="34"/>
      <c r="AQ96" s="34"/>
      <c r="AR96" s="34"/>
      <c r="AS96" s="34"/>
      <c r="AT96" s="34"/>
      <c r="AU96" s="34"/>
      <c r="AV96" s="34"/>
      <c r="AW96" s="34"/>
      <c r="AX96" s="33"/>
      <c r="AY96" s="33"/>
      <c r="AZ96" s="43"/>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c r="DY96" s="9"/>
      <c r="DZ96" s="9"/>
      <c r="EA96" s="9"/>
      <c r="EB96" s="9"/>
      <c r="EC96" s="9"/>
      <c r="ED96" s="9"/>
      <c r="EE96" s="9"/>
      <c r="EF96" s="9"/>
    </row>
    <row r="97" spans="1:136" x14ac:dyDescent="0.2">
      <c r="A97" s="212" t="s">
        <v>3205</v>
      </c>
      <c r="B97" s="426"/>
      <c r="C97" s="426"/>
      <c r="D97" s="426"/>
      <c r="E97" s="426"/>
      <c r="F97" s="426"/>
      <c r="G97" s="426"/>
      <c r="H97" s="426"/>
      <c r="I97" s="426"/>
      <c r="J97" s="426"/>
      <c r="K97" s="426"/>
      <c r="L97" s="426"/>
      <c r="M97" s="426"/>
      <c r="N97" s="426"/>
      <c r="O97" s="426"/>
      <c r="P97" s="426"/>
      <c r="Q97" s="426"/>
      <c r="R97" s="426"/>
      <c r="S97" s="426"/>
      <c r="T97" s="426"/>
      <c r="U97" s="426"/>
      <c r="V97" s="426"/>
      <c r="W97" s="426"/>
      <c r="X97" s="426"/>
      <c r="Y97" s="426"/>
      <c r="Z97" s="426"/>
      <c r="AA97" s="426"/>
      <c r="AB97" s="426"/>
      <c r="AC97" s="426"/>
      <c r="AD97" s="426"/>
      <c r="AE97" s="426"/>
      <c r="AF97" s="426"/>
      <c r="AG97" s="426"/>
      <c r="AH97" s="426"/>
      <c r="AI97" s="426"/>
      <c r="AJ97" s="426"/>
      <c r="AK97" s="427"/>
      <c r="AL97" s="34"/>
      <c r="AM97" s="34"/>
      <c r="AN97" s="34"/>
      <c r="AO97" s="34"/>
      <c r="AP97" s="34"/>
      <c r="AQ97" s="34"/>
      <c r="AR97" s="34"/>
      <c r="AS97" s="34"/>
      <c r="AT97" s="34"/>
      <c r="AU97" s="34"/>
      <c r="AV97" s="34"/>
      <c r="AW97" s="34"/>
      <c r="AX97" s="33"/>
      <c r="AY97" s="33"/>
      <c r="AZ97" s="43"/>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row>
    <row r="98" spans="1:136" x14ac:dyDescent="0.2">
      <c r="A98" s="410">
        <v>7</v>
      </c>
      <c r="B98" s="290" t="s">
        <v>3192</v>
      </c>
      <c r="C98" s="291"/>
      <c r="D98" s="291"/>
      <c r="E98" s="291"/>
      <c r="F98" s="291"/>
      <c r="G98" s="291"/>
      <c r="H98" s="291"/>
      <c r="I98" s="291"/>
      <c r="J98" s="291"/>
      <c r="K98" s="291"/>
      <c r="L98" s="414" t="s">
        <v>3495</v>
      </c>
      <c r="M98" s="415"/>
      <c r="N98" s="415"/>
      <c r="O98" s="415"/>
      <c r="P98" s="415"/>
      <c r="Q98" s="416"/>
      <c r="R98" s="290" t="s">
        <v>679</v>
      </c>
      <c r="S98" s="412"/>
      <c r="T98" s="412"/>
      <c r="U98" s="412"/>
      <c r="V98" s="412"/>
      <c r="W98" s="632" t="s">
        <v>680</v>
      </c>
      <c r="X98" s="632"/>
      <c r="Y98" s="632"/>
      <c r="Z98" s="632"/>
      <c r="AA98" s="593" t="s">
        <v>3406</v>
      </c>
      <c r="AB98" s="593"/>
      <c r="AC98" s="593"/>
      <c r="AD98" s="593"/>
      <c r="AE98" s="621" t="s">
        <v>681</v>
      </c>
      <c r="AF98" s="622"/>
      <c r="AG98" s="622"/>
      <c r="AH98" s="622"/>
      <c r="AI98" s="622"/>
      <c r="AJ98" s="622"/>
      <c r="AK98" s="623"/>
      <c r="AL98" s="34"/>
      <c r="AM98" s="34"/>
      <c r="AN98" s="34"/>
      <c r="AO98" s="34"/>
      <c r="AP98" s="34"/>
      <c r="AQ98" s="34"/>
      <c r="AR98" s="34"/>
      <c r="AS98" s="34"/>
      <c r="AT98" s="34"/>
      <c r="AU98" s="34"/>
      <c r="AV98" s="34"/>
      <c r="AW98" s="34"/>
      <c r="AX98" s="33"/>
      <c r="AY98" s="33"/>
      <c r="AZ98" s="43"/>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row>
    <row r="99" spans="1:136" ht="11.25" customHeight="1" x14ac:dyDescent="0.2">
      <c r="A99" s="411"/>
      <c r="B99" s="292"/>
      <c r="C99" s="292"/>
      <c r="D99" s="292"/>
      <c r="E99" s="292"/>
      <c r="F99" s="292"/>
      <c r="G99" s="292"/>
      <c r="H99" s="292"/>
      <c r="I99" s="292"/>
      <c r="J99" s="292"/>
      <c r="K99" s="292"/>
      <c r="L99" s="417"/>
      <c r="M99" s="418"/>
      <c r="N99" s="418"/>
      <c r="O99" s="418"/>
      <c r="P99" s="418"/>
      <c r="Q99" s="419"/>
      <c r="R99" s="413"/>
      <c r="S99" s="413"/>
      <c r="T99" s="413"/>
      <c r="U99" s="413"/>
      <c r="V99" s="413"/>
      <c r="W99" s="632"/>
      <c r="X99" s="632"/>
      <c r="Y99" s="632"/>
      <c r="Z99" s="632"/>
      <c r="AA99" s="593"/>
      <c r="AB99" s="593"/>
      <c r="AC99" s="593"/>
      <c r="AD99" s="593"/>
      <c r="AE99" s="624"/>
      <c r="AF99" s="625"/>
      <c r="AG99" s="625"/>
      <c r="AH99" s="625"/>
      <c r="AI99" s="625"/>
      <c r="AJ99" s="625"/>
      <c r="AK99" s="626"/>
      <c r="AL99" s="34"/>
      <c r="AM99" s="34"/>
      <c r="AN99" s="34"/>
      <c r="AO99" s="34"/>
      <c r="AP99" s="34"/>
      <c r="AQ99" s="34"/>
      <c r="AR99" s="34"/>
      <c r="AS99" s="34"/>
      <c r="AT99" s="34"/>
      <c r="AU99" s="34"/>
      <c r="AV99" s="34"/>
      <c r="AW99" s="34"/>
      <c r="AX99" s="33"/>
      <c r="AY99" s="33"/>
      <c r="AZ99" s="43"/>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row>
    <row r="100" spans="1:136" ht="13.7" customHeight="1" x14ac:dyDescent="0.2">
      <c r="A100" s="45"/>
      <c r="B100" s="280"/>
      <c r="C100" s="281"/>
      <c r="D100" s="281"/>
      <c r="E100" s="281"/>
      <c r="F100" s="281"/>
      <c r="G100" s="281"/>
      <c r="H100" s="281"/>
      <c r="I100" s="281"/>
      <c r="J100" s="281"/>
      <c r="K100" s="281"/>
      <c r="L100" s="281"/>
      <c r="M100" s="281"/>
      <c r="N100" s="281"/>
      <c r="O100" s="281"/>
      <c r="P100" s="281"/>
      <c r="Q100" s="281"/>
      <c r="R100" s="175"/>
      <c r="S100" s="282"/>
      <c r="T100" s="282"/>
      <c r="U100" s="282"/>
      <c r="V100" s="282"/>
      <c r="W100" s="198"/>
      <c r="X100" s="198"/>
      <c r="Y100" s="198"/>
      <c r="Z100" s="198"/>
      <c r="AA100" s="198"/>
      <c r="AB100" s="198"/>
      <c r="AC100" s="198"/>
      <c r="AD100" s="198"/>
      <c r="AE100" s="175"/>
      <c r="AF100" s="175"/>
      <c r="AG100" s="175"/>
      <c r="AH100" s="175"/>
      <c r="AI100" s="175"/>
      <c r="AJ100" s="175"/>
      <c r="AK100" s="175"/>
      <c r="AL100" s="381" t="s">
        <v>682</v>
      </c>
      <c r="AM100" s="382"/>
      <c r="AN100" s="382"/>
      <c r="AO100" s="382"/>
      <c r="AP100" s="382"/>
      <c r="AQ100" s="382"/>
      <c r="AR100" s="382"/>
      <c r="AS100" s="382"/>
      <c r="AT100" s="382"/>
      <c r="AU100" s="382"/>
      <c r="AV100" s="382"/>
      <c r="AW100" s="34"/>
      <c r="AX100" s="33"/>
      <c r="AY100" s="33"/>
      <c r="AZ100" s="43"/>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t="s">
        <v>683</v>
      </c>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row>
    <row r="101" spans="1:136" ht="13.7" customHeight="1" x14ac:dyDescent="0.2">
      <c r="A101" s="45"/>
      <c r="B101" s="280"/>
      <c r="C101" s="281"/>
      <c r="D101" s="281"/>
      <c r="E101" s="281"/>
      <c r="F101" s="281"/>
      <c r="G101" s="281"/>
      <c r="H101" s="281"/>
      <c r="I101" s="281"/>
      <c r="J101" s="281"/>
      <c r="K101" s="281"/>
      <c r="L101" s="281"/>
      <c r="M101" s="281"/>
      <c r="N101" s="281"/>
      <c r="O101" s="281"/>
      <c r="P101" s="281"/>
      <c r="Q101" s="281"/>
      <c r="R101" s="175"/>
      <c r="S101" s="282"/>
      <c r="T101" s="282"/>
      <c r="U101" s="282"/>
      <c r="V101" s="282"/>
      <c r="W101" s="198"/>
      <c r="X101" s="198"/>
      <c r="Y101" s="198"/>
      <c r="Z101" s="198"/>
      <c r="AA101" s="198"/>
      <c r="AB101" s="198"/>
      <c r="AC101" s="198"/>
      <c r="AD101" s="198"/>
      <c r="AE101" s="175"/>
      <c r="AF101" s="175"/>
      <c r="AG101" s="175"/>
      <c r="AH101" s="175"/>
      <c r="AI101" s="175"/>
      <c r="AJ101" s="175"/>
      <c r="AK101" s="175"/>
      <c r="AL101" s="381"/>
      <c r="AM101" s="382"/>
      <c r="AN101" s="382"/>
      <c r="AO101" s="382"/>
      <c r="AP101" s="382"/>
      <c r="AQ101" s="382"/>
      <c r="AR101" s="382"/>
      <c r="AS101" s="382"/>
      <c r="AT101" s="382"/>
      <c r="AU101" s="382"/>
      <c r="AV101" s="382"/>
      <c r="AW101" s="34"/>
      <c r="AX101" s="33"/>
      <c r="AY101" s="33"/>
      <c r="AZ101" s="43"/>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t="s">
        <v>684</v>
      </c>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row>
    <row r="102" spans="1:136" ht="13.7" customHeight="1" x14ac:dyDescent="0.2">
      <c r="A102" s="45"/>
      <c r="B102" s="280"/>
      <c r="C102" s="281"/>
      <c r="D102" s="281"/>
      <c r="E102" s="281"/>
      <c r="F102" s="281"/>
      <c r="G102" s="281"/>
      <c r="H102" s="281"/>
      <c r="I102" s="281"/>
      <c r="J102" s="281"/>
      <c r="K102" s="281"/>
      <c r="L102" s="281"/>
      <c r="M102" s="281"/>
      <c r="N102" s="281"/>
      <c r="O102" s="281"/>
      <c r="P102" s="281"/>
      <c r="Q102" s="281"/>
      <c r="R102" s="175"/>
      <c r="S102" s="282"/>
      <c r="T102" s="282"/>
      <c r="U102" s="282"/>
      <c r="V102" s="282"/>
      <c r="W102" s="198"/>
      <c r="X102" s="198"/>
      <c r="Y102" s="198"/>
      <c r="Z102" s="198"/>
      <c r="AA102" s="198"/>
      <c r="AB102" s="198"/>
      <c r="AC102" s="198"/>
      <c r="AD102" s="198"/>
      <c r="AE102" s="175"/>
      <c r="AF102" s="175"/>
      <c r="AG102" s="175"/>
      <c r="AH102" s="175"/>
      <c r="AI102" s="175"/>
      <c r="AJ102" s="175"/>
      <c r="AK102" s="175"/>
      <c r="AL102" s="381"/>
      <c r="AM102" s="382"/>
      <c r="AN102" s="382"/>
      <c r="AO102" s="382"/>
      <c r="AP102" s="382"/>
      <c r="AQ102" s="382"/>
      <c r="AR102" s="382"/>
      <c r="AS102" s="382"/>
      <c r="AT102" s="382"/>
      <c r="AU102" s="382"/>
      <c r="AV102" s="382"/>
      <c r="AW102" s="34"/>
      <c r="AX102" s="33"/>
      <c r="AY102" s="33"/>
      <c r="AZ102" s="43"/>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t="s">
        <v>685</v>
      </c>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row>
    <row r="103" spans="1:136" ht="13.7" customHeight="1" x14ac:dyDescent="0.2">
      <c r="A103" s="45"/>
      <c r="B103" s="280"/>
      <c r="C103" s="281"/>
      <c r="D103" s="281"/>
      <c r="E103" s="281"/>
      <c r="F103" s="281"/>
      <c r="G103" s="281"/>
      <c r="H103" s="281"/>
      <c r="I103" s="281"/>
      <c r="J103" s="281"/>
      <c r="K103" s="281"/>
      <c r="L103" s="281"/>
      <c r="M103" s="281"/>
      <c r="N103" s="281"/>
      <c r="O103" s="281"/>
      <c r="P103" s="281"/>
      <c r="Q103" s="281"/>
      <c r="R103" s="175"/>
      <c r="S103" s="282"/>
      <c r="T103" s="282"/>
      <c r="U103" s="282"/>
      <c r="V103" s="282"/>
      <c r="W103" s="198"/>
      <c r="X103" s="198"/>
      <c r="Y103" s="198"/>
      <c r="Z103" s="198"/>
      <c r="AA103" s="198"/>
      <c r="AB103" s="198"/>
      <c r="AC103" s="198"/>
      <c r="AD103" s="198"/>
      <c r="AE103" s="175"/>
      <c r="AF103" s="175"/>
      <c r="AG103" s="175"/>
      <c r="AH103" s="175"/>
      <c r="AI103" s="175"/>
      <c r="AJ103" s="175"/>
      <c r="AK103" s="175"/>
      <c r="AL103" s="381"/>
      <c r="AM103" s="382"/>
      <c r="AN103" s="382"/>
      <c r="AO103" s="382"/>
      <c r="AP103" s="382"/>
      <c r="AQ103" s="382"/>
      <c r="AR103" s="382"/>
      <c r="AS103" s="382"/>
      <c r="AT103" s="382"/>
      <c r="AU103" s="382"/>
      <c r="AV103" s="382"/>
      <c r="AW103" s="34"/>
      <c r="AX103" s="33"/>
      <c r="AY103" s="33"/>
      <c r="AZ103" s="43"/>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t="s">
        <v>686</v>
      </c>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row>
    <row r="104" spans="1:136" ht="13.7" customHeight="1" x14ac:dyDescent="0.2">
      <c r="A104" s="45"/>
      <c r="B104" s="280"/>
      <c r="C104" s="281"/>
      <c r="D104" s="281"/>
      <c r="E104" s="281"/>
      <c r="F104" s="281"/>
      <c r="G104" s="281"/>
      <c r="H104" s="281"/>
      <c r="I104" s="281"/>
      <c r="J104" s="281"/>
      <c r="K104" s="281"/>
      <c r="L104" s="281"/>
      <c r="M104" s="281"/>
      <c r="N104" s="281"/>
      <c r="O104" s="281"/>
      <c r="P104" s="281"/>
      <c r="Q104" s="281"/>
      <c r="R104" s="175"/>
      <c r="S104" s="282"/>
      <c r="T104" s="282"/>
      <c r="U104" s="282"/>
      <c r="V104" s="282"/>
      <c r="W104" s="198"/>
      <c r="X104" s="198"/>
      <c r="Y104" s="198"/>
      <c r="Z104" s="198"/>
      <c r="AA104" s="198"/>
      <c r="AB104" s="198"/>
      <c r="AC104" s="198"/>
      <c r="AD104" s="198"/>
      <c r="AE104" s="175"/>
      <c r="AF104" s="175"/>
      <c r="AG104" s="175"/>
      <c r="AH104" s="175"/>
      <c r="AI104" s="175"/>
      <c r="AJ104" s="175"/>
      <c r="AK104" s="175"/>
      <c r="AL104" s="381"/>
      <c r="AM104" s="382"/>
      <c r="AN104" s="382"/>
      <c r="AO104" s="382"/>
      <c r="AP104" s="382"/>
      <c r="AQ104" s="382"/>
      <c r="AR104" s="382"/>
      <c r="AS104" s="382"/>
      <c r="AT104" s="382"/>
      <c r="AU104" s="382"/>
      <c r="AV104" s="382"/>
      <c r="AW104" s="34"/>
      <c r="AX104" s="33"/>
      <c r="AY104" s="33"/>
      <c r="AZ104" s="43"/>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t="s">
        <v>687</v>
      </c>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row>
    <row r="105" spans="1:136" ht="13.7" customHeight="1" x14ac:dyDescent="0.2">
      <c r="A105" s="45"/>
      <c r="B105" s="280"/>
      <c r="C105" s="281"/>
      <c r="D105" s="281"/>
      <c r="E105" s="281"/>
      <c r="F105" s="281"/>
      <c r="G105" s="281"/>
      <c r="H105" s="281"/>
      <c r="I105" s="281"/>
      <c r="J105" s="281"/>
      <c r="K105" s="281"/>
      <c r="L105" s="281"/>
      <c r="M105" s="281"/>
      <c r="N105" s="281"/>
      <c r="O105" s="281"/>
      <c r="P105" s="281"/>
      <c r="Q105" s="281"/>
      <c r="R105" s="175"/>
      <c r="S105" s="282"/>
      <c r="T105" s="282"/>
      <c r="U105" s="282"/>
      <c r="V105" s="282"/>
      <c r="W105" s="198"/>
      <c r="X105" s="198"/>
      <c r="Y105" s="198"/>
      <c r="Z105" s="198"/>
      <c r="AA105" s="198"/>
      <c r="AB105" s="198"/>
      <c r="AC105" s="198"/>
      <c r="AD105" s="198"/>
      <c r="AE105" s="175"/>
      <c r="AF105" s="175"/>
      <c r="AG105" s="175"/>
      <c r="AH105" s="175"/>
      <c r="AI105" s="175"/>
      <c r="AJ105" s="175"/>
      <c r="AK105" s="175"/>
      <c r="AL105" s="381"/>
      <c r="AM105" s="382"/>
      <c r="AN105" s="382"/>
      <c r="AO105" s="382"/>
      <c r="AP105" s="382"/>
      <c r="AQ105" s="382"/>
      <c r="AR105" s="382"/>
      <c r="AS105" s="382"/>
      <c r="AT105" s="382"/>
      <c r="AU105" s="382"/>
      <c r="AV105" s="382"/>
      <c r="AW105" s="34"/>
      <c r="AX105" s="33"/>
      <c r="AY105" s="33"/>
      <c r="AZ105" s="43"/>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t="s">
        <v>688</v>
      </c>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row>
    <row r="106" spans="1:136" ht="13.7" customHeight="1" x14ac:dyDescent="0.2">
      <c r="A106" s="45"/>
      <c r="B106" s="280"/>
      <c r="C106" s="281"/>
      <c r="D106" s="281"/>
      <c r="E106" s="281"/>
      <c r="F106" s="281"/>
      <c r="G106" s="281"/>
      <c r="H106" s="281"/>
      <c r="I106" s="281"/>
      <c r="J106" s="281"/>
      <c r="K106" s="281"/>
      <c r="L106" s="281"/>
      <c r="M106" s="281"/>
      <c r="N106" s="281"/>
      <c r="O106" s="281"/>
      <c r="P106" s="281"/>
      <c r="Q106" s="281"/>
      <c r="R106" s="175"/>
      <c r="S106" s="282"/>
      <c r="T106" s="282"/>
      <c r="U106" s="282"/>
      <c r="V106" s="282"/>
      <c r="W106" s="198"/>
      <c r="X106" s="198"/>
      <c r="Y106" s="198"/>
      <c r="Z106" s="198"/>
      <c r="AA106" s="198"/>
      <c r="AB106" s="198"/>
      <c r="AC106" s="198"/>
      <c r="AD106" s="198"/>
      <c r="AE106" s="175"/>
      <c r="AF106" s="175"/>
      <c r="AG106" s="175"/>
      <c r="AH106" s="175"/>
      <c r="AI106" s="175"/>
      <c r="AJ106" s="175"/>
      <c r="AK106" s="175"/>
      <c r="AL106" s="381"/>
      <c r="AM106" s="382"/>
      <c r="AN106" s="382"/>
      <c r="AO106" s="382"/>
      <c r="AP106" s="382"/>
      <c r="AQ106" s="382"/>
      <c r="AR106" s="382"/>
      <c r="AS106" s="382"/>
      <c r="AT106" s="382"/>
      <c r="AU106" s="382"/>
      <c r="AV106" s="382"/>
      <c r="AW106" s="34"/>
      <c r="AX106" s="33"/>
      <c r="AY106" s="33"/>
      <c r="AZ106" s="43"/>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t="s">
        <v>689</v>
      </c>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row>
    <row r="107" spans="1:136" ht="13.7" customHeight="1" x14ac:dyDescent="0.2">
      <c r="A107" s="48"/>
      <c r="B107" s="280"/>
      <c r="C107" s="281"/>
      <c r="D107" s="281"/>
      <c r="E107" s="281"/>
      <c r="F107" s="281"/>
      <c r="G107" s="281"/>
      <c r="H107" s="281"/>
      <c r="I107" s="281"/>
      <c r="J107" s="281"/>
      <c r="K107" s="281"/>
      <c r="L107" s="281"/>
      <c r="M107" s="281"/>
      <c r="N107" s="281"/>
      <c r="O107" s="281"/>
      <c r="P107" s="281"/>
      <c r="Q107" s="281"/>
      <c r="R107" s="175"/>
      <c r="S107" s="282"/>
      <c r="T107" s="282"/>
      <c r="U107" s="282"/>
      <c r="V107" s="282"/>
      <c r="W107" s="198"/>
      <c r="X107" s="198"/>
      <c r="Y107" s="198"/>
      <c r="Z107" s="198"/>
      <c r="AA107" s="198"/>
      <c r="AB107" s="198"/>
      <c r="AC107" s="198"/>
      <c r="AD107" s="198"/>
      <c r="AE107" s="175"/>
      <c r="AF107" s="175"/>
      <c r="AG107" s="175"/>
      <c r="AH107" s="175"/>
      <c r="AI107" s="175"/>
      <c r="AJ107" s="175"/>
      <c r="AK107" s="175"/>
      <c r="AL107" s="381"/>
      <c r="AM107" s="382"/>
      <c r="AN107" s="382"/>
      <c r="AO107" s="382"/>
      <c r="AP107" s="382"/>
      <c r="AQ107" s="382"/>
      <c r="AR107" s="382"/>
      <c r="AS107" s="382"/>
      <c r="AT107" s="382"/>
      <c r="AU107" s="382"/>
      <c r="AV107" s="382"/>
      <c r="AW107" s="34"/>
      <c r="AX107" s="33"/>
      <c r="AY107" s="33"/>
      <c r="AZ107" s="43"/>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t="s">
        <v>690</v>
      </c>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row>
    <row r="108" spans="1:136" ht="13.7" customHeight="1" x14ac:dyDescent="0.2">
      <c r="A108" s="48"/>
      <c r="B108" s="280"/>
      <c r="C108" s="281"/>
      <c r="D108" s="281"/>
      <c r="E108" s="281"/>
      <c r="F108" s="281"/>
      <c r="G108" s="281"/>
      <c r="H108" s="281"/>
      <c r="I108" s="281"/>
      <c r="J108" s="281"/>
      <c r="K108" s="281"/>
      <c r="L108" s="281"/>
      <c r="M108" s="281"/>
      <c r="N108" s="281"/>
      <c r="O108" s="281"/>
      <c r="P108" s="281"/>
      <c r="Q108" s="281"/>
      <c r="R108" s="175"/>
      <c r="S108" s="282"/>
      <c r="T108" s="282"/>
      <c r="U108" s="282"/>
      <c r="V108" s="282"/>
      <c r="W108" s="198"/>
      <c r="X108" s="198"/>
      <c r="Y108" s="198"/>
      <c r="Z108" s="198"/>
      <c r="AA108" s="198"/>
      <c r="AB108" s="198"/>
      <c r="AC108" s="198"/>
      <c r="AD108" s="198"/>
      <c r="AE108" s="175"/>
      <c r="AF108" s="175"/>
      <c r="AG108" s="175"/>
      <c r="AH108" s="175"/>
      <c r="AI108" s="175"/>
      <c r="AJ108" s="175"/>
      <c r="AK108" s="175"/>
      <c r="AL108" s="381"/>
      <c r="AM108" s="382"/>
      <c r="AN108" s="382"/>
      <c r="AO108" s="382"/>
      <c r="AP108" s="382"/>
      <c r="AQ108" s="382"/>
      <c r="AR108" s="382"/>
      <c r="AS108" s="382"/>
      <c r="AT108" s="382"/>
      <c r="AU108" s="382"/>
      <c r="AV108" s="382"/>
      <c r="AW108" s="34"/>
      <c r="AX108" s="33"/>
      <c r="AY108" s="33"/>
      <c r="AZ108" s="43"/>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t="s">
        <v>691</v>
      </c>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row>
    <row r="109" spans="1:136" ht="13.7" customHeight="1" x14ac:dyDescent="0.2">
      <c r="A109" s="48"/>
      <c r="B109" s="280"/>
      <c r="C109" s="281"/>
      <c r="D109" s="281"/>
      <c r="E109" s="281"/>
      <c r="F109" s="281"/>
      <c r="G109" s="281"/>
      <c r="H109" s="281"/>
      <c r="I109" s="281"/>
      <c r="J109" s="281"/>
      <c r="K109" s="281"/>
      <c r="L109" s="281"/>
      <c r="M109" s="281"/>
      <c r="N109" s="281"/>
      <c r="O109" s="281"/>
      <c r="P109" s="281"/>
      <c r="Q109" s="281"/>
      <c r="R109" s="175"/>
      <c r="S109" s="282"/>
      <c r="T109" s="282"/>
      <c r="U109" s="282"/>
      <c r="V109" s="282"/>
      <c r="W109" s="198"/>
      <c r="X109" s="198"/>
      <c r="Y109" s="198"/>
      <c r="Z109" s="198"/>
      <c r="AA109" s="198"/>
      <c r="AB109" s="198"/>
      <c r="AC109" s="198"/>
      <c r="AD109" s="198"/>
      <c r="AE109" s="175"/>
      <c r="AF109" s="175"/>
      <c r="AG109" s="175"/>
      <c r="AH109" s="175"/>
      <c r="AI109" s="175"/>
      <c r="AJ109" s="175"/>
      <c r="AK109" s="175"/>
      <c r="AL109" s="379"/>
      <c r="AM109" s="380"/>
      <c r="AN109" s="380"/>
      <c r="AO109" s="380"/>
      <c r="AP109" s="380"/>
      <c r="AQ109" s="380"/>
      <c r="AR109" s="380"/>
      <c r="AS109" s="380"/>
      <c r="AT109" s="380"/>
      <c r="AU109" s="380"/>
      <c r="AV109" s="380"/>
      <c r="AW109" s="34"/>
      <c r="AX109" s="33"/>
      <c r="AY109" s="33"/>
      <c r="AZ109" s="43"/>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t="s">
        <v>692</v>
      </c>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row>
    <row r="110" spans="1:136" ht="13.7" customHeight="1" x14ac:dyDescent="0.2">
      <c r="A110" s="48"/>
      <c r="B110" s="280"/>
      <c r="C110" s="281"/>
      <c r="D110" s="281"/>
      <c r="E110" s="281"/>
      <c r="F110" s="281"/>
      <c r="G110" s="281"/>
      <c r="H110" s="281"/>
      <c r="I110" s="281"/>
      <c r="J110" s="281"/>
      <c r="K110" s="281"/>
      <c r="L110" s="281"/>
      <c r="M110" s="281"/>
      <c r="N110" s="281"/>
      <c r="O110" s="281"/>
      <c r="P110" s="281"/>
      <c r="Q110" s="281"/>
      <c r="R110" s="175"/>
      <c r="S110" s="282"/>
      <c r="T110" s="282"/>
      <c r="U110" s="282"/>
      <c r="V110" s="282"/>
      <c r="W110" s="198"/>
      <c r="X110" s="198"/>
      <c r="Y110" s="198"/>
      <c r="Z110" s="198"/>
      <c r="AA110" s="198"/>
      <c r="AB110" s="198"/>
      <c r="AC110" s="198"/>
      <c r="AD110" s="198"/>
      <c r="AE110" s="175"/>
      <c r="AF110" s="175"/>
      <c r="AG110" s="175"/>
      <c r="AH110" s="175"/>
      <c r="AI110" s="175"/>
      <c r="AJ110" s="175"/>
      <c r="AK110" s="175"/>
      <c r="AL110" s="379"/>
      <c r="AM110" s="380"/>
      <c r="AN110" s="380"/>
      <c r="AO110" s="380"/>
      <c r="AP110" s="380"/>
      <c r="AQ110" s="380"/>
      <c r="AR110" s="380"/>
      <c r="AS110" s="380"/>
      <c r="AT110" s="380"/>
      <c r="AU110" s="380"/>
      <c r="AV110" s="380"/>
      <c r="AW110" s="34"/>
      <c r="AX110" s="33"/>
      <c r="AY110" s="33"/>
      <c r="AZ110" s="43"/>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t="s">
        <v>693</v>
      </c>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row>
    <row r="111" spans="1:136" ht="13.7" customHeight="1" x14ac:dyDescent="0.2">
      <c r="A111" s="48"/>
      <c r="B111" s="280"/>
      <c r="C111" s="281"/>
      <c r="D111" s="281"/>
      <c r="E111" s="281"/>
      <c r="F111" s="281"/>
      <c r="G111" s="281"/>
      <c r="H111" s="281"/>
      <c r="I111" s="281"/>
      <c r="J111" s="281"/>
      <c r="K111" s="281"/>
      <c r="L111" s="281"/>
      <c r="M111" s="281"/>
      <c r="N111" s="281"/>
      <c r="O111" s="281"/>
      <c r="P111" s="281"/>
      <c r="Q111" s="281"/>
      <c r="R111" s="175"/>
      <c r="S111" s="282"/>
      <c r="T111" s="282"/>
      <c r="U111" s="282"/>
      <c r="V111" s="282"/>
      <c r="W111" s="198"/>
      <c r="X111" s="198"/>
      <c r="Y111" s="198"/>
      <c r="Z111" s="198"/>
      <c r="AA111" s="198"/>
      <c r="AB111" s="198"/>
      <c r="AC111" s="198"/>
      <c r="AD111" s="198"/>
      <c r="AE111" s="175"/>
      <c r="AF111" s="175"/>
      <c r="AG111" s="175"/>
      <c r="AH111" s="175"/>
      <c r="AI111" s="175"/>
      <c r="AJ111" s="175"/>
      <c r="AK111" s="175"/>
      <c r="AL111" s="379"/>
      <c r="AM111" s="380"/>
      <c r="AN111" s="380"/>
      <c r="AO111" s="380"/>
      <c r="AP111" s="380"/>
      <c r="AQ111" s="380"/>
      <c r="AR111" s="380"/>
      <c r="AS111" s="380"/>
      <c r="AT111" s="380"/>
      <c r="AU111" s="380"/>
      <c r="AV111" s="380"/>
      <c r="AW111" s="34"/>
      <c r="AX111" s="33"/>
      <c r="AY111" s="33"/>
      <c r="AZ111" s="43"/>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t="s">
        <v>694</v>
      </c>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row>
    <row r="112" spans="1:136" ht="13.7" customHeight="1" x14ac:dyDescent="0.2">
      <c r="A112" s="48"/>
      <c r="B112" s="280"/>
      <c r="C112" s="281"/>
      <c r="D112" s="281"/>
      <c r="E112" s="281"/>
      <c r="F112" s="281"/>
      <c r="G112" s="281"/>
      <c r="H112" s="281"/>
      <c r="I112" s="281"/>
      <c r="J112" s="281"/>
      <c r="K112" s="281"/>
      <c r="L112" s="281"/>
      <c r="M112" s="281"/>
      <c r="N112" s="281"/>
      <c r="O112" s="281"/>
      <c r="P112" s="281"/>
      <c r="Q112" s="281"/>
      <c r="R112" s="175"/>
      <c r="S112" s="282"/>
      <c r="T112" s="282"/>
      <c r="U112" s="282"/>
      <c r="V112" s="282"/>
      <c r="W112" s="198"/>
      <c r="X112" s="198"/>
      <c r="Y112" s="198"/>
      <c r="Z112" s="198"/>
      <c r="AA112" s="198"/>
      <c r="AB112" s="198"/>
      <c r="AC112" s="198"/>
      <c r="AD112" s="198"/>
      <c r="AE112" s="175"/>
      <c r="AF112" s="175"/>
      <c r="AG112" s="175"/>
      <c r="AH112" s="175"/>
      <c r="AI112" s="175"/>
      <c r="AJ112" s="175"/>
      <c r="AK112" s="175"/>
      <c r="AL112" s="379"/>
      <c r="AM112" s="380"/>
      <c r="AN112" s="380"/>
      <c r="AO112" s="380"/>
      <c r="AP112" s="380"/>
      <c r="AQ112" s="380"/>
      <c r="AR112" s="380"/>
      <c r="AS112" s="380"/>
      <c r="AT112" s="380"/>
      <c r="AU112" s="380"/>
      <c r="AV112" s="380"/>
      <c r="AW112" s="34"/>
      <c r="AX112" s="33"/>
      <c r="AY112" s="33"/>
      <c r="AZ112" s="43"/>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t="s">
        <v>695</v>
      </c>
      <c r="DF112" s="9"/>
      <c r="DG112" s="9"/>
      <c r="DH112" s="9"/>
      <c r="DI112" s="9"/>
      <c r="DJ112" s="9"/>
      <c r="DK112" s="9"/>
      <c r="DL112" s="9"/>
      <c r="DM112" s="9"/>
      <c r="DN112" s="9"/>
      <c r="DO112" s="9"/>
      <c r="DP112" s="9"/>
      <c r="DQ112" s="9"/>
      <c r="DR112" s="9"/>
      <c r="DS112" s="9"/>
      <c r="DT112" s="9"/>
      <c r="DU112" s="9"/>
      <c r="DV112" s="9"/>
      <c r="DW112" s="9"/>
      <c r="DX112" s="9"/>
      <c r="DY112" s="9"/>
      <c r="DZ112" s="9"/>
      <c r="EA112" s="9"/>
      <c r="EB112" s="9"/>
      <c r="EC112" s="9"/>
      <c r="ED112" s="9"/>
      <c r="EE112" s="9"/>
      <c r="EF112" s="9"/>
    </row>
    <row r="113" spans="1:136" ht="13.7" customHeight="1" x14ac:dyDescent="0.2">
      <c r="A113" s="48"/>
      <c r="B113" s="280"/>
      <c r="C113" s="281"/>
      <c r="D113" s="281"/>
      <c r="E113" s="281"/>
      <c r="F113" s="281"/>
      <c r="G113" s="281"/>
      <c r="H113" s="281"/>
      <c r="I113" s="281"/>
      <c r="J113" s="281"/>
      <c r="K113" s="281"/>
      <c r="L113" s="281"/>
      <c r="M113" s="281"/>
      <c r="N113" s="281"/>
      <c r="O113" s="281"/>
      <c r="P113" s="281"/>
      <c r="Q113" s="281"/>
      <c r="R113" s="175"/>
      <c r="S113" s="282"/>
      <c r="T113" s="282"/>
      <c r="U113" s="282"/>
      <c r="V113" s="282"/>
      <c r="W113" s="198"/>
      <c r="X113" s="198"/>
      <c r="Y113" s="198"/>
      <c r="Z113" s="198"/>
      <c r="AA113" s="198"/>
      <c r="AB113" s="198"/>
      <c r="AC113" s="198"/>
      <c r="AD113" s="198"/>
      <c r="AE113" s="175"/>
      <c r="AF113" s="175"/>
      <c r="AG113" s="175"/>
      <c r="AH113" s="175"/>
      <c r="AI113" s="175"/>
      <c r="AJ113" s="175"/>
      <c r="AK113" s="175"/>
      <c r="AL113" s="379"/>
      <c r="AM113" s="380"/>
      <c r="AN113" s="380"/>
      <c r="AO113" s="380"/>
      <c r="AP113" s="380"/>
      <c r="AQ113" s="380"/>
      <c r="AR113" s="380"/>
      <c r="AS113" s="380"/>
      <c r="AT113" s="380"/>
      <c r="AU113" s="380"/>
      <c r="AV113" s="380"/>
      <c r="AW113" s="34"/>
      <c r="AX113" s="33"/>
      <c r="AY113" s="33"/>
      <c r="AZ113" s="43"/>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t="s">
        <v>696</v>
      </c>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row>
    <row r="114" spans="1:136" x14ac:dyDescent="0.2">
      <c r="A114" s="48"/>
      <c r="B114" s="280"/>
      <c r="C114" s="281"/>
      <c r="D114" s="281"/>
      <c r="E114" s="281"/>
      <c r="F114" s="281"/>
      <c r="G114" s="281"/>
      <c r="H114" s="281"/>
      <c r="I114" s="281"/>
      <c r="J114" s="281"/>
      <c r="K114" s="281"/>
      <c r="L114" s="281"/>
      <c r="M114" s="281"/>
      <c r="N114" s="281"/>
      <c r="O114" s="281"/>
      <c r="P114" s="281"/>
      <c r="Q114" s="281"/>
      <c r="R114" s="175"/>
      <c r="S114" s="282"/>
      <c r="T114" s="282"/>
      <c r="U114" s="282"/>
      <c r="V114" s="282"/>
      <c r="W114" s="198"/>
      <c r="X114" s="198"/>
      <c r="Y114" s="198"/>
      <c r="Z114" s="198"/>
      <c r="AA114" s="198"/>
      <c r="AB114" s="198"/>
      <c r="AC114" s="198"/>
      <c r="AD114" s="198"/>
      <c r="AE114" s="175"/>
      <c r="AF114" s="175"/>
      <c r="AG114" s="175"/>
      <c r="AH114" s="175"/>
      <c r="AI114" s="175"/>
      <c r="AJ114" s="175"/>
      <c r="AK114" s="175"/>
      <c r="AL114" s="379"/>
      <c r="AM114" s="380"/>
      <c r="AN114" s="380"/>
      <c r="AO114" s="380"/>
      <c r="AP114" s="380"/>
      <c r="AQ114" s="380"/>
      <c r="AR114" s="380"/>
      <c r="AS114" s="380"/>
      <c r="AT114" s="380"/>
      <c r="AU114" s="380"/>
      <c r="AV114" s="380"/>
      <c r="AW114" s="34"/>
      <c r="AX114" s="33"/>
      <c r="AY114" s="33"/>
      <c r="AZ114" s="43"/>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t="s">
        <v>697</v>
      </c>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row>
    <row r="115" spans="1:136" x14ac:dyDescent="0.2">
      <c r="A115" s="48"/>
      <c r="B115" s="280"/>
      <c r="C115" s="281"/>
      <c r="D115" s="281"/>
      <c r="E115" s="281"/>
      <c r="F115" s="281"/>
      <c r="G115" s="281"/>
      <c r="H115" s="281"/>
      <c r="I115" s="281"/>
      <c r="J115" s="281"/>
      <c r="K115" s="281"/>
      <c r="L115" s="281"/>
      <c r="M115" s="281"/>
      <c r="N115" s="281"/>
      <c r="O115" s="281"/>
      <c r="P115" s="281"/>
      <c r="Q115" s="281"/>
      <c r="R115" s="175"/>
      <c r="S115" s="282"/>
      <c r="T115" s="282"/>
      <c r="U115" s="282"/>
      <c r="V115" s="282"/>
      <c r="W115" s="198"/>
      <c r="X115" s="198"/>
      <c r="Y115" s="198"/>
      <c r="Z115" s="198"/>
      <c r="AA115" s="198"/>
      <c r="AB115" s="198"/>
      <c r="AC115" s="198"/>
      <c r="AD115" s="198"/>
      <c r="AE115" s="175"/>
      <c r="AF115" s="175"/>
      <c r="AG115" s="175"/>
      <c r="AH115" s="175"/>
      <c r="AI115" s="175"/>
      <c r="AJ115" s="175"/>
      <c r="AK115" s="175"/>
      <c r="AL115" s="379"/>
      <c r="AM115" s="380"/>
      <c r="AN115" s="380"/>
      <c r="AO115" s="380"/>
      <c r="AP115" s="380"/>
      <c r="AQ115" s="380"/>
      <c r="AR115" s="380"/>
      <c r="AS115" s="380"/>
      <c r="AT115" s="380"/>
      <c r="AU115" s="380"/>
      <c r="AV115" s="380"/>
      <c r="AW115" s="34"/>
      <c r="AX115" s="33"/>
      <c r="AY115" s="33"/>
      <c r="AZ115" s="43"/>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t="s">
        <v>698</v>
      </c>
      <c r="DF115" s="9"/>
      <c r="DG115" s="9"/>
      <c r="DH115" s="9"/>
      <c r="DI115" s="9"/>
      <c r="DJ115" s="9"/>
      <c r="DK115" s="9"/>
      <c r="DL115" s="9"/>
      <c r="DM115" s="9"/>
      <c r="DN115" s="9"/>
      <c r="DO115" s="9"/>
      <c r="DP115" s="9"/>
      <c r="DQ115" s="9"/>
      <c r="DR115" s="9"/>
      <c r="DS115" s="9"/>
      <c r="DT115" s="9"/>
      <c r="DU115" s="9"/>
      <c r="DV115" s="9"/>
      <c r="DW115" s="9"/>
      <c r="DX115" s="9"/>
      <c r="DY115" s="9"/>
      <c r="DZ115" s="9"/>
      <c r="EA115" s="9"/>
      <c r="EB115" s="9"/>
      <c r="EC115" s="9"/>
      <c r="ED115" s="9"/>
      <c r="EE115" s="9"/>
      <c r="EF115" s="9"/>
    </row>
    <row r="116" spans="1:136" ht="13.7" customHeight="1" x14ac:dyDescent="0.2">
      <c r="A116" s="48"/>
      <c r="B116" s="280"/>
      <c r="C116" s="281"/>
      <c r="D116" s="281"/>
      <c r="E116" s="281"/>
      <c r="F116" s="281"/>
      <c r="G116" s="281"/>
      <c r="H116" s="281"/>
      <c r="I116" s="281"/>
      <c r="J116" s="281"/>
      <c r="K116" s="281"/>
      <c r="L116" s="281"/>
      <c r="M116" s="281"/>
      <c r="N116" s="281"/>
      <c r="O116" s="281"/>
      <c r="P116" s="281"/>
      <c r="Q116" s="281"/>
      <c r="R116" s="175"/>
      <c r="S116" s="282"/>
      <c r="T116" s="282"/>
      <c r="U116" s="282"/>
      <c r="V116" s="282"/>
      <c r="W116" s="198"/>
      <c r="X116" s="198"/>
      <c r="Y116" s="198"/>
      <c r="Z116" s="198"/>
      <c r="AA116" s="198"/>
      <c r="AB116" s="198"/>
      <c r="AC116" s="198"/>
      <c r="AD116" s="198"/>
      <c r="AE116" s="175"/>
      <c r="AF116" s="175"/>
      <c r="AG116" s="175"/>
      <c r="AH116" s="175"/>
      <c r="AI116" s="175"/>
      <c r="AJ116" s="175"/>
      <c r="AK116" s="175"/>
      <c r="AL116" s="379"/>
      <c r="AM116" s="380"/>
      <c r="AN116" s="380"/>
      <c r="AO116" s="380"/>
      <c r="AP116" s="380"/>
      <c r="AQ116" s="380"/>
      <c r="AR116" s="380"/>
      <c r="AS116" s="380"/>
      <c r="AT116" s="380"/>
      <c r="AU116" s="380"/>
      <c r="AV116" s="380"/>
      <c r="AW116" s="34"/>
      <c r="AX116" s="33"/>
      <c r="AY116" s="33"/>
      <c r="AZ116" s="43"/>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t="s">
        <v>699</v>
      </c>
      <c r="DF116" s="9"/>
      <c r="DG116" s="9"/>
      <c r="DH116" s="9"/>
      <c r="DI116" s="9"/>
      <c r="DJ116" s="9"/>
      <c r="DK116" s="9"/>
      <c r="DL116" s="9"/>
      <c r="DM116" s="9"/>
      <c r="DN116" s="9"/>
      <c r="DO116" s="9"/>
      <c r="DP116" s="9"/>
      <c r="DQ116" s="9"/>
      <c r="DR116" s="9"/>
      <c r="DS116" s="9"/>
      <c r="DT116" s="9"/>
      <c r="DU116" s="9"/>
      <c r="DV116" s="9"/>
      <c r="DW116" s="9"/>
      <c r="DX116" s="9"/>
      <c r="DY116" s="9"/>
      <c r="DZ116" s="9"/>
      <c r="EA116" s="9"/>
      <c r="EB116" s="9"/>
      <c r="EC116" s="9"/>
      <c r="ED116" s="9"/>
      <c r="EE116" s="9"/>
      <c r="EF116" s="9"/>
    </row>
    <row r="117" spans="1:136" ht="5.25" customHeight="1" x14ac:dyDescent="0.2">
      <c r="A117" s="107"/>
      <c r="B117" s="348"/>
      <c r="C117" s="349"/>
      <c r="D117" s="349"/>
      <c r="E117" s="349"/>
      <c r="F117" s="349"/>
      <c r="G117" s="349"/>
      <c r="H117" s="349"/>
      <c r="I117" s="349"/>
      <c r="J117" s="349"/>
      <c r="K117" s="349"/>
      <c r="L117" s="349"/>
      <c r="M117" s="349"/>
      <c r="N117" s="349"/>
      <c r="O117" s="349"/>
      <c r="P117" s="349"/>
      <c r="Q117" s="349"/>
      <c r="R117" s="349"/>
      <c r="S117" s="349"/>
      <c r="T117" s="349"/>
      <c r="U117" s="349"/>
      <c r="V117" s="349"/>
      <c r="W117" s="349"/>
      <c r="X117" s="349"/>
      <c r="Y117" s="349"/>
      <c r="Z117" s="349"/>
      <c r="AA117" s="349"/>
      <c r="AB117" s="349"/>
      <c r="AC117" s="349"/>
      <c r="AD117" s="349"/>
      <c r="AE117" s="349"/>
      <c r="AF117" s="349"/>
      <c r="AG117" s="349"/>
      <c r="AH117" s="349"/>
      <c r="AI117" s="349"/>
      <c r="AJ117" s="349"/>
      <c r="AK117" s="350"/>
      <c r="AL117" s="34"/>
      <c r="AM117" s="34"/>
      <c r="AN117" s="34"/>
      <c r="AO117" s="34"/>
      <c r="AP117" s="34"/>
      <c r="AQ117" s="34"/>
      <c r="AR117" s="34"/>
      <c r="AS117" s="34"/>
      <c r="AT117" s="34"/>
      <c r="AU117" s="34"/>
      <c r="AV117" s="34"/>
      <c r="AW117" s="34"/>
      <c r="AX117" s="33"/>
      <c r="AY117" s="33"/>
      <c r="AZ117" s="43"/>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c r="DN117" s="9"/>
      <c r="DO117" s="9"/>
      <c r="DP117" s="9"/>
      <c r="DQ117" s="9"/>
      <c r="DR117" s="9"/>
      <c r="DS117" s="9"/>
      <c r="DT117" s="9"/>
      <c r="DU117" s="9"/>
      <c r="DV117" s="9"/>
      <c r="DW117" s="9"/>
      <c r="DX117" s="9"/>
      <c r="DY117" s="9"/>
      <c r="DZ117" s="9"/>
      <c r="EA117" s="9"/>
      <c r="EB117" s="9"/>
      <c r="EC117" s="9"/>
      <c r="ED117" s="9"/>
      <c r="EE117" s="9"/>
      <c r="EF117" s="9"/>
    </row>
    <row r="118" spans="1:136" x14ac:dyDescent="0.2">
      <c r="A118" s="613" t="s">
        <v>3467</v>
      </c>
      <c r="B118" s="426"/>
      <c r="C118" s="426"/>
      <c r="D118" s="426"/>
      <c r="E118" s="426"/>
      <c r="F118" s="426"/>
      <c r="G118" s="426"/>
      <c r="H118" s="426"/>
      <c r="I118" s="426"/>
      <c r="J118" s="426"/>
      <c r="K118" s="426"/>
      <c r="L118" s="426"/>
      <c r="M118" s="426"/>
      <c r="N118" s="426"/>
      <c r="O118" s="426"/>
      <c r="P118" s="426"/>
      <c r="Q118" s="426"/>
      <c r="R118" s="426"/>
      <c r="S118" s="426"/>
      <c r="T118" s="426"/>
      <c r="U118" s="426"/>
      <c r="V118" s="426"/>
      <c r="W118" s="426"/>
      <c r="X118" s="426"/>
      <c r="Y118" s="426"/>
      <c r="Z118" s="426"/>
      <c r="AA118" s="426"/>
      <c r="AB118" s="426"/>
      <c r="AC118" s="426"/>
      <c r="AD118" s="426"/>
      <c r="AE118" s="426"/>
      <c r="AF118" s="426"/>
      <c r="AG118" s="426"/>
      <c r="AH118" s="426"/>
      <c r="AI118" s="426"/>
      <c r="AJ118" s="426"/>
      <c r="AK118" s="614"/>
      <c r="AL118" s="34"/>
      <c r="AM118" s="34"/>
      <c r="AN118" s="34"/>
      <c r="AO118" s="34"/>
      <c r="AP118" s="34"/>
      <c r="AQ118" s="34"/>
      <c r="AR118" s="34"/>
      <c r="AS118" s="34"/>
      <c r="AT118" s="34"/>
      <c r="AU118" s="34"/>
      <c r="AV118" s="34"/>
      <c r="AW118" s="34"/>
      <c r="AX118" s="33"/>
      <c r="AY118" s="33"/>
      <c r="AZ118" s="43"/>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row>
    <row r="119" spans="1:136" ht="12" customHeight="1" x14ac:dyDescent="0.2">
      <c r="A119" s="498">
        <v>8</v>
      </c>
      <c r="B119" s="400" t="s">
        <v>3407</v>
      </c>
      <c r="C119" s="273"/>
      <c r="D119" s="273"/>
      <c r="E119" s="273"/>
      <c r="F119" s="243"/>
      <c r="G119" s="242" t="s">
        <v>3408</v>
      </c>
      <c r="H119" s="243"/>
      <c r="I119" s="242" t="s">
        <v>3563</v>
      </c>
      <c r="J119" s="247"/>
      <c r="K119" s="242" t="s">
        <v>3489</v>
      </c>
      <c r="L119" s="247"/>
      <c r="M119" s="242" t="s">
        <v>3557</v>
      </c>
      <c r="N119" s="273"/>
      <c r="O119" s="243"/>
      <c r="P119" s="392" t="s">
        <v>3561</v>
      </c>
      <c r="Q119" s="392"/>
      <c r="R119" s="384"/>
      <c r="S119" s="242" t="s">
        <v>3558</v>
      </c>
      <c r="T119" s="243"/>
      <c r="U119" s="242" t="s">
        <v>3415</v>
      </c>
      <c r="V119" s="339"/>
      <c r="W119" s="247"/>
      <c r="X119" s="242" t="s">
        <v>3397</v>
      </c>
      <c r="Y119" s="339"/>
      <c r="Z119" s="322" t="s">
        <v>700</v>
      </c>
      <c r="AA119" s="273"/>
      <c r="AB119" s="243"/>
      <c r="AC119" s="242" t="s">
        <v>701</v>
      </c>
      <c r="AD119" s="317"/>
      <c r="AE119" s="318"/>
      <c r="AF119" s="383" t="s">
        <v>3560</v>
      </c>
      <c r="AG119" s="384"/>
      <c r="AH119" s="299" t="s">
        <v>3559</v>
      </c>
      <c r="AI119" s="300"/>
      <c r="AJ119" s="300"/>
      <c r="AK119" s="301"/>
      <c r="AL119" s="34"/>
      <c r="AM119" s="34"/>
      <c r="AN119" s="34"/>
      <c r="AO119" s="34"/>
      <c r="AP119" s="34"/>
      <c r="AQ119" s="34"/>
      <c r="AR119" s="34"/>
      <c r="AS119" s="34"/>
      <c r="AT119" s="34"/>
      <c r="AU119" s="34"/>
      <c r="AV119" s="34"/>
      <c r="AW119" s="34"/>
      <c r="AX119" s="33"/>
      <c r="AY119" s="33"/>
      <c r="AZ119" s="43"/>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row>
    <row r="120" spans="1:136" ht="12" customHeight="1" x14ac:dyDescent="0.2">
      <c r="A120" s="499"/>
      <c r="B120" s="244"/>
      <c r="C120" s="274"/>
      <c r="D120" s="274"/>
      <c r="E120" s="274"/>
      <c r="F120" s="245"/>
      <c r="G120" s="244"/>
      <c r="H120" s="245"/>
      <c r="I120" s="248"/>
      <c r="J120" s="249"/>
      <c r="K120" s="248"/>
      <c r="L120" s="249"/>
      <c r="M120" s="244"/>
      <c r="N120" s="274"/>
      <c r="O120" s="245"/>
      <c r="P120" s="393"/>
      <c r="Q120" s="393"/>
      <c r="R120" s="386"/>
      <c r="S120" s="244"/>
      <c r="T120" s="245"/>
      <c r="U120" s="248"/>
      <c r="V120" s="340"/>
      <c r="W120" s="249"/>
      <c r="X120" s="248"/>
      <c r="Y120" s="340"/>
      <c r="Z120" s="244"/>
      <c r="AA120" s="274"/>
      <c r="AB120" s="245"/>
      <c r="AC120" s="319"/>
      <c r="AD120" s="320"/>
      <c r="AE120" s="321"/>
      <c r="AF120" s="385"/>
      <c r="AG120" s="386"/>
      <c r="AH120" s="302"/>
      <c r="AI120" s="303"/>
      <c r="AJ120" s="303"/>
      <c r="AK120" s="304"/>
      <c r="AL120" s="34"/>
      <c r="AM120" s="34"/>
      <c r="AN120" s="34"/>
      <c r="AO120" s="34"/>
      <c r="AP120" s="34"/>
      <c r="AQ120" s="34"/>
      <c r="AR120" s="34"/>
      <c r="AS120" s="34"/>
      <c r="AT120" s="34"/>
      <c r="AU120" s="34"/>
      <c r="AV120" s="34"/>
      <c r="AW120" s="34"/>
      <c r="AX120" s="33"/>
      <c r="AY120" s="33"/>
      <c r="AZ120" s="43"/>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row>
    <row r="121" spans="1:136" ht="12.95" customHeight="1" x14ac:dyDescent="0.2">
      <c r="A121" s="50"/>
      <c r="B121" s="166"/>
      <c r="C121" s="231"/>
      <c r="D121" s="231"/>
      <c r="E121" s="231"/>
      <c r="F121" s="232"/>
      <c r="G121" s="233"/>
      <c r="H121" s="234"/>
      <c r="I121" s="235"/>
      <c r="J121" s="236"/>
      <c r="K121" s="237"/>
      <c r="L121" s="238"/>
      <c r="M121" s="166"/>
      <c r="N121" s="239"/>
      <c r="O121" s="240"/>
      <c r="P121" s="237"/>
      <c r="Q121" s="241"/>
      <c r="R121" s="238"/>
      <c r="S121" s="175"/>
      <c r="T121" s="246"/>
      <c r="U121" s="166"/>
      <c r="V121" s="253"/>
      <c r="W121" s="254"/>
      <c r="X121" s="166"/>
      <c r="Y121" s="240"/>
      <c r="Z121" s="163"/>
      <c r="AA121" s="250"/>
      <c r="AB121" s="251"/>
      <c r="AC121" s="252"/>
      <c r="AD121" s="250"/>
      <c r="AE121" s="251"/>
      <c r="AF121" s="237"/>
      <c r="AG121" s="238"/>
      <c r="AH121" s="237"/>
      <c r="AI121" s="241"/>
      <c r="AJ121" s="241"/>
      <c r="AK121" s="238"/>
      <c r="AL121" s="262" t="s">
        <v>702</v>
      </c>
      <c r="AM121" s="262"/>
      <c r="AN121" s="262"/>
      <c r="AO121" s="262"/>
      <c r="AP121" s="262"/>
      <c r="AQ121" s="262"/>
      <c r="AR121" s="262"/>
      <c r="AS121" s="262"/>
      <c r="AT121" s="262"/>
      <c r="AU121" s="262"/>
      <c r="AV121" s="262"/>
      <c r="AW121" s="34"/>
      <c r="AX121" s="33"/>
      <c r="AY121" s="33"/>
      <c r="AZ121" s="43"/>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t="s">
        <v>703</v>
      </c>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row>
    <row r="122" spans="1:136" ht="12.95" customHeight="1" x14ac:dyDescent="0.2">
      <c r="A122" s="50"/>
      <c r="B122" s="166"/>
      <c r="C122" s="231"/>
      <c r="D122" s="231"/>
      <c r="E122" s="231"/>
      <c r="F122" s="232"/>
      <c r="G122" s="233"/>
      <c r="H122" s="234"/>
      <c r="I122" s="235"/>
      <c r="J122" s="236"/>
      <c r="K122" s="237"/>
      <c r="L122" s="238"/>
      <c r="M122" s="166"/>
      <c r="N122" s="239"/>
      <c r="O122" s="240"/>
      <c r="P122" s="237"/>
      <c r="Q122" s="241"/>
      <c r="R122" s="238"/>
      <c r="S122" s="175"/>
      <c r="T122" s="246"/>
      <c r="U122" s="166"/>
      <c r="V122" s="253"/>
      <c r="W122" s="254"/>
      <c r="X122" s="166"/>
      <c r="Y122" s="240"/>
      <c r="Z122" s="163"/>
      <c r="AA122" s="250"/>
      <c r="AB122" s="251"/>
      <c r="AC122" s="252"/>
      <c r="AD122" s="250"/>
      <c r="AE122" s="251"/>
      <c r="AF122" s="237"/>
      <c r="AG122" s="238"/>
      <c r="AH122" s="237"/>
      <c r="AI122" s="241"/>
      <c r="AJ122" s="241"/>
      <c r="AK122" s="238"/>
      <c r="AL122" s="51"/>
      <c r="AM122" s="52"/>
      <c r="AN122" s="52"/>
      <c r="AO122" s="52"/>
      <c r="AP122" s="52"/>
      <c r="AQ122" s="52"/>
      <c r="AR122" s="52"/>
      <c r="AS122" s="52"/>
      <c r="AT122" s="34"/>
      <c r="AU122" s="34"/>
      <c r="AV122" s="34"/>
      <c r="AW122" s="34"/>
      <c r="AX122" s="33"/>
      <c r="AY122" s="33"/>
      <c r="AZ122" s="43"/>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t="s">
        <v>704</v>
      </c>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row>
    <row r="123" spans="1:136" ht="12.95" customHeight="1" x14ac:dyDescent="0.2">
      <c r="A123" s="50"/>
      <c r="B123" s="166"/>
      <c r="C123" s="231"/>
      <c r="D123" s="231"/>
      <c r="E123" s="231"/>
      <c r="F123" s="232"/>
      <c r="G123" s="233"/>
      <c r="H123" s="234"/>
      <c r="I123" s="235"/>
      <c r="J123" s="236"/>
      <c r="K123" s="237"/>
      <c r="L123" s="238"/>
      <c r="M123" s="166"/>
      <c r="N123" s="239"/>
      <c r="O123" s="240"/>
      <c r="P123" s="237"/>
      <c r="Q123" s="241"/>
      <c r="R123" s="238"/>
      <c r="S123" s="175"/>
      <c r="T123" s="246"/>
      <c r="U123" s="166"/>
      <c r="V123" s="253"/>
      <c r="W123" s="254"/>
      <c r="X123" s="166"/>
      <c r="Y123" s="240"/>
      <c r="Z123" s="163"/>
      <c r="AA123" s="250"/>
      <c r="AB123" s="251"/>
      <c r="AC123" s="252"/>
      <c r="AD123" s="250"/>
      <c r="AE123" s="251"/>
      <c r="AF123" s="237"/>
      <c r="AG123" s="238"/>
      <c r="AH123" s="237"/>
      <c r="AI123" s="241"/>
      <c r="AJ123" s="241"/>
      <c r="AK123" s="238"/>
      <c r="AL123" s="51"/>
      <c r="AM123" s="52"/>
      <c r="AN123" s="52"/>
      <c r="AO123" s="52"/>
      <c r="AP123" s="52"/>
      <c r="AQ123" s="52"/>
      <c r="AR123" s="52"/>
      <c r="AS123" s="52"/>
      <c r="AT123" s="34"/>
      <c r="AU123" s="34"/>
      <c r="AV123" s="34"/>
      <c r="AW123" s="34"/>
      <c r="AX123" s="33"/>
      <c r="AY123" s="33"/>
      <c r="AZ123" s="43"/>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t="s">
        <v>705</v>
      </c>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row>
    <row r="124" spans="1:136" ht="12.95" customHeight="1" x14ac:dyDescent="0.2">
      <c r="A124" s="50"/>
      <c r="B124" s="166"/>
      <c r="C124" s="231"/>
      <c r="D124" s="231"/>
      <c r="E124" s="231"/>
      <c r="F124" s="232"/>
      <c r="G124" s="233"/>
      <c r="H124" s="234"/>
      <c r="I124" s="235"/>
      <c r="J124" s="236"/>
      <c r="K124" s="237"/>
      <c r="L124" s="238"/>
      <c r="M124" s="166"/>
      <c r="N124" s="239"/>
      <c r="O124" s="240"/>
      <c r="P124" s="237"/>
      <c r="Q124" s="241"/>
      <c r="R124" s="238"/>
      <c r="S124" s="175"/>
      <c r="T124" s="246"/>
      <c r="U124" s="166"/>
      <c r="V124" s="253"/>
      <c r="W124" s="254"/>
      <c r="X124" s="166"/>
      <c r="Y124" s="240"/>
      <c r="Z124" s="163"/>
      <c r="AA124" s="250"/>
      <c r="AB124" s="251"/>
      <c r="AC124" s="252"/>
      <c r="AD124" s="250"/>
      <c r="AE124" s="251"/>
      <c r="AF124" s="237"/>
      <c r="AG124" s="238"/>
      <c r="AH124" s="237"/>
      <c r="AI124" s="241"/>
      <c r="AJ124" s="241"/>
      <c r="AK124" s="238"/>
      <c r="AL124" s="51"/>
      <c r="AM124" s="52"/>
      <c r="AN124" s="52"/>
      <c r="AO124" s="52"/>
      <c r="AP124" s="52"/>
      <c r="AQ124" s="52"/>
      <c r="AR124" s="52"/>
      <c r="AS124" s="52"/>
      <c r="AT124" s="34"/>
      <c r="AU124" s="34"/>
      <c r="AV124" s="34"/>
      <c r="AW124" s="34"/>
      <c r="AX124" s="33"/>
      <c r="AY124" s="33"/>
      <c r="AZ124" s="43"/>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t="s">
        <v>706</v>
      </c>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row>
    <row r="125" spans="1:136" ht="12.95" customHeight="1" x14ac:dyDescent="0.2">
      <c r="A125" s="50"/>
      <c r="B125" s="166"/>
      <c r="C125" s="231"/>
      <c r="D125" s="231"/>
      <c r="E125" s="231"/>
      <c r="F125" s="232"/>
      <c r="G125" s="233"/>
      <c r="H125" s="234"/>
      <c r="I125" s="235"/>
      <c r="J125" s="236"/>
      <c r="K125" s="237"/>
      <c r="L125" s="238"/>
      <c r="M125" s="166"/>
      <c r="N125" s="239"/>
      <c r="O125" s="240"/>
      <c r="P125" s="237"/>
      <c r="Q125" s="241"/>
      <c r="R125" s="238"/>
      <c r="S125" s="175"/>
      <c r="T125" s="246"/>
      <c r="U125" s="166"/>
      <c r="V125" s="253"/>
      <c r="W125" s="254"/>
      <c r="X125" s="166"/>
      <c r="Y125" s="240"/>
      <c r="Z125" s="163"/>
      <c r="AA125" s="250"/>
      <c r="AB125" s="251"/>
      <c r="AC125" s="252"/>
      <c r="AD125" s="250"/>
      <c r="AE125" s="251"/>
      <c r="AF125" s="237"/>
      <c r="AG125" s="238"/>
      <c r="AH125" s="237"/>
      <c r="AI125" s="241"/>
      <c r="AJ125" s="241"/>
      <c r="AK125" s="238"/>
      <c r="AL125" s="51"/>
      <c r="AM125" s="52"/>
      <c r="AN125" s="52"/>
      <c r="AO125" s="52"/>
      <c r="AP125" s="52"/>
      <c r="AQ125" s="52"/>
      <c r="AR125" s="52"/>
      <c r="AS125" s="52"/>
      <c r="AT125" s="34"/>
      <c r="AU125" s="34"/>
      <c r="AV125" s="34"/>
      <c r="AW125" s="34"/>
      <c r="AX125" s="33"/>
      <c r="AY125" s="33"/>
      <c r="AZ125" s="43"/>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t="s">
        <v>707</v>
      </c>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row>
    <row r="126" spans="1:136" ht="12.95" customHeight="1" x14ac:dyDescent="0.2">
      <c r="A126" s="50"/>
      <c r="B126" s="166"/>
      <c r="C126" s="231"/>
      <c r="D126" s="231"/>
      <c r="E126" s="231"/>
      <c r="F126" s="232"/>
      <c r="G126" s="233"/>
      <c r="H126" s="234"/>
      <c r="I126" s="235"/>
      <c r="J126" s="236"/>
      <c r="K126" s="237"/>
      <c r="L126" s="238"/>
      <c r="M126" s="166"/>
      <c r="N126" s="239"/>
      <c r="O126" s="240"/>
      <c r="P126" s="237"/>
      <c r="Q126" s="241"/>
      <c r="R126" s="238"/>
      <c r="S126" s="175"/>
      <c r="T126" s="246"/>
      <c r="U126" s="166"/>
      <c r="V126" s="253"/>
      <c r="W126" s="254"/>
      <c r="X126" s="166"/>
      <c r="Y126" s="240"/>
      <c r="Z126" s="163"/>
      <c r="AA126" s="250"/>
      <c r="AB126" s="251"/>
      <c r="AC126" s="252"/>
      <c r="AD126" s="250"/>
      <c r="AE126" s="251"/>
      <c r="AF126" s="237"/>
      <c r="AG126" s="238"/>
      <c r="AH126" s="237"/>
      <c r="AI126" s="241"/>
      <c r="AJ126" s="241"/>
      <c r="AK126" s="238"/>
      <c r="AL126" s="51"/>
      <c r="AM126" s="52"/>
      <c r="AN126" s="52"/>
      <c r="AO126" s="52"/>
      <c r="AP126" s="52"/>
      <c r="AQ126" s="52"/>
      <c r="AR126" s="52"/>
      <c r="AS126" s="52"/>
      <c r="AT126" s="34"/>
      <c r="AU126" s="34"/>
      <c r="AV126" s="34"/>
      <c r="AW126" s="34"/>
      <c r="AX126" s="33"/>
      <c r="AY126" s="33"/>
      <c r="AZ126" s="43"/>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t="s">
        <v>708</v>
      </c>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row>
    <row r="127" spans="1:136" ht="12.95" customHeight="1" x14ac:dyDescent="0.2">
      <c r="A127" s="50"/>
      <c r="B127" s="166"/>
      <c r="C127" s="231"/>
      <c r="D127" s="231"/>
      <c r="E127" s="231"/>
      <c r="F127" s="232"/>
      <c r="G127" s="233"/>
      <c r="H127" s="234"/>
      <c r="I127" s="235"/>
      <c r="J127" s="236"/>
      <c r="K127" s="237"/>
      <c r="L127" s="238"/>
      <c r="M127" s="166"/>
      <c r="N127" s="239"/>
      <c r="O127" s="240"/>
      <c r="P127" s="237"/>
      <c r="Q127" s="241"/>
      <c r="R127" s="238"/>
      <c r="S127" s="175"/>
      <c r="T127" s="246"/>
      <c r="U127" s="166"/>
      <c r="V127" s="253"/>
      <c r="W127" s="254"/>
      <c r="X127" s="166"/>
      <c r="Y127" s="240"/>
      <c r="Z127" s="163"/>
      <c r="AA127" s="250"/>
      <c r="AB127" s="251"/>
      <c r="AC127" s="252"/>
      <c r="AD127" s="250"/>
      <c r="AE127" s="251"/>
      <c r="AF127" s="237"/>
      <c r="AG127" s="238"/>
      <c r="AH127" s="237"/>
      <c r="AI127" s="241"/>
      <c r="AJ127" s="241"/>
      <c r="AK127" s="238"/>
      <c r="AL127" s="51"/>
      <c r="AM127" s="52"/>
      <c r="AN127" s="52"/>
      <c r="AO127" s="52"/>
      <c r="AP127" s="52"/>
      <c r="AQ127" s="52"/>
      <c r="AR127" s="52"/>
      <c r="AS127" s="52"/>
      <c r="AT127" s="34"/>
      <c r="AU127" s="34"/>
      <c r="AV127" s="34"/>
      <c r="AW127" s="34"/>
      <c r="AX127" s="33"/>
      <c r="AY127" s="33"/>
      <c r="AZ127" s="43"/>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t="s">
        <v>709</v>
      </c>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row>
    <row r="128" spans="1:136" ht="12.95" customHeight="1" x14ac:dyDescent="0.2">
      <c r="A128" s="50"/>
      <c r="B128" s="166"/>
      <c r="C128" s="231"/>
      <c r="D128" s="231"/>
      <c r="E128" s="231"/>
      <c r="F128" s="232"/>
      <c r="G128" s="233"/>
      <c r="H128" s="234"/>
      <c r="I128" s="235"/>
      <c r="J128" s="236"/>
      <c r="K128" s="237"/>
      <c r="L128" s="238"/>
      <c r="M128" s="166"/>
      <c r="N128" s="239"/>
      <c r="O128" s="240"/>
      <c r="P128" s="237"/>
      <c r="Q128" s="241"/>
      <c r="R128" s="238"/>
      <c r="S128" s="175"/>
      <c r="T128" s="246"/>
      <c r="U128" s="166"/>
      <c r="V128" s="253"/>
      <c r="W128" s="254"/>
      <c r="X128" s="166"/>
      <c r="Y128" s="240"/>
      <c r="Z128" s="163"/>
      <c r="AA128" s="250"/>
      <c r="AB128" s="251"/>
      <c r="AC128" s="252"/>
      <c r="AD128" s="250"/>
      <c r="AE128" s="251"/>
      <c r="AF128" s="237"/>
      <c r="AG128" s="238"/>
      <c r="AH128" s="237"/>
      <c r="AI128" s="241"/>
      <c r="AJ128" s="241"/>
      <c r="AK128" s="238"/>
      <c r="AL128" s="51"/>
      <c r="AM128" s="52"/>
      <c r="AN128" s="52"/>
      <c r="AO128" s="52"/>
      <c r="AP128" s="52"/>
      <c r="AQ128" s="52"/>
      <c r="AR128" s="52"/>
      <c r="AS128" s="52"/>
      <c r="AT128" s="34"/>
      <c r="AU128" s="34"/>
      <c r="AV128" s="34"/>
      <c r="AW128" s="34"/>
      <c r="AX128" s="33"/>
      <c r="AY128" s="33"/>
      <c r="AZ128" s="43"/>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t="s">
        <v>710</v>
      </c>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row>
    <row r="129" spans="1:136" ht="12.95" customHeight="1" x14ac:dyDescent="0.2">
      <c r="A129" s="50"/>
      <c r="B129" s="166"/>
      <c r="C129" s="231"/>
      <c r="D129" s="231"/>
      <c r="E129" s="231"/>
      <c r="F129" s="232"/>
      <c r="G129" s="233"/>
      <c r="H129" s="234"/>
      <c r="I129" s="235"/>
      <c r="J129" s="236"/>
      <c r="K129" s="237"/>
      <c r="L129" s="238"/>
      <c r="M129" s="166"/>
      <c r="N129" s="239"/>
      <c r="O129" s="240"/>
      <c r="P129" s="237"/>
      <c r="Q129" s="241"/>
      <c r="R129" s="238"/>
      <c r="S129" s="175"/>
      <c r="T129" s="246"/>
      <c r="U129" s="166"/>
      <c r="V129" s="253"/>
      <c r="W129" s="254"/>
      <c r="X129" s="166"/>
      <c r="Y129" s="240"/>
      <c r="Z129" s="163"/>
      <c r="AA129" s="250"/>
      <c r="AB129" s="251"/>
      <c r="AC129" s="252"/>
      <c r="AD129" s="250"/>
      <c r="AE129" s="251"/>
      <c r="AF129" s="237"/>
      <c r="AG129" s="238"/>
      <c r="AH129" s="237"/>
      <c r="AI129" s="241"/>
      <c r="AJ129" s="241"/>
      <c r="AK129" s="238"/>
      <c r="AL129" s="51"/>
      <c r="AM129" s="52"/>
      <c r="AN129" s="52"/>
      <c r="AO129" s="52"/>
      <c r="AP129" s="52"/>
      <c r="AQ129" s="52"/>
      <c r="AR129" s="52"/>
      <c r="AS129" s="52"/>
      <c r="AT129" s="34"/>
      <c r="AU129" s="34"/>
      <c r="AV129" s="34"/>
      <c r="AW129" s="34"/>
      <c r="AX129" s="33"/>
      <c r="AY129" s="33"/>
      <c r="AZ129" s="43"/>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t="s">
        <v>711</v>
      </c>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row>
    <row r="130" spans="1:136" ht="12.95" customHeight="1" x14ac:dyDescent="0.2">
      <c r="A130" s="50"/>
      <c r="B130" s="166"/>
      <c r="C130" s="231"/>
      <c r="D130" s="231"/>
      <c r="E130" s="231"/>
      <c r="F130" s="232"/>
      <c r="G130" s="233"/>
      <c r="H130" s="234"/>
      <c r="I130" s="235"/>
      <c r="J130" s="236"/>
      <c r="K130" s="237"/>
      <c r="L130" s="238"/>
      <c r="M130" s="166"/>
      <c r="N130" s="239"/>
      <c r="O130" s="240"/>
      <c r="P130" s="237"/>
      <c r="Q130" s="241"/>
      <c r="R130" s="238"/>
      <c r="S130" s="175"/>
      <c r="T130" s="246"/>
      <c r="U130" s="166"/>
      <c r="V130" s="253"/>
      <c r="W130" s="254"/>
      <c r="X130" s="166"/>
      <c r="Y130" s="240"/>
      <c r="Z130" s="163"/>
      <c r="AA130" s="250"/>
      <c r="AB130" s="251"/>
      <c r="AC130" s="252"/>
      <c r="AD130" s="250"/>
      <c r="AE130" s="251"/>
      <c r="AF130" s="237"/>
      <c r="AG130" s="238"/>
      <c r="AH130" s="237"/>
      <c r="AI130" s="241"/>
      <c r="AJ130" s="241"/>
      <c r="AK130" s="238"/>
      <c r="AL130" s="51"/>
      <c r="AM130" s="52"/>
      <c r="AN130" s="52"/>
      <c r="AO130" s="52"/>
      <c r="AP130" s="52"/>
      <c r="AQ130" s="52"/>
      <c r="AR130" s="52"/>
      <c r="AS130" s="52"/>
      <c r="AT130" s="34"/>
      <c r="AU130" s="34"/>
      <c r="AV130" s="34"/>
      <c r="AW130" s="34"/>
      <c r="AX130" s="33"/>
      <c r="AY130" s="33"/>
      <c r="AZ130" s="43"/>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t="s">
        <v>712</v>
      </c>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row>
    <row r="131" spans="1:136" ht="12.95" customHeight="1" x14ac:dyDescent="0.2">
      <c r="A131" s="50"/>
      <c r="B131" s="166"/>
      <c r="C131" s="231"/>
      <c r="D131" s="231"/>
      <c r="E131" s="231"/>
      <c r="F131" s="232"/>
      <c r="G131" s="233"/>
      <c r="H131" s="234"/>
      <c r="I131" s="235"/>
      <c r="J131" s="236"/>
      <c r="K131" s="237"/>
      <c r="L131" s="238"/>
      <c r="M131" s="166"/>
      <c r="N131" s="239"/>
      <c r="O131" s="240"/>
      <c r="P131" s="237"/>
      <c r="Q131" s="241"/>
      <c r="R131" s="238"/>
      <c r="S131" s="175"/>
      <c r="T131" s="246"/>
      <c r="U131" s="166"/>
      <c r="V131" s="253"/>
      <c r="W131" s="254"/>
      <c r="X131" s="166"/>
      <c r="Y131" s="240"/>
      <c r="Z131" s="163"/>
      <c r="AA131" s="250"/>
      <c r="AB131" s="251"/>
      <c r="AC131" s="252"/>
      <c r="AD131" s="250"/>
      <c r="AE131" s="251"/>
      <c r="AF131" s="237"/>
      <c r="AG131" s="238"/>
      <c r="AH131" s="237"/>
      <c r="AI131" s="241"/>
      <c r="AJ131" s="241"/>
      <c r="AK131" s="238"/>
      <c r="AL131" s="51"/>
      <c r="AM131" s="52"/>
      <c r="AN131" s="52"/>
      <c r="AO131" s="52"/>
      <c r="AP131" s="52"/>
      <c r="AQ131" s="52"/>
      <c r="AR131" s="52"/>
      <c r="AS131" s="52"/>
      <c r="AT131" s="34"/>
      <c r="AU131" s="34"/>
      <c r="AV131" s="34"/>
      <c r="AW131" s="34"/>
      <c r="AX131" s="33"/>
      <c r="AY131" s="33"/>
      <c r="AZ131" s="43"/>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t="s">
        <v>713</v>
      </c>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row>
    <row r="132" spans="1:136" ht="12.95" customHeight="1" x14ac:dyDescent="0.2">
      <c r="A132" s="50"/>
      <c r="B132" s="166"/>
      <c r="C132" s="231"/>
      <c r="D132" s="231"/>
      <c r="E132" s="231"/>
      <c r="F132" s="232"/>
      <c r="G132" s="233"/>
      <c r="H132" s="234"/>
      <c r="I132" s="235"/>
      <c r="J132" s="236"/>
      <c r="K132" s="237"/>
      <c r="L132" s="238"/>
      <c r="M132" s="166"/>
      <c r="N132" s="239"/>
      <c r="O132" s="240"/>
      <c r="P132" s="237"/>
      <c r="Q132" s="241"/>
      <c r="R132" s="238"/>
      <c r="S132" s="175"/>
      <c r="T132" s="246"/>
      <c r="U132" s="166"/>
      <c r="V132" s="253"/>
      <c r="W132" s="254"/>
      <c r="X132" s="166"/>
      <c r="Y132" s="240"/>
      <c r="Z132" s="163"/>
      <c r="AA132" s="250"/>
      <c r="AB132" s="251"/>
      <c r="AC132" s="252"/>
      <c r="AD132" s="250"/>
      <c r="AE132" s="251"/>
      <c r="AF132" s="237"/>
      <c r="AG132" s="238"/>
      <c r="AH132" s="237"/>
      <c r="AI132" s="241"/>
      <c r="AJ132" s="241"/>
      <c r="AK132" s="238"/>
      <c r="AL132" s="51"/>
      <c r="AM132" s="52"/>
      <c r="AN132" s="52"/>
      <c r="AO132" s="52"/>
      <c r="AP132" s="52"/>
      <c r="AQ132" s="52"/>
      <c r="AR132" s="52"/>
      <c r="AS132" s="52"/>
      <c r="AT132" s="34"/>
      <c r="AU132" s="34"/>
      <c r="AV132" s="34"/>
      <c r="AW132" s="34"/>
      <c r="AX132" s="33"/>
      <c r="AY132" s="33"/>
      <c r="AZ132" s="43"/>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t="s">
        <v>714</v>
      </c>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row>
    <row r="133" spans="1:136" ht="12.95" customHeight="1" x14ac:dyDescent="0.2">
      <c r="A133" s="50"/>
      <c r="B133" s="166"/>
      <c r="C133" s="231"/>
      <c r="D133" s="231"/>
      <c r="E133" s="231"/>
      <c r="F133" s="232"/>
      <c r="G133" s="233"/>
      <c r="H133" s="234"/>
      <c r="I133" s="235"/>
      <c r="J133" s="236"/>
      <c r="K133" s="237"/>
      <c r="L133" s="238"/>
      <c r="M133" s="166"/>
      <c r="N133" s="239"/>
      <c r="O133" s="240"/>
      <c r="P133" s="237"/>
      <c r="Q133" s="241"/>
      <c r="R133" s="238"/>
      <c r="S133" s="175"/>
      <c r="T133" s="246"/>
      <c r="U133" s="166"/>
      <c r="V133" s="253"/>
      <c r="W133" s="254"/>
      <c r="X133" s="166"/>
      <c r="Y133" s="240"/>
      <c r="Z133" s="163"/>
      <c r="AA133" s="250"/>
      <c r="AB133" s="251"/>
      <c r="AC133" s="252"/>
      <c r="AD133" s="250"/>
      <c r="AE133" s="251"/>
      <c r="AF133" s="237"/>
      <c r="AG133" s="238"/>
      <c r="AH133" s="237"/>
      <c r="AI133" s="241"/>
      <c r="AJ133" s="241"/>
      <c r="AK133" s="238"/>
      <c r="AL133" s="51"/>
      <c r="AM133" s="52"/>
      <c r="AN133" s="52"/>
      <c r="AO133" s="52"/>
      <c r="AP133" s="52"/>
      <c r="AQ133" s="52"/>
      <c r="AR133" s="52"/>
      <c r="AS133" s="52"/>
      <c r="AT133" s="34"/>
      <c r="AU133" s="34"/>
      <c r="AV133" s="34"/>
      <c r="AW133" s="34"/>
      <c r="AX133" s="33"/>
      <c r="AY133" s="33"/>
      <c r="AZ133" s="43"/>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t="s">
        <v>715</v>
      </c>
      <c r="DF133" s="9"/>
      <c r="DG133" s="9"/>
      <c r="DH133" s="9"/>
      <c r="DI133" s="9"/>
      <c r="DJ133" s="9"/>
      <c r="DK133" s="9"/>
      <c r="DL133" s="9"/>
      <c r="DM133" s="9"/>
      <c r="DN133" s="9"/>
      <c r="DO133" s="9"/>
      <c r="DP133" s="9"/>
      <c r="DQ133" s="9"/>
      <c r="DR133" s="9"/>
      <c r="DS133" s="9"/>
      <c r="DT133" s="9"/>
      <c r="DU133" s="9"/>
      <c r="DV133" s="9"/>
      <c r="DW133" s="9"/>
      <c r="DX133" s="9"/>
      <c r="DY133" s="9"/>
      <c r="DZ133" s="9"/>
      <c r="EA133" s="9"/>
      <c r="EB133" s="9"/>
      <c r="EC133" s="9"/>
      <c r="ED133" s="9"/>
      <c r="EE133" s="9"/>
      <c r="EF133" s="9"/>
    </row>
    <row r="134" spans="1:136" ht="12.95" customHeight="1" x14ac:dyDescent="0.2">
      <c r="A134" s="50"/>
      <c r="B134" s="166"/>
      <c r="C134" s="231"/>
      <c r="D134" s="231"/>
      <c r="E134" s="231"/>
      <c r="F134" s="232"/>
      <c r="G134" s="233"/>
      <c r="H134" s="234"/>
      <c r="I134" s="235"/>
      <c r="J134" s="236"/>
      <c r="K134" s="237"/>
      <c r="L134" s="238"/>
      <c r="M134" s="166"/>
      <c r="N134" s="239"/>
      <c r="O134" s="240"/>
      <c r="P134" s="237"/>
      <c r="Q134" s="241"/>
      <c r="R134" s="238"/>
      <c r="S134" s="175"/>
      <c r="T134" s="246"/>
      <c r="U134" s="166"/>
      <c r="V134" s="253"/>
      <c r="W134" s="254"/>
      <c r="X134" s="166"/>
      <c r="Y134" s="240"/>
      <c r="Z134" s="163"/>
      <c r="AA134" s="250"/>
      <c r="AB134" s="251"/>
      <c r="AC134" s="252"/>
      <c r="AD134" s="250"/>
      <c r="AE134" s="251"/>
      <c r="AF134" s="237"/>
      <c r="AG134" s="238"/>
      <c r="AH134" s="237"/>
      <c r="AI134" s="241"/>
      <c r="AJ134" s="241"/>
      <c r="AK134" s="238"/>
      <c r="AL134" s="51"/>
      <c r="AM134" s="52"/>
      <c r="AN134" s="52"/>
      <c r="AO134" s="52"/>
      <c r="AP134" s="52"/>
      <c r="AQ134" s="52"/>
      <c r="AR134" s="52"/>
      <c r="AS134" s="52"/>
      <c r="AT134" s="34"/>
      <c r="AU134" s="34"/>
      <c r="AV134" s="34"/>
      <c r="AW134" s="34"/>
      <c r="AX134" s="33"/>
      <c r="AY134" s="33"/>
      <c r="AZ134" s="43"/>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t="s">
        <v>716</v>
      </c>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row>
    <row r="135" spans="1:136" ht="12.95" customHeight="1" x14ac:dyDescent="0.2">
      <c r="A135" s="50"/>
      <c r="B135" s="166"/>
      <c r="C135" s="231"/>
      <c r="D135" s="231"/>
      <c r="E135" s="231"/>
      <c r="F135" s="232"/>
      <c r="G135" s="233"/>
      <c r="H135" s="234"/>
      <c r="I135" s="235"/>
      <c r="J135" s="236"/>
      <c r="K135" s="237"/>
      <c r="L135" s="238"/>
      <c r="M135" s="166"/>
      <c r="N135" s="239"/>
      <c r="O135" s="240"/>
      <c r="P135" s="237"/>
      <c r="Q135" s="241"/>
      <c r="R135" s="238"/>
      <c r="S135" s="175"/>
      <c r="T135" s="246"/>
      <c r="U135" s="166"/>
      <c r="V135" s="253"/>
      <c r="W135" s="254"/>
      <c r="X135" s="166"/>
      <c r="Y135" s="240"/>
      <c r="Z135" s="163"/>
      <c r="AA135" s="250"/>
      <c r="AB135" s="251"/>
      <c r="AC135" s="252"/>
      <c r="AD135" s="250"/>
      <c r="AE135" s="251"/>
      <c r="AF135" s="237"/>
      <c r="AG135" s="238"/>
      <c r="AH135" s="237"/>
      <c r="AI135" s="241"/>
      <c r="AJ135" s="241"/>
      <c r="AK135" s="238"/>
      <c r="AL135" s="51"/>
      <c r="AM135" s="52"/>
      <c r="AN135" s="52"/>
      <c r="AO135" s="52"/>
      <c r="AP135" s="52"/>
      <c r="AQ135" s="52"/>
      <c r="AR135" s="52"/>
      <c r="AS135" s="52"/>
      <c r="AT135" s="34"/>
      <c r="AU135" s="34"/>
      <c r="AV135" s="34"/>
      <c r="AW135" s="34"/>
      <c r="AX135" s="33"/>
      <c r="AY135" s="33"/>
      <c r="AZ135" s="43"/>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t="s">
        <v>717</v>
      </c>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row>
    <row r="136" spans="1:136" ht="12.95" customHeight="1" x14ac:dyDescent="0.2">
      <c r="A136" s="50"/>
      <c r="B136" s="166"/>
      <c r="C136" s="231"/>
      <c r="D136" s="231"/>
      <c r="E136" s="231"/>
      <c r="F136" s="232"/>
      <c r="G136" s="233"/>
      <c r="H136" s="234"/>
      <c r="I136" s="235"/>
      <c r="J136" s="236"/>
      <c r="K136" s="237"/>
      <c r="L136" s="238"/>
      <c r="M136" s="166"/>
      <c r="N136" s="239"/>
      <c r="O136" s="240"/>
      <c r="P136" s="237"/>
      <c r="Q136" s="241"/>
      <c r="R136" s="238"/>
      <c r="S136" s="175"/>
      <c r="T136" s="246"/>
      <c r="U136" s="166"/>
      <c r="V136" s="253"/>
      <c r="W136" s="254"/>
      <c r="X136" s="166"/>
      <c r="Y136" s="240"/>
      <c r="Z136" s="163"/>
      <c r="AA136" s="250"/>
      <c r="AB136" s="251"/>
      <c r="AC136" s="252"/>
      <c r="AD136" s="250"/>
      <c r="AE136" s="251"/>
      <c r="AF136" s="237"/>
      <c r="AG136" s="238"/>
      <c r="AH136" s="237"/>
      <c r="AI136" s="241"/>
      <c r="AJ136" s="241"/>
      <c r="AK136" s="238"/>
      <c r="AL136" s="51"/>
      <c r="AM136" s="52"/>
      <c r="AN136" s="52"/>
      <c r="AO136" s="52"/>
      <c r="AP136" s="52"/>
      <c r="AQ136" s="52"/>
      <c r="AR136" s="52"/>
      <c r="AS136" s="52"/>
      <c r="AT136" s="34"/>
      <c r="AU136" s="34"/>
      <c r="AV136" s="34"/>
      <c r="AW136" s="34"/>
      <c r="AX136" s="33"/>
      <c r="AY136" s="33"/>
      <c r="AZ136" s="43"/>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t="s">
        <v>718</v>
      </c>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row>
    <row r="137" spans="1:136" ht="12.95" customHeight="1" x14ac:dyDescent="0.2">
      <c r="A137" s="50"/>
      <c r="B137" s="166"/>
      <c r="C137" s="231"/>
      <c r="D137" s="231"/>
      <c r="E137" s="231"/>
      <c r="F137" s="232"/>
      <c r="G137" s="233"/>
      <c r="H137" s="234"/>
      <c r="I137" s="235"/>
      <c r="J137" s="236"/>
      <c r="K137" s="237"/>
      <c r="L137" s="238"/>
      <c r="M137" s="166"/>
      <c r="N137" s="239"/>
      <c r="O137" s="240"/>
      <c r="P137" s="237"/>
      <c r="Q137" s="241"/>
      <c r="R137" s="238"/>
      <c r="S137" s="175"/>
      <c r="T137" s="246"/>
      <c r="U137" s="166"/>
      <c r="V137" s="253"/>
      <c r="W137" s="254"/>
      <c r="X137" s="166"/>
      <c r="Y137" s="240"/>
      <c r="Z137" s="163"/>
      <c r="AA137" s="250"/>
      <c r="AB137" s="251"/>
      <c r="AC137" s="252"/>
      <c r="AD137" s="250"/>
      <c r="AE137" s="251"/>
      <c r="AF137" s="237"/>
      <c r="AG137" s="238"/>
      <c r="AH137" s="237"/>
      <c r="AI137" s="241"/>
      <c r="AJ137" s="241"/>
      <c r="AK137" s="238"/>
      <c r="AL137" s="51"/>
      <c r="AM137" s="52"/>
      <c r="AN137" s="52"/>
      <c r="AO137" s="52"/>
      <c r="AP137" s="52"/>
      <c r="AQ137" s="52"/>
      <c r="AR137" s="52"/>
      <c r="AS137" s="52"/>
      <c r="AT137" s="34"/>
      <c r="AU137" s="34"/>
      <c r="AV137" s="34"/>
      <c r="AW137" s="34"/>
      <c r="AX137" s="33"/>
      <c r="AY137" s="33"/>
      <c r="AZ137" s="43"/>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t="s">
        <v>719</v>
      </c>
      <c r="DF137" s="9"/>
      <c r="DG137" s="9"/>
      <c r="DH137" s="9"/>
      <c r="DI137" s="9"/>
      <c r="DJ137" s="9"/>
      <c r="DK137" s="9"/>
      <c r="DL137" s="9"/>
      <c r="DM137" s="9"/>
      <c r="DN137" s="9"/>
      <c r="DO137" s="9"/>
      <c r="DP137" s="9"/>
      <c r="DQ137" s="9"/>
      <c r="DR137" s="9"/>
      <c r="DS137" s="9"/>
      <c r="DT137" s="9"/>
      <c r="DU137" s="9"/>
      <c r="DV137" s="9"/>
      <c r="DW137" s="9"/>
      <c r="DX137" s="9"/>
      <c r="DY137" s="9"/>
      <c r="DZ137" s="9"/>
      <c r="EA137" s="9"/>
      <c r="EB137" s="9"/>
      <c r="EC137" s="9"/>
      <c r="ED137" s="9"/>
      <c r="EE137" s="9"/>
      <c r="EF137" s="9"/>
    </row>
    <row r="138" spans="1:136" ht="12.95" customHeight="1" x14ac:dyDescent="0.2">
      <c r="A138" s="50"/>
      <c r="B138" s="166"/>
      <c r="C138" s="231"/>
      <c r="D138" s="231"/>
      <c r="E138" s="231"/>
      <c r="F138" s="232"/>
      <c r="G138" s="233"/>
      <c r="H138" s="234"/>
      <c r="I138" s="235"/>
      <c r="J138" s="236"/>
      <c r="K138" s="237"/>
      <c r="L138" s="238"/>
      <c r="M138" s="166"/>
      <c r="N138" s="239"/>
      <c r="O138" s="240"/>
      <c r="P138" s="237"/>
      <c r="Q138" s="241"/>
      <c r="R138" s="238"/>
      <c r="S138" s="175"/>
      <c r="T138" s="246"/>
      <c r="U138" s="166"/>
      <c r="V138" s="253"/>
      <c r="W138" s="254"/>
      <c r="X138" s="166"/>
      <c r="Y138" s="240"/>
      <c r="Z138" s="163"/>
      <c r="AA138" s="250"/>
      <c r="AB138" s="251"/>
      <c r="AC138" s="252"/>
      <c r="AD138" s="250"/>
      <c r="AE138" s="251"/>
      <c r="AF138" s="237"/>
      <c r="AG138" s="238"/>
      <c r="AH138" s="237"/>
      <c r="AI138" s="241"/>
      <c r="AJ138" s="241"/>
      <c r="AK138" s="238"/>
      <c r="AL138" s="51"/>
      <c r="AM138" s="52"/>
      <c r="AN138" s="52"/>
      <c r="AO138" s="52"/>
      <c r="AP138" s="52"/>
      <c r="AQ138" s="52"/>
      <c r="AR138" s="52"/>
      <c r="AS138" s="52"/>
      <c r="AT138" s="34"/>
      <c r="AU138" s="34"/>
      <c r="AV138" s="34"/>
      <c r="AW138" s="34"/>
      <c r="AX138" s="33"/>
      <c r="AY138" s="33"/>
      <c r="AZ138" s="43"/>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t="s">
        <v>720</v>
      </c>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row>
    <row r="139" spans="1:136" ht="12.95" customHeight="1" x14ac:dyDescent="0.2">
      <c r="A139" s="50"/>
      <c r="B139" s="166"/>
      <c r="C139" s="231"/>
      <c r="D139" s="231"/>
      <c r="E139" s="231"/>
      <c r="F139" s="232"/>
      <c r="G139" s="233"/>
      <c r="H139" s="234"/>
      <c r="I139" s="235"/>
      <c r="J139" s="236"/>
      <c r="K139" s="237"/>
      <c r="L139" s="238"/>
      <c r="M139" s="166"/>
      <c r="N139" s="239"/>
      <c r="O139" s="240"/>
      <c r="P139" s="237"/>
      <c r="Q139" s="241"/>
      <c r="R139" s="238"/>
      <c r="S139" s="175"/>
      <c r="T139" s="246"/>
      <c r="U139" s="166"/>
      <c r="V139" s="253"/>
      <c r="W139" s="254"/>
      <c r="X139" s="166"/>
      <c r="Y139" s="240"/>
      <c r="Z139" s="163"/>
      <c r="AA139" s="250"/>
      <c r="AB139" s="251"/>
      <c r="AC139" s="252"/>
      <c r="AD139" s="250"/>
      <c r="AE139" s="251"/>
      <c r="AF139" s="237"/>
      <c r="AG139" s="238"/>
      <c r="AH139" s="237"/>
      <c r="AI139" s="241"/>
      <c r="AJ139" s="241"/>
      <c r="AK139" s="238"/>
      <c r="AL139" s="51"/>
      <c r="AM139" s="52"/>
      <c r="AN139" s="52"/>
      <c r="AO139" s="52"/>
      <c r="AP139" s="52"/>
      <c r="AQ139" s="52"/>
      <c r="AR139" s="52"/>
      <c r="AS139" s="52"/>
      <c r="AT139" s="34"/>
      <c r="AU139" s="34"/>
      <c r="AV139" s="34"/>
      <c r="AW139" s="34"/>
      <c r="AX139" s="33"/>
      <c r="AY139" s="33"/>
      <c r="AZ139" s="43"/>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t="s">
        <v>721</v>
      </c>
      <c r="DF139" s="9"/>
      <c r="DG139" s="9"/>
      <c r="DH139" s="9"/>
      <c r="DI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row>
    <row r="140" spans="1:136" ht="12.95" customHeight="1" x14ac:dyDescent="0.2">
      <c r="A140" s="50"/>
      <c r="B140" s="166"/>
      <c r="C140" s="231"/>
      <c r="D140" s="231"/>
      <c r="E140" s="231"/>
      <c r="F140" s="232"/>
      <c r="G140" s="233"/>
      <c r="H140" s="234"/>
      <c r="I140" s="235"/>
      <c r="J140" s="236"/>
      <c r="K140" s="237"/>
      <c r="L140" s="238"/>
      <c r="M140" s="166"/>
      <c r="N140" s="239"/>
      <c r="O140" s="240"/>
      <c r="P140" s="237"/>
      <c r="Q140" s="241"/>
      <c r="R140" s="238"/>
      <c r="S140" s="175"/>
      <c r="T140" s="246"/>
      <c r="U140" s="166"/>
      <c r="V140" s="253"/>
      <c r="W140" s="254"/>
      <c r="X140" s="166"/>
      <c r="Y140" s="240"/>
      <c r="Z140" s="163"/>
      <c r="AA140" s="250"/>
      <c r="AB140" s="251"/>
      <c r="AC140" s="252"/>
      <c r="AD140" s="250"/>
      <c r="AE140" s="251"/>
      <c r="AF140" s="237"/>
      <c r="AG140" s="238"/>
      <c r="AH140" s="237"/>
      <c r="AI140" s="241"/>
      <c r="AJ140" s="241"/>
      <c r="AK140" s="238"/>
      <c r="AL140" s="51"/>
      <c r="AM140" s="52"/>
      <c r="AN140" s="52"/>
      <c r="AO140" s="52"/>
      <c r="AP140" s="52"/>
      <c r="AQ140" s="52"/>
      <c r="AR140" s="52"/>
      <c r="AS140" s="52"/>
      <c r="AT140" s="34"/>
      <c r="AU140" s="34"/>
      <c r="AV140" s="34"/>
      <c r="AW140" s="34"/>
      <c r="AX140" s="33"/>
      <c r="AY140" s="33"/>
      <c r="AZ140" s="43"/>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t="s">
        <v>722</v>
      </c>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row>
    <row r="141" spans="1:136" ht="12.95" customHeight="1" x14ac:dyDescent="0.2">
      <c r="A141" s="53"/>
      <c r="B141" s="166"/>
      <c r="C141" s="231"/>
      <c r="D141" s="231"/>
      <c r="E141" s="231"/>
      <c r="F141" s="232"/>
      <c r="G141" s="233"/>
      <c r="H141" s="234"/>
      <c r="I141" s="235"/>
      <c r="J141" s="236"/>
      <c r="K141" s="237"/>
      <c r="L141" s="238"/>
      <c r="M141" s="166"/>
      <c r="N141" s="239"/>
      <c r="O141" s="240"/>
      <c r="P141" s="237"/>
      <c r="Q141" s="241"/>
      <c r="R141" s="238"/>
      <c r="S141" s="175"/>
      <c r="T141" s="246"/>
      <c r="U141" s="166"/>
      <c r="V141" s="253"/>
      <c r="W141" s="254"/>
      <c r="X141" s="166"/>
      <c r="Y141" s="240"/>
      <c r="Z141" s="163"/>
      <c r="AA141" s="250"/>
      <c r="AB141" s="251"/>
      <c r="AC141" s="252"/>
      <c r="AD141" s="250"/>
      <c r="AE141" s="251"/>
      <c r="AF141" s="237"/>
      <c r="AG141" s="238"/>
      <c r="AH141" s="237"/>
      <c r="AI141" s="241"/>
      <c r="AJ141" s="241"/>
      <c r="AK141" s="238"/>
      <c r="AL141" s="51"/>
      <c r="AM141" s="52"/>
      <c r="AN141" s="52"/>
      <c r="AO141" s="52"/>
      <c r="AP141" s="52"/>
      <c r="AQ141" s="52"/>
      <c r="AR141" s="52"/>
      <c r="AS141" s="52"/>
      <c r="AT141" s="34"/>
      <c r="AU141" s="34"/>
      <c r="AV141" s="34"/>
      <c r="AW141" s="34"/>
      <c r="AX141" s="33"/>
      <c r="AY141" s="33"/>
      <c r="AZ141" s="43"/>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t="s">
        <v>723</v>
      </c>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row>
    <row r="142" spans="1:136" x14ac:dyDescent="0.2">
      <c r="A142" s="48"/>
      <c r="B142" s="615" t="s">
        <v>3206</v>
      </c>
      <c r="C142" s="616"/>
      <c r="D142" s="616"/>
      <c r="E142" s="616"/>
      <c r="F142" s="616"/>
      <c r="G142" s="616"/>
      <c r="H142" s="616"/>
      <c r="I142" s="616"/>
      <c r="J142" s="616"/>
      <c r="K142" s="616"/>
      <c r="L142" s="616"/>
      <c r="M142" s="616"/>
      <c r="N142" s="616"/>
      <c r="O142" s="616"/>
      <c r="P142" s="616"/>
      <c r="Q142" s="616"/>
      <c r="R142" s="616"/>
      <c r="S142" s="616"/>
      <c r="T142" s="616"/>
      <c r="U142" s="616"/>
      <c r="V142" s="616"/>
      <c r="W142" s="616"/>
      <c r="X142" s="616"/>
      <c r="Y142" s="616"/>
      <c r="Z142" s="616"/>
      <c r="AA142" s="616"/>
      <c r="AB142" s="616"/>
      <c r="AC142" s="616"/>
      <c r="AD142" s="616"/>
      <c r="AE142" s="616"/>
      <c r="AF142" s="616"/>
      <c r="AG142" s="616"/>
      <c r="AH142" s="616"/>
      <c r="AI142" s="616"/>
      <c r="AJ142" s="616"/>
      <c r="AK142" s="617"/>
      <c r="AL142" s="34"/>
      <c r="AM142" s="34"/>
      <c r="AN142" s="34"/>
      <c r="AO142" s="34"/>
      <c r="AP142" s="34"/>
      <c r="AQ142" s="34"/>
      <c r="AR142" s="387"/>
      <c r="AS142" s="388"/>
      <c r="AT142" s="388"/>
      <c r="AU142" s="388"/>
      <c r="AV142" s="388"/>
      <c r="AW142" s="388"/>
      <c r="AX142" s="388"/>
      <c r="AY142" s="388"/>
      <c r="AZ142" s="388"/>
      <c r="BA142" s="388"/>
      <c r="BB142" s="388"/>
      <c r="BC142" s="388"/>
      <c r="BD142" s="388"/>
      <c r="BE142" s="388"/>
      <c r="BF142" s="388"/>
      <c r="BG142" s="388"/>
      <c r="BH142" s="388"/>
      <c r="BI142" s="388"/>
      <c r="BJ142" s="388"/>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row>
    <row r="143" spans="1:136" ht="6.75" customHeight="1" x14ac:dyDescent="0.2">
      <c r="A143" s="48"/>
      <c r="B143" s="374"/>
      <c r="C143" s="375"/>
      <c r="D143" s="375"/>
      <c r="E143" s="375"/>
      <c r="F143" s="375"/>
      <c r="G143" s="375"/>
      <c r="H143" s="375"/>
      <c r="I143" s="375"/>
      <c r="J143" s="375"/>
      <c r="K143" s="375"/>
      <c r="L143" s="375"/>
      <c r="M143" s="375"/>
      <c r="N143" s="375"/>
      <c r="O143" s="375"/>
      <c r="P143" s="375"/>
      <c r="Q143" s="375"/>
      <c r="R143" s="375"/>
      <c r="S143" s="375"/>
      <c r="T143" s="375"/>
      <c r="U143" s="375"/>
      <c r="V143" s="375"/>
      <c r="W143" s="375"/>
      <c r="X143" s="375"/>
      <c r="Y143" s="375"/>
      <c r="Z143" s="375"/>
      <c r="AA143" s="375"/>
      <c r="AB143" s="375"/>
      <c r="AC143" s="375"/>
      <c r="AD143" s="375"/>
      <c r="AE143" s="375"/>
      <c r="AF143" s="375"/>
      <c r="AG143" s="375"/>
      <c r="AH143" s="375"/>
      <c r="AI143" s="375"/>
      <c r="AJ143" s="375"/>
      <c r="AK143" s="376"/>
      <c r="AL143" s="34"/>
      <c r="AM143" s="34"/>
      <c r="AN143" s="34"/>
      <c r="AO143" s="34"/>
      <c r="AP143" s="34"/>
      <c r="AQ143" s="34"/>
      <c r="AR143" s="34"/>
      <c r="AS143" s="34"/>
      <c r="AT143" s="34"/>
      <c r="AU143" s="34"/>
      <c r="AV143" s="34"/>
      <c r="AW143" s="34"/>
      <c r="AX143" s="33"/>
      <c r="AY143" s="33"/>
      <c r="AZ143" s="43"/>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c r="DX143" s="9"/>
      <c r="DY143" s="9"/>
      <c r="DZ143" s="9"/>
      <c r="EA143" s="9"/>
      <c r="EB143" s="9"/>
      <c r="EC143" s="9"/>
      <c r="ED143" s="9"/>
      <c r="EE143" s="9"/>
      <c r="EF143" s="9"/>
    </row>
    <row r="144" spans="1:136" ht="6" hidden="1" customHeight="1" x14ac:dyDescent="0.2">
      <c r="A144" s="48"/>
      <c r="AK144" s="64"/>
      <c r="AL144" s="34"/>
      <c r="AM144" s="34"/>
      <c r="AN144" s="34"/>
      <c r="AO144" s="34"/>
      <c r="AP144" s="34"/>
      <c r="AQ144" s="34"/>
      <c r="AR144" s="34"/>
      <c r="AS144" s="34"/>
      <c r="AT144" s="34"/>
      <c r="AU144" s="34"/>
      <c r="AV144" s="34"/>
      <c r="AW144" s="34"/>
      <c r="AX144" s="33"/>
      <c r="AY144" s="33"/>
      <c r="AZ144" s="43"/>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row>
    <row r="145" spans="1:136" ht="12.75" customHeight="1" x14ac:dyDescent="0.2">
      <c r="A145" s="357" t="s">
        <v>3504</v>
      </c>
      <c r="B145" s="358"/>
      <c r="C145" s="358"/>
      <c r="D145" s="358"/>
      <c r="E145" s="358"/>
      <c r="F145" s="358"/>
      <c r="G145" s="358"/>
      <c r="H145" s="358"/>
      <c r="I145" s="358"/>
      <c r="J145" s="358"/>
      <c r="K145" s="358"/>
      <c r="L145" s="358"/>
      <c r="M145" s="358"/>
      <c r="N145" s="358"/>
      <c r="O145" s="358"/>
      <c r="P145" s="358"/>
      <c r="Q145" s="358"/>
      <c r="R145" s="358"/>
      <c r="S145" s="358"/>
      <c r="T145" s="358"/>
      <c r="U145" s="358"/>
      <c r="V145" s="358"/>
      <c r="W145" s="358"/>
      <c r="X145" s="358"/>
      <c r="Y145" s="358"/>
      <c r="Z145" s="358"/>
      <c r="AA145" s="358"/>
      <c r="AB145" s="358"/>
      <c r="AC145" s="358"/>
      <c r="AD145" s="358"/>
      <c r="AE145" s="358"/>
      <c r="AF145" s="358"/>
      <c r="AG145" s="358"/>
      <c r="AH145" s="358"/>
      <c r="AI145" s="358"/>
      <c r="AJ145" s="358"/>
      <c r="AK145" s="359"/>
      <c r="AL145" s="34"/>
      <c r="AM145" s="34"/>
      <c r="AN145" s="34"/>
      <c r="AO145" s="34"/>
      <c r="AP145" s="34"/>
      <c r="AQ145" s="34"/>
      <c r="AR145" s="34"/>
      <c r="AS145" s="34"/>
      <c r="AT145" s="34"/>
      <c r="AU145" s="34"/>
      <c r="AV145" s="34"/>
      <c r="AW145" s="34"/>
      <c r="AX145" s="33"/>
      <c r="AY145" s="33"/>
      <c r="AZ145" s="43"/>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c r="DN145" s="9"/>
      <c r="DO145" s="9"/>
      <c r="DP145" s="9"/>
      <c r="DQ145" s="9"/>
      <c r="DR145" s="9"/>
      <c r="DS145" s="9"/>
      <c r="DT145" s="9"/>
      <c r="DU145" s="9"/>
      <c r="DV145" s="9"/>
      <c r="DW145" s="9"/>
      <c r="DX145" s="9"/>
      <c r="DY145" s="9"/>
      <c r="DZ145" s="9"/>
      <c r="EA145" s="9"/>
      <c r="EB145" s="9"/>
      <c r="EC145" s="9"/>
      <c r="ED145" s="9"/>
      <c r="EE145" s="9"/>
      <c r="EF145" s="9"/>
    </row>
    <row r="146" spans="1:136" ht="12.75" customHeight="1" x14ac:dyDescent="0.2">
      <c r="A146" s="96">
        <v>9</v>
      </c>
      <c r="B146" s="363" t="s">
        <v>3505</v>
      </c>
      <c r="C146" s="177"/>
      <c r="D146" s="177"/>
      <c r="E146" s="177"/>
      <c r="F146" s="177"/>
      <c r="G146" s="177"/>
      <c r="H146" s="177"/>
      <c r="I146" s="177"/>
      <c r="J146" s="177"/>
      <c r="K146" s="177"/>
      <c r="L146" s="177"/>
      <c r="M146" s="178"/>
      <c r="N146" s="333"/>
      <c r="O146" s="334"/>
      <c r="P146" s="334"/>
      <c r="Q146" s="334"/>
      <c r="R146" s="334"/>
      <c r="S146" s="334"/>
      <c r="T146" s="334"/>
      <c r="U146" s="334"/>
      <c r="V146" s="334"/>
      <c r="W146" s="334"/>
      <c r="X146" s="334"/>
      <c r="Y146" s="334"/>
      <c r="Z146" s="334"/>
      <c r="AA146" s="334"/>
      <c r="AB146" s="334"/>
      <c r="AC146" s="334"/>
      <c r="AD146" s="334"/>
      <c r="AE146" s="334"/>
      <c r="AF146" s="334"/>
      <c r="AG146" s="334"/>
      <c r="AH146" s="334"/>
      <c r="AI146" s="334"/>
      <c r="AJ146" s="334"/>
      <c r="AK146" s="335"/>
      <c r="AL146" s="34"/>
      <c r="AM146" s="34"/>
      <c r="AN146" s="34"/>
      <c r="AO146" s="34"/>
      <c r="AP146" s="34"/>
      <c r="AQ146" s="34"/>
      <c r="AR146" s="34"/>
      <c r="AS146" s="34"/>
      <c r="AT146" s="34"/>
      <c r="AU146" s="34"/>
      <c r="AV146" s="34"/>
      <c r="AW146" s="34"/>
      <c r="AX146" s="33"/>
      <c r="AY146" s="33"/>
      <c r="AZ146" s="43"/>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t="s">
        <v>724</v>
      </c>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row>
    <row r="147" spans="1:136" ht="12.75" customHeight="1" x14ac:dyDescent="0.2">
      <c r="A147" s="87"/>
      <c r="B147" s="179"/>
      <c r="C147" s="180"/>
      <c r="D147" s="180"/>
      <c r="E147" s="180"/>
      <c r="F147" s="180"/>
      <c r="G147" s="180"/>
      <c r="H147" s="180"/>
      <c r="I147" s="180"/>
      <c r="J147" s="180"/>
      <c r="K147" s="180"/>
      <c r="L147" s="180"/>
      <c r="M147" s="181"/>
      <c r="N147" s="336"/>
      <c r="O147" s="337"/>
      <c r="P147" s="337"/>
      <c r="Q147" s="337"/>
      <c r="R147" s="337"/>
      <c r="S147" s="337"/>
      <c r="T147" s="337"/>
      <c r="U147" s="337"/>
      <c r="V147" s="337"/>
      <c r="W147" s="337"/>
      <c r="X147" s="337"/>
      <c r="Y147" s="337"/>
      <c r="Z147" s="337"/>
      <c r="AA147" s="337"/>
      <c r="AB147" s="337"/>
      <c r="AC147" s="337"/>
      <c r="AD147" s="337"/>
      <c r="AE147" s="337"/>
      <c r="AF147" s="337"/>
      <c r="AG147" s="337"/>
      <c r="AH147" s="337"/>
      <c r="AI147" s="337"/>
      <c r="AJ147" s="337"/>
      <c r="AK147" s="338"/>
      <c r="AL147" s="34"/>
      <c r="AM147" s="34"/>
      <c r="AN147" s="34"/>
      <c r="AO147" s="34"/>
      <c r="AP147" s="34"/>
      <c r="AQ147" s="34"/>
      <c r="AR147" s="34"/>
      <c r="AS147" s="34"/>
      <c r="AT147" s="34"/>
      <c r="AU147" s="34"/>
      <c r="AV147" s="34"/>
      <c r="AW147" s="34"/>
      <c r="AX147" s="33"/>
      <c r="AY147" s="33"/>
      <c r="AZ147" s="43"/>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row>
    <row r="148" spans="1:136" ht="12.75" customHeight="1" x14ac:dyDescent="0.2">
      <c r="A148" s="87"/>
      <c r="B148" s="363" t="s">
        <v>3506</v>
      </c>
      <c r="C148" s="177"/>
      <c r="D148" s="177"/>
      <c r="E148" s="177"/>
      <c r="F148" s="177"/>
      <c r="G148" s="177"/>
      <c r="H148" s="177"/>
      <c r="I148" s="177"/>
      <c r="J148" s="177"/>
      <c r="K148" s="177"/>
      <c r="L148" s="177"/>
      <c r="M148" s="178"/>
      <c r="N148" s="333"/>
      <c r="O148" s="334"/>
      <c r="P148" s="334"/>
      <c r="Q148" s="334"/>
      <c r="R148" s="334"/>
      <c r="S148" s="334"/>
      <c r="T148" s="334"/>
      <c r="U148" s="334"/>
      <c r="V148" s="334"/>
      <c r="W148" s="334"/>
      <c r="X148" s="334"/>
      <c r="Y148" s="334"/>
      <c r="Z148" s="334"/>
      <c r="AA148" s="334"/>
      <c r="AB148" s="334"/>
      <c r="AC148" s="334"/>
      <c r="AD148" s="334"/>
      <c r="AE148" s="334"/>
      <c r="AF148" s="334"/>
      <c r="AG148" s="334"/>
      <c r="AH148" s="334"/>
      <c r="AI148" s="334"/>
      <c r="AJ148" s="334"/>
      <c r="AK148" s="335"/>
      <c r="AL148" s="34"/>
      <c r="AM148" s="34"/>
      <c r="AN148" s="34"/>
      <c r="AO148" s="34"/>
      <c r="AP148" s="34"/>
      <c r="AQ148" s="34"/>
      <c r="AR148" s="34"/>
      <c r="AS148" s="34"/>
      <c r="AT148" s="34"/>
      <c r="AU148" s="34"/>
      <c r="AV148" s="34"/>
      <c r="AW148" s="34"/>
      <c r="AX148" s="33"/>
      <c r="AY148" s="33"/>
      <c r="AZ148" s="43"/>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t="s">
        <v>725</v>
      </c>
      <c r="DF148" s="9"/>
      <c r="DG148" s="9"/>
      <c r="DH148" s="9"/>
      <c r="DI148" s="9"/>
      <c r="DJ148" s="9"/>
      <c r="DK148" s="9"/>
      <c r="DL148" s="9"/>
      <c r="DM148" s="9"/>
      <c r="DN148" s="9"/>
      <c r="DO148" s="9"/>
      <c r="DP148" s="9"/>
      <c r="DQ148" s="9"/>
      <c r="DR148" s="9"/>
      <c r="DS148" s="9"/>
      <c r="DT148" s="9"/>
      <c r="DU148" s="9"/>
      <c r="DV148" s="9"/>
      <c r="DW148" s="9"/>
      <c r="DX148" s="9"/>
      <c r="DY148" s="9"/>
      <c r="DZ148" s="9"/>
      <c r="EA148" s="9"/>
      <c r="EB148" s="9"/>
      <c r="EC148" s="9"/>
      <c r="ED148" s="9"/>
      <c r="EE148" s="9"/>
      <c r="EF148" s="9"/>
    </row>
    <row r="149" spans="1:136" ht="12.75" customHeight="1" x14ac:dyDescent="0.2">
      <c r="A149" s="87"/>
      <c r="B149" s="179"/>
      <c r="C149" s="180"/>
      <c r="D149" s="180"/>
      <c r="E149" s="180"/>
      <c r="F149" s="180"/>
      <c r="G149" s="180"/>
      <c r="H149" s="180"/>
      <c r="I149" s="180"/>
      <c r="J149" s="180"/>
      <c r="K149" s="180"/>
      <c r="L149" s="180"/>
      <c r="M149" s="181"/>
      <c r="N149" s="336"/>
      <c r="O149" s="337"/>
      <c r="P149" s="337"/>
      <c r="Q149" s="337"/>
      <c r="R149" s="337"/>
      <c r="S149" s="337"/>
      <c r="T149" s="337"/>
      <c r="U149" s="337"/>
      <c r="V149" s="337"/>
      <c r="W149" s="337"/>
      <c r="X149" s="337"/>
      <c r="Y149" s="337"/>
      <c r="Z149" s="337"/>
      <c r="AA149" s="337"/>
      <c r="AB149" s="337"/>
      <c r="AC149" s="337"/>
      <c r="AD149" s="337"/>
      <c r="AE149" s="337"/>
      <c r="AF149" s="337"/>
      <c r="AG149" s="337"/>
      <c r="AH149" s="337"/>
      <c r="AI149" s="337"/>
      <c r="AJ149" s="337"/>
      <c r="AK149" s="338"/>
      <c r="AL149" s="34"/>
      <c r="AM149" s="34"/>
      <c r="AN149" s="34"/>
      <c r="AO149" s="34"/>
      <c r="AP149" s="34"/>
      <c r="AQ149" s="34"/>
      <c r="AR149" s="34"/>
      <c r="AS149" s="34"/>
      <c r="AT149" s="34"/>
      <c r="AU149" s="34"/>
      <c r="AV149" s="34"/>
      <c r="AW149" s="34"/>
      <c r="AX149" s="33"/>
      <c r="AY149" s="33"/>
      <c r="AZ149" s="43"/>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row>
    <row r="150" spans="1:136" ht="12.75" customHeight="1" x14ac:dyDescent="0.2">
      <c r="A150" s="87"/>
      <c r="B150" s="394" t="s">
        <v>3507</v>
      </c>
      <c r="C150" s="177"/>
      <c r="D150" s="177"/>
      <c r="E150" s="177"/>
      <c r="F150" s="177"/>
      <c r="G150" s="177"/>
      <c r="H150" s="177"/>
      <c r="I150" s="177"/>
      <c r="J150" s="177"/>
      <c r="K150" s="177"/>
      <c r="L150" s="177"/>
      <c r="M150" s="178"/>
      <c r="N150" s="333"/>
      <c r="O150" s="334"/>
      <c r="P150" s="334"/>
      <c r="Q150" s="334"/>
      <c r="R150" s="334"/>
      <c r="S150" s="334"/>
      <c r="T150" s="334"/>
      <c r="U150" s="334"/>
      <c r="V150" s="334"/>
      <c r="W150" s="334"/>
      <c r="X150" s="334"/>
      <c r="Y150" s="334"/>
      <c r="Z150" s="334"/>
      <c r="AA150" s="334"/>
      <c r="AB150" s="334"/>
      <c r="AC150" s="334"/>
      <c r="AD150" s="334"/>
      <c r="AE150" s="334"/>
      <c r="AF150" s="334"/>
      <c r="AG150" s="334"/>
      <c r="AH150" s="334"/>
      <c r="AI150" s="334"/>
      <c r="AJ150" s="334"/>
      <c r="AK150" s="335"/>
      <c r="AL150" s="34"/>
      <c r="AM150" s="34"/>
      <c r="AN150" s="34"/>
      <c r="AO150" s="34"/>
      <c r="AP150" s="34"/>
      <c r="AQ150" s="34"/>
      <c r="AR150" s="34"/>
      <c r="AS150" s="34"/>
      <c r="AT150" s="34"/>
      <c r="AU150" s="34"/>
      <c r="AV150" s="34"/>
      <c r="AW150" s="34"/>
      <c r="AX150" s="33"/>
      <c r="AY150" s="33"/>
      <c r="AZ150" s="43"/>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t="s">
        <v>726</v>
      </c>
      <c r="DF150" s="9"/>
      <c r="DG150" s="9"/>
      <c r="DH150" s="9"/>
      <c r="DI150" s="9"/>
      <c r="DJ150" s="9"/>
      <c r="DK150" s="9"/>
      <c r="DL150" s="9"/>
      <c r="DM150" s="9"/>
      <c r="DN150" s="9"/>
      <c r="DO150" s="9"/>
      <c r="DP150" s="9"/>
      <c r="DQ150" s="9"/>
      <c r="DR150" s="9"/>
      <c r="DS150" s="9"/>
      <c r="DT150" s="9"/>
      <c r="DU150" s="9"/>
      <c r="DV150" s="9"/>
      <c r="DW150" s="9"/>
      <c r="DX150" s="9"/>
      <c r="DY150" s="9"/>
      <c r="DZ150" s="9"/>
      <c r="EA150" s="9"/>
      <c r="EB150" s="9"/>
      <c r="EC150" s="9"/>
      <c r="ED150" s="9"/>
      <c r="EE150" s="9"/>
      <c r="EF150" s="9"/>
    </row>
    <row r="151" spans="1:136" ht="12.75" customHeight="1" x14ac:dyDescent="0.2">
      <c r="A151" s="87"/>
      <c r="B151" s="296" t="s">
        <v>3508</v>
      </c>
      <c r="C151" s="297"/>
      <c r="D151" s="297"/>
      <c r="E151" s="297"/>
      <c r="F151" s="297"/>
      <c r="G151" s="297"/>
      <c r="H151" s="297"/>
      <c r="I151" s="297"/>
      <c r="J151" s="297"/>
      <c r="K151" s="297"/>
      <c r="L151" s="297"/>
      <c r="M151" s="298"/>
      <c r="N151" s="336"/>
      <c r="O151" s="337"/>
      <c r="P151" s="337"/>
      <c r="Q151" s="337"/>
      <c r="R151" s="337"/>
      <c r="S151" s="337"/>
      <c r="T151" s="337"/>
      <c r="U151" s="337"/>
      <c r="V151" s="337"/>
      <c r="W151" s="337"/>
      <c r="X151" s="337"/>
      <c r="Y151" s="337"/>
      <c r="Z151" s="337"/>
      <c r="AA151" s="337"/>
      <c r="AB151" s="337"/>
      <c r="AC151" s="337"/>
      <c r="AD151" s="337"/>
      <c r="AE151" s="337"/>
      <c r="AF151" s="337"/>
      <c r="AG151" s="337"/>
      <c r="AH151" s="337"/>
      <c r="AI151" s="337"/>
      <c r="AJ151" s="337"/>
      <c r="AK151" s="338"/>
      <c r="AL151" s="34"/>
      <c r="AM151" s="34"/>
      <c r="AN151" s="34"/>
      <c r="AO151" s="34"/>
      <c r="AP151" s="34"/>
      <c r="AQ151" s="34"/>
      <c r="AR151" s="34"/>
      <c r="AS151" s="34"/>
      <c r="AT151" s="34"/>
      <c r="AU151" s="34"/>
      <c r="AV151" s="34"/>
      <c r="AW151" s="34"/>
      <c r="AX151" s="33"/>
      <c r="AY151" s="33"/>
      <c r="AZ151" s="43"/>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row>
    <row r="152" spans="1:136" ht="6" hidden="1" customHeight="1" x14ac:dyDescent="0.2">
      <c r="A152" s="48"/>
      <c r="B152" s="85"/>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62"/>
      <c r="AL152" s="34"/>
      <c r="AM152" s="34"/>
      <c r="AN152" s="34"/>
      <c r="AO152" s="34"/>
      <c r="AP152" s="34"/>
      <c r="AQ152" s="34"/>
      <c r="AR152" s="34"/>
      <c r="AS152" s="34"/>
      <c r="AT152" s="34"/>
      <c r="AU152" s="34"/>
      <c r="AV152" s="34"/>
      <c r="AW152" s="34"/>
      <c r="AX152" s="33"/>
      <c r="AY152" s="33"/>
      <c r="AZ152" s="43"/>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row>
    <row r="153" spans="1:136" ht="12.75" hidden="1" customHeight="1" x14ac:dyDescent="0.2">
      <c r="A153" s="357" t="s">
        <v>3514</v>
      </c>
      <c r="B153" s="358"/>
      <c r="C153" s="358"/>
      <c r="D153" s="358"/>
      <c r="E153" s="358"/>
      <c r="F153" s="358"/>
      <c r="G153" s="358"/>
      <c r="H153" s="358"/>
      <c r="I153" s="358"/>
      <c r="J153" s="358"/>
      <c r="K153" s="358"/>
      <c r="L153" s="358"/>
      <c r="M153" s="358"/>
      <c r="N153" s="358"/>
      <c r="O153" s="358"/>
      <c r="P153" s="358"/>
      <c r="Q153" s="358"/>
      <c r="R153" s="358"/>
      <c r="S153" s="358"/>
      <c r="T153" s="358"/>
      <c r="U153" s="358"/>
      <c r="V153" s="358"/>
      <c r="W153" s="358"/>
      <c r="X153" s="358"/>
      <c r="Y153" s="358"/>
      <c r="Z153" s="358"/>
      <c r="AA153" s="358"/>
      <c r="AB153" s="358"/>
      <c r="AC153" s="358"/>
      <c r="AD153" s="358"/>
      <c r="AE153" s="358"/>
      <c r="AF153" s="358"/>
      <c r="AG153" s="358"/>
      <c r="AH153" s="358"/>
      <c r="AI153" s="358"/>
      <c r="AJ153" s="358"/>
      <c r="AK153" s="359"/>
      <c r="AL153" s="34"/>
      <c r="AM153" s="34"/>
      <c r="AN153" s="34"/>
      <c r="AO153" s="34"/>
      <c r="AP153" s="34"/>
      <c r="AQ153" s="34"/>
      <c r="AR153" s="34"/>
      <c r="AS153" s="34"/>
      <c r="AT153" s="34"/>
      <c r="AU153" s="34"/>
      <c r="AV153" s="34"/>
      <c r="AW153" s="34"/>
      <c r="AX153" s="33"/>
      <c r="AY153" s="33"/>
      <c r="AZ153" s="43"/>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row>
    <row r="154" spans="1:136" ht="12.75" hidden="1" customHeight="1" x14ac:dyDescent="0.2">
      <c r="A154" s="96">
        <v>10</v>
      </c>
      <c r="B154" s="293" t="s">
        <v>3509</v>
      </c>
      <c r="C154" s="294"/>
      <c r="D154" s="294"/>
      <c r="E154" s="294"/>
      <c r="F154" s="294"/>
      <c r="G154" s="294"/>
      <c r="H154" s="295"/>
      <c r="I154" s="89" t="s">
        <v>3510</v>
      </c>
      <c r="J154" s="88"/>
      <c r="K154" s="88"/>
      <c r="L154" s="88"/>
      <c r="M154" s="90"/>
      <c r="N154" s="293" t="s">
        <v>3511</v>
      </c>
      <c r="O154" s="294"/>
      <c r="P154" s="294"/>
      <c r="Q154" s="294"/>
      <c r="R154" s="294"/>
      <c r="S154" s="294"/>
      <c r="T154" s="295"/>
      <c r="U154" s="293" t="s">
        <v>3512</v>
      </c>
      <c r="V154" s="294"/>
      <c r="W154" s="294"/>
      <c r="X154" s="294"/>
      <c r="Y154" s="294"/>
      <c r="Z154" s="294"/>
      <c r="AA154" s="294"/>
      <c r="AB154" s="294"/>
      <c r="AC154" s="295"/>
      <c r="AD154" s="293" t="s">
        <v>3250</v>
      </c>
      <c r="AE154" s="349"/>
      <c r="AF154" s="349"/>
      <c r="AG154" s="349"/>
      <c r="AH154" s="349"/>
      <c r="AI154" s="349"/>
      <c r="AJ154" s="349"/>
      <c r="AK154" s="350"/>
      <c r="AL154" s="34"/>
      <c r="AM154" s="34"/>
      <c r="AN154" s="34"/>
      <c r="AO154" s="34"/>
      <c r="AP154" s="34"/>
      <c r="AQ154" s="34"/>
      <c r="AR154" s="34"/>
      <c r="AS154" s="34"/>
      <c r="AT154" s="34"/>
      <c r="AU154" s="34"/>
      <c r="AV154" s="34"/>
      <c r="AW154" s="34"/>
      <c r="AX154" s="33"/>
      <c r="AY154" s="33"/>
      <c r="AZ154" s="43"/>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row>
    <row r="155" spans="1:136" ht="21" hidden="1" customHeight="1" x14ac:dyDescent="0.2">
      <c r="A155" s="87"/>
      <c r="B155" s="360"/>
      <c r="C155" s="361"/>
      <c r="D155" s="361"/>
      <c r="E155" s="361"/>
      <c r="F155" s="361"/>
      <c r="G155" s="361"/>
      <c r="H155" s="362"/>
      <c r="I155" s="360"/>
      <c r="J155" s="361"/>
      <c r="K155" s="361"/>
      <c r="L155" s="361"/>
      <c r="M155" s="362"/>
      <c r="N155" s="360"/>
      <c r="O155" s="361"/>
      <c r="P155" s="361"/>
      <c r="Q155" s="361"/>
      <c r="R155" s="361"/>
      <c r="S155" s="361"/>
      <c r="T155" s="362"/>
      <c r="U155" s="360"/>
      <c r="V155" s="361"/>
      <c r="W155" s="361"/>
      <c r="X155" s="361"/>
      <c r="Y155" s="361"/>
      <c r="Z155" s="361"/>
      <c r="AA155" s="361"/>
      <c r="AB155" s="361"/>
      <c r="AC155" s="362"/>
      <c r="AD155" s="368"/>
      <c r="AE155" s="369"/>
      <c r="AF155" s="369"/>
      <c r="AG155" s="369"/>
      <c r="AH155" s="369"/>
      <c r="AI155" s="369"/>
      <c r="AJ155" s="369"/>
      <c r="AK155" s="370"/>
      <c r="AL155" s="34"/>
      <c r="AM155" s="34"/>
      <c r="AN155" s="34"/>
      <c r="AO155" s="34"/>
      <c r="AP155" s="34"/>
      <c r="AQ155" s="34"/>
      <c r="AR155" s="34"/>
      <c r="AS155" s="34"/>
      <c r="AT155" s="34"/>
      <c r="AU155" s="34"/>
      <c r="AV155" s="34"/>
      <c r="AW155" s="34"/>
      <c r="AX155" s="33"/>
      <c r="AY155" s="33"/>
      <c r="AZ155" s="43"/>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t="s">
        <v>727</v>
      </c>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row>
    <row r="156" spans="1:136" ht="12.75" customHeight="1" x14ac:dyDescent="0.2">
      <c r="A156" s="87"/>
      <c r="B156" s="377" t="s">
        <v>3513</v>
      </c>
      <c r="C156" s="378"/>
      <c r="D156" s="378"/>
      <c r="E156" s="378"/>
      <c r="F156" s="378"/>
      <c r="G156" s="378"/>
      <c r="H156" s="378"/>
      <c r="I156" s="378"/>
      <c r="J156" s="378"/>
      <c r="K156" s="378"/>
      <c r="L156" s="378"/>
      <c r="M156" s="378"/>
      <c r="N156" s="378"/>
      <c r="O156" s="378"/>
      <c r="P156" s="378"/>
      <c r="Q156" s="378"/>
      <c r="R156" s="378"/>
      <c r="S156" s="378"/>
      <c r="T156" s="378"/>
      <c r="U156" s="389"/>
      <c r="V156" s="390"/>
      <c r="W156" s="390"/>
      <c r="X156" s="390"/>
      <c r="Y156" s="390"/>
      <c r="Z156" s="390"/>
      <c r="AA156" s="390"/>
      <c r="AB156" s="390"/>
      <c r="AC156" s="390"/>
      <c r="AD156" s="390"/>
      <c r="AE156" s="391"/>
      <c r="AF156" s="365"/>
      <c r="AG156" s="366"/>
      <c r="AH156" s="366"/>
      <c r="AI156" s="366"/>
      <c r="AJ156" s="366"/>
      <c r="AK156" s="367"/>
      <c r="AL156" s="105"/>
      <c r="AM156" s="34"/>
      <c r="AN156" s="34"/>
      <c r="AO156" s="34"/>
      <c r="AP156" s="34"/>
      <c r="AQ156" s="34"/>
      <c r="AR156" s="34"/>
      <c r="AS156" s="34"/>
      <c r="AT156" s="34"/>
      <c r="AU156" s="34"/>
      <c r="AV156" s="34"/>
      <c r="AW156" s="34"/>
      <c r="AX156" s="33"/>
      <c r="AY156" s="33"/>
      <c r="AZ156" s="43"/>
      <c r="BD156" s="21">
        <v>112</v>
      </c>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t="s">
        <v>728</v>
      </c>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row>
    <row r="157" spans="1:136" ht="6" customHeight="1" x14ac:dyDescent="0.2">
      <c r="A157" s="48"/>
      <c r="B157" s="85"/>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62"/>
      <c r="AL157" s="34"/>
      <c r="AM157" s="34"/>
      <c r="AN157" s="34"/>
      <c r="AO157" s="34"/>
      <c r="AP157" s="34"/>
      <c r="AQ157" s="34"/>
      <c r="AR157" s="34"/>
      <c r="AS157" s="34"/>
      <c r="AT157" s="34"/>
      <c r="AU157" s="34"/>
      <c r="AV157" s="34"/>
      <c r="AW157" s="34"/>
      <c r="AX157" s="33"/>
      <c r="AY157" s="33"/>
      <c r="AZ157" s="43"/>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row>
    <row r="158" spans="1:136" ht="12.75" customHeight="1" x14ac:dyDescent="0.2">
      <c r="A158" s="357" t="s">
        <v>3535</v>
      </c>
      <c r="B158" s="358"/>
      <c r="C158" s="358"/>
      <c r="D158" s="358"/>
      <c r="E158" s="358"/>
      <c r="F158" s="358"/>
      <c r="G158" s="358"/>
      <c r="H158" s="358"/>
      <c r="I158" s="358"/>
      <c r="J158" s="358"/>
      <c r="K158" s="358"/>
      <c r="L158" s="358"/>
      <c r="M158" s="358"/>
      <c r="N158" s="358"/>
      <c r="O158" s="358"/>
      <c r="P158" s="358"/>
      <c r="Q158" s="358"/>
      <c r="R158" s="358"/>
      <c r="S158" s="358"/>
      <c r="T158" s="358"/>
      <c r="U158" s="358"/>
      <c r="V158" s="358"/>
      <c r="W158" s="358"/>
      <c r="X158" s="358"/>
      <c r="Y158" s="358"/>
      <c r="Z158" s="358"/>
      <c r="AA158" s="358"/>
      <c r="AB158" s="358"/>
      <c r="AC158" s="358"/>
      <c r="AD158" s="358"/>
      <c r="AE158" s="358"/>
      <c r="AF158" s="358"/>
      <c r="AG158" s="358"/>
      <c r="AH158" s="358"/>
      <c r="AI158" s="358"/>
      <c r="AJ158" s="358"/>
      <c r="AK158" s="359"/>
      <c r="AL158" s="34"/>
      <c r="AM158" s="34"/>
      <c r="AN158" s="34"/>
      <c r="AO158" s="34"/>
      <c r="AP158" s="34"/>
      <c r="AQ158" s="34"/>
      <c r="AR158" s="34"/>
      <c r="AS158" s="34"/>
      <c r="AT158" s="34"/>
      <c r="AU158" s="34"/>
      <c r="AV158" s="34"/>
      <c r="AW158" s="34"/>
      <c r="AX158" s="33"/>
      <c r="AY158" s="33"/>
      <c r="AZ158" s="43"/>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row>
    <row r="159" spans="1:136" ht="19.5" customHeight="1" x14ac:dyDescent="0.2">
      <c r="A159" s="94">
        <v>10</v>
      </c>
      <c r="B159" s="330" t="s">
        <v>3536</v>
      </c>
      <c r="C159" s="331"/>
      <c r="D159" s="331"/>
      <c r="E159" s="331"/>
      <c r="F159" s="331"/>
      <c r="G159" s="331"/>
      <c r="H159" s="331"/>
      <c r="I159" s="331"/>
      <c r="J159" s="331"/>
      <c r="K159" s="331"/>
      <c r="L159" s="331"/>
      <c r="M159" s="331"/>
      <c r="N159" s="331"/>
      <c r="O159" s="331"/>
      <c r="P159" s="331"/>
      <c r="Q159" s="331"/>
      <c r="R159" s="331"/>
      <c r="S159" s="331"/>
      <c r="T159" s="331"/>
      <c r="U159" s="331"/>
      <c r="V159" s="331"/>
      <c r="W159" s="331"/>
      <c r="X159" s="331"/>
      <c r="Y159" s="331"/>
      <c r="Z159" s="331"/>
      <c r="AA159" s="331"/>
      <c r="AB159" s="331"/>
      <c r="AC159" s="331"/>
      <c r="AD159" s="331"/>
      <c r="AE159" s="331"/>
      <c r="AF159" s="331"/>
      <c r="AG159" s="332"/>
      <c r="AH159" s="98"/>
      <c r="AI159" s="98"/>
      <c r="AJ159" s="98"/>
      <c r="AK159" s="99"/>
      <c r="AL159" s="379" t="s">
        <v>729</v>
      </c>
      <c r="AM159" s="380"/>
      <c r="AN159" s="380"/>
      <c r="AO159" s="380"/>
      <c r="AP159" s="380"/>
      <c r="AQ159" s="380"/>
      <c r="AR159" s="380"/>
      <c r="AS159" s="380"/>
      <c r="AT159" s="380"/>
      <c r="AU159" s="380"/>
      <c r="AV159" s="380"/>
      <c r="AW159" s="32"/>
      <c r="AX159" s="33"/>
      <c r="AY159" s="33"/>
      <c r="AZ159" s="43"/>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t="s">
        <v>730</v>
      </c>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row>
    <row r="160" spans="1:136" x14ac:dyDescent="0.2">
      <c r="A160" s="60"/>
      <c r="B160" s="351"/>
      <c r="C160" s="352"/>
      <c r="D160" s="352"/>
      <c r="E160" s="352"/>
      <c r="F160" s="352"/>
      <c r="G160" s="352"/>
      <c r="H160" s="352"/>
      <c r="I160" s="352"/>
      <c r="J160" s="352"/>
      <c r="K160" s="352"/>
      <c r="L160" s="352"/>
      <c r="M160" s="352"/>
      <c r="N160" s="352"/>
      <c r="O160" s="352"/>
      <c r="P160" s="352"/>
      <c r="Q160" s="352"/>
      <c r="R160" s="352"/>
      <c r="S160" s="352"/>
      <c r="T160" s="352"/>
      <c r="U160" s="352"/>
      <c r="V160" s="352"/>
      <c r="W160" s="352"/>
      <c r="X160" s="352"/>
      <c r="Y160" s="352"/>
      <c r="Z160" s="352"/>
      <c r="AA160" s="352"/>
      <c r="AB160" s="352"/>
      <c r="AC160" s="352"/>
      <c r="AD160" s="352"/>
      <c r="AE160" s="352"/>
      <c r="AF160" s="352"/>
      <c r="AG160" s="352"/>
      <c r="AH160" s="352"/>
      <c r="AI160" s="352"/>
      <c r="AJ160" s="352"/>
      <c r="AK160" s="353"/>
      <c r="AL160" s="32"/>
      <c r="AM160" s="32"/>
      <c r="AN160" s="32"/>
      <c r="AO160" s="32"/>
      <c r="AP160" s="32"/>
      <c r="AQ160" s="32"/>
      <c r="AR160" s="32"/>
      <c r="AS160" s="32"/>
      <c r="AT160" s="32"/>
      <c r="AU160" s="32"/>
      <c r="AV160" s="32"/>
      <c r="AW160" s="32"/>
      <c r="AX160" s="33"/>
      <c r="AY160" s="33"/>
      <c r="AZ160" s="43"/>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t="s">
        <v>731</v>
      </c>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row>
    <row r="161" spans="1:136" ht="23.1" customHeight="1" x14ac:dyDescent="0.2">
      <c r="A161" s="60"/>
      <c r="B161" s="354"/>
      <c r="C161" s="355"/>
      <c r="D161" s="355"/>
      <c r="E161" s="355"/>
      <c r="F161" s="355"/>
      <c r="G161" s="355"/>
      <c r="H161" s="355"/>
      <c r="I161" s="355"/>
      <c r="J161" s="355"/>
      <c r="K161" s="355"/>
      <c r="L161" s="355"/>
      <c r="M161" s="355"/>
      <c r="N161" s="355"/>
      <c r="O161" s="355"/>
      <c r="P161" s="355"/>
      <c r="Q161" s="355"/>
      <c r="R161" s="355"/>
      <c r="S161" s="355"/>
      <c r="T161" s="355"/>
      <c r="U161" s="355"/>
      <c r="V161" s="355"/>
      <c r="W161" s="355"/>
      <c r="X161" s="355"/>
      <c r="Y161" s="355"/>
      <c r="Z161" s="355"/>
      <c r="AA161" s="355"/>
      <c r="AB161" s="355"/>
      <c r="AC161" s="355"/>
      <c r="AD161" s="355"/>
      <c r="AE161" s="355"/>
      <c r="AF161" s="355"/>
      <c r="AG161" s="355"/>
      <c r="AH161" s="355"/>
      <c r="AI161" s="355"/>
      <c r="AJ161" s="355"/>
      <c r="AK161" s="356"/>
      <c r="AL161" s="104"/>
      <c r="AM161" s="32"/>
      <c r="AN161" s="32"/>
      <c r="AO161" s="32"/>
      <c r="AP161" s="32"/>
      <c r="AQ161" s="32"/>
      <c r="AR161" s="32"/>
      <c r="AS161" s="32"/>
      <c r="AT161" s="32"/>
      <c r="AU161" s="32"/>
      <c r="AV161" s="32"/>
      <c r="AW161" s="32"/>
      <c r="AX161" s="33"/>
      <c r="AY161" s="33"/>
      <c r="AZ161" s="43"/>
      <c r="BD161" s="21">
        <v>113</v>
      </c>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t="s">
        <v>732</v>
      </c>
      <c r="DF161" s="9"/>
      <c r="DG161" s="9"/>
      <c r="DH161" s="9"/>
      <c r="DI161" s="9"/>
      <c r="DJ161" s="9"/>
      <c r="DK161" s="9"/>
      <c r="DL161" s="9"/>
      <c r="DM161" s="9"/>
      <c r="DN161" s="9"/>
      <c r="DO161" s="9"/>
      <c r="DP161" s="9"/>
      <c r="DQ161" s="9"/>
      <c r="DR161" s="9"/>
      <c r="DS161" s="9"/>
      <c r="DT161" s="9"/>
      <c r="DU161" s="9"/>
      <c r="DV161" s="9"/>
      <c r="DW161" s="9"/>
      <c r="DX161" s="9"/>
      <c r="DY161" s="9"/>
      <c r="DZ161" s="9"/>
      <c r="EA161" s="9"/>
      <c r="EB161" s="9"/>
      <c r="EC161" s="9"/>
      <c r="ED161" s="9"/>
      <c r="EE161" s="9"/>
      <c r="EF161" s="9"/>
    </row>
    <row r="162" spans="1:136" ht="6" customHeight="1" x14ac:dyDescent="0.2">
      <c r="A162" s="60"/>
      <c r="B162" s="341"/>
      <c r="C162" s="342"/>
      <c r="D162" s="342"/>
      <c r="E162" s="342"/>
      <c r="F162" s="342"/>
      <c r="G162" s="342"/>
      <c r="H162" s="342"/>
      <c r="I162" s="342"/>
      <c r="J162" s="342"/>
      <c r="K162" s="342"/>
      <c r="L162" s="342"/>
      <c r="M162" s="342"/>
      <c r="N162" s="342"/>
      <c r="O162" s="342"/>
      <c r="P162" s="342"/>
      <c r="Q162" s="342"/>
      <c r="R162" s="342"/>
      <c r="S162" s="342"/>
      <c r="T162" s="342"/>
      <c r="U162" s="342"/>
      <c r="V162" s="342"/>
      <c r="W162" s="342"/>
      <c r="X162" s="342"/>
      <c r="Y162" s="342"/>
      <c r="Z162" s="342"/>
      <c r="AA162" s="342"/>
      <c r="AB162" s="342"/>
      <c r="AC162" s="342"/>
      <c r="AD162" s="342"/>
      <c r="AE162" s="342"/>
      <c r="AF162" s="342"/>
      <c r="AG162" s="342"/>
      <c r="AH162" s="342"/>
      <c r="AI162" s="342"/>
      <c r="AJ162" s="342"/>
      <c r="AK162" s="343"/>
      <c r="AL162" s="32"/>
      <c r="AM162" s="32"/>
      <c r="AN162" s="32"/>
      <c r="AO162" s="32"/>
      <c r="AP162" s="32"/>
      <c r="AQ162" s="32"/>
      <c r="AR162" s="32"/>
      <c r="AS162" s="32"/>
      <c r="AT162" s="32"/>
      <c r="AU162" s="32"/>
      <c r="AV162" s="32"/>
      <c r="AW162" s="32"/>
      <c r="AX162" s="33"/>
      <c r="AY162" s="33"/>
      <c r="AZ162" s="43"/>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c r="DX162" s="9"/>
      <c r="DY162" s="9"/>
      <c r="DZ162" s="9"/>
      <c r="EA162" s="9"/>
      <c r="EB162" s="9"/>
      <c r="EC162" s="9"/>
      <c r="ED162" s="9"/>
      <c r="EE162" s="9"/>
      <c r="EF162" s="9"/>
    </row>
    <row r="163" spans="1:136" ht="19.5" customHeight="1" x14ac:dyDescent="0.2">
      <c r="A163" s="94"/>
      <c r="B163" s="330" t="s">
        <v>3537</v>
      </c>
      <c r="C163" s="331"/>
      <c r="D163" s="331"/>
      <c r="E163" s="331"/>
      <c r="F163" s="331"/>
      <c r="G163" s="331"/>
      <c r="H163" s="331"/>
      <c r="I163" s="331"/>
      <c r="J163" s="331"/>
      <c r="K163" s="331"/>
      <c r="L163" s="331"/>
      <c r="M163" s="331"/>
      <c r="N163" s="331"/>
      <c r="O163" s="331"/>
      <c r="P163" s="331"/>
      <c r="Q163" s="331"/>
      <c r="R163" s="331"/>
      <c r="S163" s="331"/>
      <c r="T163" s="331"/>
      <c r="U163" s="331"/>
      <c r="V163" s="331"/>
      <c r="W163" s="331"/>
      <c r="X163" s="331"/>
      <c r="Y163" s="331"/>
      <c r="Z163" s="331"/>
      <c r="AA163" s="331"/>
      <c r="AB163" s="331"/>
      <c r="AC163" s="331"/>
      <c r="AD163" s="331"/>
      <c r="AE163" s="331"/>
      <c r="AF163" s="331"/>
      <c r="AG163" s="332"/>
      <c r="AH163" s="98"/>
      <c r="AI163" s="98"/>
      <c r="AJ163" s="98"/>
      <c r="AK163" s="99"/>
      <c r="AL163" s="379" t="s">
        <v>733</v>
      </c>
      <c r="AM163" s="380"/>
      <c r="AN163" s="380"/>
      <c r="AO163" s="380"/>
      <c r="AP163" s="380"/>
      <c r="AQ163" s="380"/>
      <c r="AR163" s="380"/>
      <c r="AS163" s="380"/>
      <c r="AT163" s="380"/>
      <c r="AU163" s="380"/>
      <c r="AV163" s="380"/>
      <c r="AW163" s="32"/>
      <c r="AX163" s="33"/>
      <c r="AY163" s="33"/>
      <c r="AZ163" s="43"/>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t="s">
        <v>734</v>
      </c>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row>
    <row r="164" spans="1:136" x14ac:dyDescent="0.2">
      <c r="A164" s="60"/>
      <c r="B164" s="351"/>
      <c r="C164" s="352"/>
      <c r="D164" s="352"/>
      <c r="E164" s="352"/>
      <c r="F164" s="352"/>
      <c r="G164" s="352"/>
      <c r="H164" s="352"/>
      <c r="I164" s="352"/>
      <c r="J164" s="352"/>
      <c r="K164" s="352"/>
      <c r="L164" s="352"/>
      <c r="M164" s="352"/>
      <c r="N164" s="352"/>
      <c r="O164" s="352"/>
      <c r="P164" s="352"/>
      <c r="Q164" s="352"/>
      <c r="R164" s="352"/>
      <c r="S164" s="352"/>
      <c r="T164" s="352"/>
      <c r="U164" s="352"/>
      <c r="V164" s="352"/>
      <c r="W164" s="352"/>
      <c r="X164" s="352"/>
      <c r="Y164" s="352"/>
      <c r="Z164" s="352"/>
      <c r="AA164" s="352"/>
      <c r="AB164" s="352"/>
      <c r="AC164" s="352"/>
      <c r="AD164" s="352"/>
      <c r="AE164" s="352"/>
      <c r="AF164" s="352"/>
      <c r="AG164" s="352"/>
      <c r="AH164" s="352"/>
      <c r="AI164" s="352"/>
      <c r="AJ164" s="352"/>
      <c r="AK164" s="353"/>
      <c r="AL164" s="32"/>
      <c r="AM164" s="32"/>
      <c r="AN164" s="32"/>
      <c r="AO164" s="32"/>
      <c r="AP164" s="32"/>
      <c r="AQ164" s="32"/>
      <c r="AR164" s="32"/>
      <c r="AS164" s="32"/>
      <c r="AT164" s="32"/>
      <c r="AU164" s="32"/>
      <c r="AV164" s="32"/>
      <c r="AW164" s="32"/>
      <c r="AX164" s="33"/>
      <c r="AY164" s="33"/>
      <c r="AZ164" s="43"/>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t="s">
        <v>735</v>
      </c>
      <c r="DF164" s="9"/>
      <c r="DG164" s="9"/>
      <c r="DH164" s="9"/>
      <c r="DI164" s="9"/>
      <c r="DJ164" s="9"/>
      <c r="DK164" s="9"/>
      <c r="DL164" s="9"/>
      <c r="DM164" s="9"/>
      <c r="DN164" s="9"/>
      <c r="DO164" s="9"/>
      <c r="DP164" s="9"/>
      <c r="DQ164" s="9"/>
      <c r="DR164" s="9"/>
      <c r="DS164" s="9"/>
      <c r="DT164" s="9"/>
      <c r="DU164" s="9"/>
      <c r="DV164" s="9"/>
      <c r="DW164" s="9"/>
      <c r="DX164" s="9"/>
      <c r="DY164" s="9"/>
      <c r="DZ164" s="9"/>
      <c r="EA164" s="9"/>
      <c r="EB164" s="9"/>
      <c r="EC164" s="9"/>
      <c r="ED164" s="9"/>
      <c r="EE164" s="9"/>
      <c r="EF164" s="9"/>
    </row>
    <row r="165" spans="1:136" ht="23.1" customHeight="1" x14ac:dyDescent="0.2">
      <c r="A165" s="60"/>
      <c r="B165" s="354"/>
      <c r="C165" s="355"/>
      <c r="D165" s="355"/>
      <c r="E165" s="355"/>
      <c r="F165" s="355"/>
      <c r="G165" s="355"/>
      <c r="H165" s="355"/>
      <c r="I165" s="355"/>
      <c r="J165" s="355"/>
      <c r="K165" s="355"/>
      <c r="L165" s="355"/>
      <c r="M165" s="355"/>
      <c r="N165" s="355"/>
      <c r="O165" s="355"/>
      <c r="P165" s="355"/>
      <c r="Q165" s="355"/>
      <c r="R165" s="355"/>
      <c r="S165" s="355"/>
      <c r="T165" s="355"/>
      <c r="U165" s="355"/>
      <c r="V165" s="355"/>
      <c r="W165" s="355"/>
      <c r="X165" s="355"/>
      <c r="Y165" s="355"/>
      <c r="Z165" s="355"/>
      <c r="AA165" s="355"/>
      <c r="AB165" s="355"/>
      <c r="AC165" s="355"/>
      <c r="AD165" s="355"/>
      <c r="AE165" s="355"/>
      <c r="AF165" s="355"/>
      <c r="AG165" s="355"/>
      <c r="AH165" s="355"/>
      <c r="AI165" s="355"/>
      <c r="AJ165" s="355"/>
      <c r="AK165" s="356"/>
      <c r="AL165" s="61"/>
      <c r="AM165" s="32"/>
      <c r="AN165" s="32"/>
      <c r="AO165" s="32"/>
      <c r="AP165" s="32"/>
      <c r="AQ165" s="32"/>
      <c r="AR165" s="32"/>
      <c r="AS165" s="32"/>
      <c r="AT165" s="32"/>
      <c r="AU165" s="32"/>
      <c r="AV165" s="32"/>
      <c r="AW165" s="32"/>
      <c r="AX165" s="33"/>
      <c r="AY165" s="33"/>
      <c r="AZ165" s="43"/>
      <c r="BD165" s="21">
        <v>114</v>
      </c>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t="s">
        <v>736</v>
      </c>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row>
    <row r="166" spans="1:136" ht="6" customHeight="1" x14ac:dyDescent="0.2">
      <c r="A166" s="60"/>
      <c r="B166" s="341"/>
      <c r="C166" s="342"/>
      <c r="D166" s="342"/>
      <c r="E166" s="342"/>
      <c r="F166" s="342"/>
      <c r="G166" s="342"/>
      <c r="H166" s="342"/>
      <c r="I166" s="342"/>
      <c r="J166" s="342"/>
      <c r="K166" s="342"/>
      <c r="L166" s="342"/>
      <c r="M166" s="342"/>
      <c r="N166" s="342"/>
      <c r="O166" s="342"/>
      <c r="P166" s="342"/>
      <c r="Q166" s="342"/>
      <c r="R166" s="342"/>
      <c r="S166" s="342"/>
      <c r="T166" s="342"/>
      <c r="U166" s="342"/>
      <c r="V166" s="342"/>
      <c r="W166" s="342"/>
      <c r="X166" s="342"/>
      <c r="Y166" s="342"/>
      <c r="Z166" s="342"/>
      <c r="AA166" s="342"/>
      <c r="AB166" s="342"/>
      <c r="AC166" s="342"/>
      <c r="AD166" s="342"/>
      <c r="AE166" s="342"/>
      <c r="AF166" s="342"/>
      <c r="AG166" s="342"/>
      <c r="AH166" s="342"/>
      <c r="AI166" s="342"/>
      <c r="AJ166" s="342"/>
      <c r="AK166" s="343"/>
      <c r="AL166" s="32"/>
      <c r="AM166" s="32"/>
      <c r="AN166" s="32"/>
      <c r="AO166" s="32"/>
      <c r="AP166" s="32"/>
      <c r="AQ166" s="32"/>
      <c r="AR166" s="32"/>
      <c r="AS166" s="32"/>
      <c r="AT166" s="32"/>
      <c r="AU166" s="32"/>
      <c r="AV166" s="32"/>
      <c r="AW166" s="32"/>
      <c r="AX166" s="33"/>
      <c r="AY166" s="33"/>
      <c r="AZ166" s="43"/>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row>
    <row r="167" spans="1:136" ht="19.5" customHeight="1" x14ac:dyDescent="0.2">
      <c r="A167" s="94"/>
      <c r="B167" s="330" t="s">
        <v>3538</v>
      </c>
      <c r="C167" s="331"/>
      <c r="D167" s="331"/>
      <c r="E167" s="331"/>
      <c r="F167" s="331"/>
      <c r="G167" s="331"/>
      <c r="H167" s="331"/>
      <c r="I167" s="331"/>
      <c r="J167" s="331"/>
      <c r="K167" s="331"/>
      <c r="L167" s="331"/>
      <c r="M167" s="331"/>
      <c r="N167" s="331"/>
      <c r="O167" s="331"/>
      <c r="P167" s="331"/>
      <c r="Q167" s="331"/>
      <c r="R167" s="331"/>
      <c r="S167" s="331"/>
      <c r="T167" s="331"/>
      <c r="U167" s="331"/>
      <c r="V167" s="331"/>
      <c r="W167" s="331"/>
      <c r="X167" s="331"/>
      <c r="Y167" s="331"/>
      <c r="Z167" s="331"/>
      <c r="AA167" s="331"/>
      <c r="AB167" s="331"/>
      <c r="AC167" s="331"/>
      <c r="AD167" s="331"/>
      <c r="AE167" s="331"/>
      <c r="AF167" s="331"/>
      <c r="AG167" s="332"/>
      <c r="AH167" s="98"/>
      <c r="AI167" s="98"/>
      <c r="AJ167" s="98"/>
      <c r="AK167" s="99"/>
      <c r="AL167" s="379" t="s">
        <v>737</v>
      </c>
      <c r="AM167" s="380"/>
      <c r="AN167" s="380"/>
      <c r="AO167" s="380"/>
      <c r="AP167" s="380"/>
      <c r="AQ167" s="380"/>
      <c r="AR167" s="380"/>
      <c r="AS167" s="380"/>
      <c r="AT167" s="380"/>
      <c r="AU167" s="380"/>
      <c r="AV167" s="380"/>
      <c r="AW167" s="32"/>
      <c r="AX167" s="33"/>
      <c r="AY167" s="33"/>
      <c r="AZ167" s="43"/>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t="s">
        <v>738</v>
      </c>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row>
    <row r="168" spans="1:136" x14ac:dyDescent="0.2">
      <c r="A168" s="60"/>
      <c r="B168" s="351"/>
      <c r="C168" s="352"/>
      <c r="D168" s="352"/>
      <c r="E168" s="352"/>
      <c r="F168" s="352"/>
      <c r="G168" s="352"/>
      <c r="H168" s="352"/>
      <c r="I168" s="352"/>
      <c r="J168" s="352"/>
      <c r="K168" s="352"/>
      <c r="L168" s="352"/>
      <c r="M168" s="352"/>
      <c r="N168" s="352"/>
      <c r="O168" s="352"/>
      <c r="P168" s="352"/>
      <c r="Q168" s="352"/>
      <c r="R168" s="352"/>
      <c r="S168" s="352"/>
      <c r="T168" s="352"/>
      <c r="U168" s="352"/>
      <c r="V168" s="352"/>
      <c r="W168" s="352"/>
      <c r="X168" s="352"/>
      <c r="Y168" s="352"/>
      <c r="Z168" s="352"/>
      <c r="AA168" s="352"/>
      <c r="AB168" s="352"/>
      <c r="AC168" s="352"/>
      <c r="AD168" s="352"/>
      <c r="AE168" s="352"/>
      <c r="AF168" s="352"/>
      <c r="AG168" s="352"/>
      <c r="AH168" s="352"/>
      <c r="AI168" s="352"/>
      <c r="AJ168" s="352"/>
      <c r="AK168" s="353"/>
      <c r="AL168" s="32"/>
      <c r="AM168" s="32"/>
      <c r="AN168" s="32"/>
      <c r="AO168" s="32"/>
      <c r="AP168" s="32"/>
      <c r="AQ168" s="32"/>
      <c r="AR168" s="32"/>
      <c r="AS168" s="32"/>
      <c r="AT168" s="32"/>
      <c r="AU168" s="32"/>
      <c r="AV168" s="32"/>
      <c r="AW168" s="32"/>
      <c r="AX168" s="33"/>
      <c r="AY168" s="33"/>
      <c r="AZ168" s="43"/>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t="s">
        <v>739</v>
      </c>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row>
    <row r="169" spans="1:136" ht="23.1" customHeight="1" x14ac:dyDescent="0.2">
      <c r="A169" s="60"/>
      <c r="B169" s="354"/>
      <c r="C169" s="355"/>
      <c r="D169" s="355"/>
      <c r="E169" s="355"/>
      <c r="F169" s="355"/>
      <c r="G169" s="355"/>
      <c r="H169" s="355"/>
      <c r="I169" s="355"/>
      <c r="J169" s="355"/>
      <c r="K169" s="355"/>
      <c r="L169" s="355"/>
      <c r="M169" s="355"/>
      <c r="N169" s="355"/>
      <c r="O169" s="355"/>
      <c r="P169" s="355"/>
      <c r="Q169" s="355"/>
      <c r="R169" s="355"/>
      <c r="S169" s="355"/>
      <c r="T169" s="355"/>
      <c r="U169" s="355"/>
      <c r="V169" s="355"/>
      <c r="W169" s="355"/>
      <c r="X169" s="355"/>
      <c r="Y169" s="355"/>
      <c r="Z169" s="355"/>
      <c r="AA169" s="355"/>
      <c r="AB169" s="355"/>
      <c r="AC169" s="355"/>
      <c r="AD169" s="355"/>
      <c r="AE169" s="355"/>
      <c r="AF169" s="355"/>
      <c r="AG169" s="355"/>
      <c r="AH169" s="355"/>
      <c r="AI169" s="355"/>
      <c r="AJ169" s="355"/>
      <c r="AK169" s="356"/>
      <c r="AL169" s="61"/>
      <c r="AM169" s="32"/>
      <c r="AN169" s="32"/>
      <c r="AO169" s="32"/>
      <c r="AP169" s="32"/>
      <c r="AQ169" s="32"/>
      <c r="AR169" s="32"/>
      <c r="AS169" s="32"/>
      <c r="AT169" s="32"/>
      <c r="AU169" s="32"/>
      <c r="AV169" s="32"/>
      <c r="AW169" s="32"/>
      <c r="AX169" s="33"/>
      <c r="AY169" s="33"/>
      <c r="AZ169" s="43"/>
      <c r="BD169" s="21">
        <v>115</v>
      </c>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t="s">
        <v>740</v>
      </c>
      <c r="DF169" s="9"/>
      <c r="DG169" s="9"/>
      <c r="DH169" s="9"/>
      <c r="DI169" s="9"/>
      <c r="DJ169" s="9"/>
      <c r="DK169" s="9"/>
      <c r="DL169" s="9"/>
      <c r="DM169" s="9"/>
      <c r="DN169" s="9"/>
      <c r="DO169" s="9"/>
      <c r="DP169" s="9"/>
      <c r="DQ169" s="9"/>
      <c r="DR169" s="9"/>
      <c r="DS169" s="9"/>
      <c r="DT169" s="9"/>
      <c r="DU169" s="9"/>
      <c r="DV169" s="9"/>
      <c r="DW169" s="9"/>
      <c r="DX169" s="9"/>
      <c r="DY169" s="9"/>
      <c r="DZ169" s="9"/>
      <c r="EA169" s="9"/>
      <c r="EB169" s="9"/>
      <c r="EC169" s="9"/>
      <c r="ED169" s="9"/>
      <c r="EE169" s="9"/>
      <c r="EF169" s="9"/>
    </row>
    <row r="170" spans="1:136" ht="6" customHeight="1" x14ac:dyDescent="0.2">
      <c r="A170" s="60"/>
      <c r="B170" s="341"/>
      <c r="C170" s="342"/>
      <c r="D170" s="342"/>
      <c r="E170" s="342"/>
      <c r="F170" s="342"/>
      <c r="G170" s="342"/>
      <c r="H170" s="342"/>
      <c r="I170" s="342"/>
      <c r="J170" s="342"/>
      <c r="K170" s="342"/>
      <c r="L170" s="342"/>
      <c r="M170" s="342"/>
      <c r="N170" s="342"/>
      <c r="O170" s="342"/>
      <c r="P170" s="342"/>
      <c r="Q170" s="342"/>
      <c r="R170" s="342"/>
      <c r="S170" s="342"/>
      <c r="T170" s="342"/>
      <c r="U170" s="342"/>
      <c r="V170" s="342"/>
      <c r="W170" s="342"/>
      <c r="X170" s="342"/>
      <c r="Y170" s="342"/>
      <c r="Z170" s="342"/>
      <c r="AA170" s="342"/>
      <c r="AB170" s="342"/>
      <c r="AC170" s="342"/>
      <c r="AD170" s="342"/>
      <c r="AE170" s="342"/>
      <c r="AF170" s="342"/>
      <c r="AG170" s="342"/>
      <c r="AH170" s="342"/>
      <c r="AI170" s="342"/>
      <c r="AJ170" s="342"/>
      <c r="AK170" s="343"/>
      <c r="AL170" s="32"/>
      <c r="AM170" s="32"/>
      <c r="AN170" s="32"/>
      <c r="AO170" s="32"/>
      <c r="AP170" s="32"/>
      <c r="AQ170" s="32"/>
      <c r="AR170" s="32"/>
      <c r="AS170" s="32"/>
      <c r="AT170" s="32"/>
      <c r="AU170" s="32"/>
      <c r="AV170" s="32"/>
      <c r="AW170" s="32"/>
      <c r="AX170" s="33"/>
      <c r="AY170" s="33"/>
      <c r="AZ170" s="43"/>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c r="DX170" s="9"/>
      <c r="DY170" s="9"/>
      <c r="DZ170" s="9"/>
      <c r="EA170" s="9"/>
      <c r="EB170" s="9"/>
      <c r="EC170" s="9"/>
      <c r="ED170" s="9"/>
      <c r="EE170" s="9"/>
      <c r="EF170" s="9"/>
    </row>
    <row r="171" spans="1:136" ht="19.5" customHeight="1" x14ac:dyDescent="0.2">
      <c r="A171" s="94"/>
      <c r="B171" s="330" t="s">
        <v>3539</v>
      </c>
      <c r="C171" s="331"/>
      <c r="D171" s="331"/>
      <c r="E171" s="331"/>
      <c r="F171" s="331"/>
      <c r="G171" s="331"/>
      <c r="H171" s="331"/>
      <c r="I171" s="331"/>
      <c r="J171" s="331"/>
      <c r="K171" s="331"/>
      <c r="L171" s="331"/>
      <c r="M171" s="331"/>
      <c r="N171" s="331"/>
      <c r="O171" s="331"/>
      <c r="P171" s="331"/>
      <c r="Q171" s="331"/>
      <c r="R171" s="331"/>
      <c r="S171" s="331"/>
      <c r="T171" s="331"/>
      <c r="U171" s="331"/>
      <c r="V171" s="331"/>
      <c r="W171" s="331"/>
      <c r="X171" s="331"/>
      <c r="Y171" s="331"/>
      <c r="Z171" s="331"/>
      <c r="AA171" s="331"/>
      <c r="AB171" s="331"/>
      <c r="AC171" s="331"/>
      <c r="AD171" s="331"/>
      <c r="AE171" s="331"/>
      <c r="AF171" s="331"/>
      <c r="AG171" s="332"/>
      <c r="AH171" s="98"/>
      <c r="AI171" s="98"/>
      <c r="AJ171" s="98"/>
      <c r="AK171" s="99"/>
      <c r="AL171" s="379" t="s">
        <v>741</v>
      </c>
      <c r="AM171" s="380"/>
      <c r="AN171" s="380"/>
      <c r="AO171" s="380"/>
      <c r="AP171" s="380"/>
      <c r="AQ171" s="380"/>
      <c r="AR171" s="380"/>
      <c r="AS171" s="380"/>
      <c r="AT171" s="380"/>
      <c r="AU171" s="380"/>
      <c r="AV171" s="380"/>
      <c r="AW171" s="32"/>
      <c r="AX171" s="33"/>
      <c r="AY171" s="33"/>
      <c r="AZ171" s="43"/>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t="s">
        <v>742</v>
      </c>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row>
    <row r="172" spans="1:136" x14ac:dyDescent="0.2">
      <c r="A172" s="60"/>
      <c r="B172" s="351"/>
      <c r="C172" s="352"/>
      <c r="D172" s="352"/>
      <c r="E172" s="352"/>
      <c r="F172" s="352"/>
      <c r="G172" s="352"/>
      <c r="H172" s="352"/>
      <c r="I172" s="352"/>
      <c r="J172" s="352"/>
      <c r="K172" s="352"/>
      <c r="L172" s="352"/>
      <c r="M172" s="352"/>
      <c r="N172" s="352"/>
      <c r="O172" s="352"/>
      <c r="P172" s="352"/>
      <c r="Q172" s="352"/>
      <c r="R172" s="352"/>
      <c r="S172" s="352"/>
      <c r="T172" s="352"/>
      <c r="U172" s="352"/>
      <c r="V172" s="352"/>
      <c r="W172" s="352"/>
      <c r="X172" s="352"/>
      <c r="Y172" s="352"/>
      <c r="Z172" s="352"/>
      <c r="AA172" s="352"/>
      <c r="AB172" s="352"/>
      <c r="AC172" s="352"/>
      <c r="AD172" s="352"/>
      <c r="AE172" s="352"/>
      <c r="AF172" s="352"/>
      <c r="AG172" s="352"/>
      <c r="AH172" s="352"/>
      <c r="AI172" s="352"/>
      <c r="AJ172" s="352"/>
      <c r="AK172" s="353"/>
      <c r="AL172" s="32"/>
      <c r="AM172" s="32"/>
      <c r="AN172" s="32"/>
      <c r="AO172" s="32"/>
      <c r="AP172" s="32"/>
      <c r="AQ172" s="32"/>
      <c r="AR172" s="32"/>
      <c r="AS172" s="32"/>
      <c r="AT172" s="32"/>
      <c r="AU172" s="32"/>
      <c r="AV172" s="32"/>
      <c r="AW172" s="32"/>
      <c r="AX172" s="33"/>
      <c r="AY172" s="33"/>
      <c r="AZ172" s="43"/>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t="s">
        <v>743</v>
      </c>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row>
    <row r="173" spans="1:136" ht="23.1" customHeight="1" x14ac:dyDescent="0.2">
      <c r="A173" s="60"/>
      <c r="B173" s="354"/>
      <c r="C173" s="355"/>
      <c r="D173" s="355"/>
      <c r="E173" s="355"/>
      <c r="F173" s="355"/>
      <c r="G173" s="355"/>
      <c r="H173" s="355"/>
      <c r="I173" s="355"/>
      <c r="J173" s="355"/>
      <c r="K173" s="355"/>
      <c r="L173" s="355"/>
      <c r="M173" s="355"/>
      <c r="N173" s="355"/>
      <c r="O173" s="355"/>
      <c r="P173" s="355"/>
      <c r="Q173" s="355"/>
      <c r="R173" s="355"/>
      <c r="S173" s="355"/>
      <c r="T173" s="355"/>
      <c r="U173" s="355"/>
      <c r="V173" s="355"/>
      <c r="W173" s="355"/>
      <c r="X173" s="355"/>
      <c r="Y173" s="355"/>
      <c r="Z173" s="355"/>
      <c r="AA173" s="355"/>
      <c r="AB173" s="355"/>
      <c r="AC173" s="355"/>
      <c r="AD173" s="355"/>
      <c r="AE173" s="355"/>
      <c r="AF173" s="355"/>
      <c r="AG173" s="355"/>
      <c r="AH173" s="355"/>
      <c r="AI173" s="355"/>
      <c r="AJ173" s="355"/>
      <c r="AK173" s="356"/>
      <c r="AL173" s="61"/>
      <c r="AM173" s="32"/>
      <c r="AN173" s="32"/>
      <c r="AO173" s="32"/>
      <c r="AP173" s="32"/>
      <c r="AQ173" s="32"/>
      <c r="AR173" s="32"/>
      <c r="AS173" s="32"/>
      <c r="AT173" s="32"/>
      <c r="AU173" s="32"/>
      <c r="AV173" s="32"/>
      <c r="AW173" s="32"/>
      <c r="AX173" s="33"/>
      <c r="AY173" s="33"/>
      <c r="AZ173" s="43"/>
      <c r="BD173" s="21">
        <v>116</v>
      </c>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t="s">
        <v>744</v>
      </c>
      <c r="DF173" s="9"/>
      <c r="DG173" s="9"/>
      <c r="DH173" s="9"/>
      <c r="DI173" s="9"/>
      <c r="DJ173" s="9"/>
      <c r="DK173" s="9"/>
      <c r="DL173" s="9"/>
      <c r="DM173" s="9"/>
      <c r="DN173" s="9"/>
      <c r="DO173" s="9"/>
      <c r="DP173" s="9"/>
      <c r="DQ173" s="9"/>
      <c r="DR173" s="9"/>
      <c r="DS173" s="9"/>
      <c r="DT173" s="9"/>
      <c r="DU173" s="9"/>
      <c r="DV173" s="9"/>
      <c r="DW173" s="9"/>
      <c r="DX173" s="9"/>
      <c r="DY173" s="9"/>
      <c r="DZ173" s="9"/>
      <c r="EA173" s="9"/>
      <c r="EB173" s="9"/>
      <c r="EC173" s="9"/>
      <c r="ED173" s="9"/>
      <c r="EE173" s="9"/>
      <c r="EF173" s="9"/>
    </row>
    <row r="174" spans="1:136" ht="6" customHeight="1" x14ac:dyDescent="0.2">
      <c r="A174" s="60"/>
      <c r="B174" s="341"/>
      <c r="C174" s="342"/>
      <c r="D174" s="342"/>
      <c r="E174" s="342"/>
      <c r="F174" s="342"/>
      <c r="G174" s="342"/>
      <c r="H174" s="342"/>
      <c r="I174" s="342"/>
      <c r="J174" s="342"/>
      <c r="K174" s="342"/>
      <c r="L174" s="342"/>
      <c r="M174" s="342"/>
      <c r="N174" s="342"/>
      <c r="O174" s="342"/>
      <c r="P174" s="342"/>
      <c r="Q174" s="342"/>
      <c r="R174" s="342"/>
      <c r="S174" s="342"/>
      <c r="T174" s="342"/>
      <c r="U174" s="342"/>
      <c r="V174" s="342"/>
      <c r="W174" s="342"/>
      <c r="X174" s="342"/>
      <c r="Y174" s="342"/>
      <c r="Z174" s="342"/>
      <c r="AA174" s="342"/>
      <c r="AB174" s="342"/>
      <c r="AC174" s="342"/>
      <c r="AD174" s="342"/>
      <c r="AE174" s="342"/>
      <c r="AF174" s="342"/>
      <c r="AG174" s="342"/>
      <c r="AH174" s="342"/>
      <c r="AI174" s="342"/>
      <c r="AJ174" s="342"/>
      <c r="AK174" s="343"/>
      <c r="AL174" s="32"/>
      <c r="AM174" s="32"/>
      <c r="AN174" s="32"/>
      <c r="AO174" s="32"/>
      <c r="AP174" s="32"/>
      <c r="AQ174" s="32"/>
      <c r="AR174" s="32"/>
      <c r="AS174" s="32"/>
      <c r="AT174" s="32"/>
      <c r="AU174" s="32"/>
      <c r="AV174" s="32"/>
      <c r="AW174" s="32"/>
      <c r="AX174" s="33"/>
      <c r="AY174" s="33"/>
      <c r="AZ174" s="43"/>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c r="DN174" s="9"/>
      <c r="DO174" s="9"/>
      <c r="DP174" s="9"/>
      <c r="DQ174" s="9"/>
      <c r="DR174" s="9"/>
      <c r="DS174" s="9"/>
      <c r="DT174" s="9"/>
      <c r="DU174" s="9"/>
      <c r="DV174" s="9"/>
      <c r="DW174" s="9"/>
      <c r="DX174" s="9"/>
      <c r="DY174" s="9"/>
      <c r="DZ174" s="9"/>
      <c r="EA174" s="9"/>
      <c r="EB174" s="9"/>
      <c r="EC174" s="9"/>
      <c r="ED174" s="9"/>
      <c r="EE174" s="9"/>
      <c r="EF174" s="9"/>
    </row>
    <row r="175" spans="1:136" ht="12.75" customHeight="1" x14ac:dyDescent="0.2">
      <c r="A175" s="357" t="s">
        <v>3540</v>
      </c>
      <c r="B175" s="358"/>
      <c r="C175" s="358"/>
      <c r="D175" s="358"/>
      <c r="E175" s="358"/>
      <c r="F175" s="358"/>
      <c r="G175" s="358"/>
      <c r="H175" s="358"/>
      <c r="I175" s="358"/>
      <c r="J175" s="358"/>
      <c r="K175" s="358"/>
      <c r="L175" s="358"/>
      <c r="M175" s="358"/>
      <c r="N175" s="358"/>
      <c r="O175" s="358"/>
      <c r="P175" s="358"/>
      <c r="Q175" s="358"/>
      <c r="R175" s="358"/>
      <c r="S175" s="358"/>
      <c r="T175" s="358"/>
      <c r="U175" s="358"/>
      <c r="V175" s="358"/>
      <c r="W175" s="358"/>
      <c r="X175" s="358"/>
      <c r="Y175" s="358"/>
      <c r="Z175" s="358"/>
      <c r="AA175" s="358"/>
      <c r="AB175" s="358"/>
      <c r="AC175" s="358"/>
      <c r="AD175" s="358"/>
      <c r="AE175" s="358"/>
      <c r="AF175" s="358"/>
      <c r="AG175" s="358"/>
      <c r="AH175" s="358"/>
      <c r="AI175" s="358"/>
      <c r="AJ175" s="358"/>
      <c r="AK175" s="359"/>
      <c r="AL175" s="34"/>
      <c r="AM175" s="34"/>
      <c r="AN175" s="34"/>
      <c r="AO175" s="34"/>
      <c r="AP175" s="34"/>
      <c r="AQ175" s="34"/>
      <c r="AR175" s="34"/>
      <c r="AS175" s="34"/>
      <c r="AT175" s="34"/>
      <c r="AU175" s="34"/>
      <c r="AV175" s="34"/>
      <c r="AW175" s="34"/>
      <c r="AX175" s="33"/>
      <c r="AY175" s="33"/>
      <c r="AZ175" s="43"/>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c r="DN175" s="9"/>
      <c r="DO175" s="9"/>
      <c r="DP175" s="9"/>
      <c r="DQ175" s="9"/>
      <c r="DR175" s="9"/>
      <c r="DS175" s="9"/>
      <c r="DT175" s="9"/>
      <c r="DU175" s="9"/>
      <c r="DV175" s="9"/>
      <c r="DW175" s="9"/>
      <c r="DX175" s="9"/>
      <c r="DY175" s="9"/>
      <c r="DZ175" s="9"/>
      <c r="EA175" s="9"/>
      <c r="EB175" s="9"/>
      <c r="EC175" s="9"/>
      <c r="ED175" s="9"/>
      <c r="EE175" s="9"/>
      <c r="EF175" s="9"/>
    </row>
    <row r="176" spans="1:136" ht="19.5" customHeight="1" x14ac:dyDescent="0.2">
      <c r="A176" s="94">
        <v>11</v>
      </c>
      <c r="B176" s="330" t="s">
        <v>3541</v>
      </c>
      <c r="C176" s="331"/>
      <c r="D176" s="331"/>
      <c r="E176" s="331"/>
      <c r="F176" s="331"/>
      <c r="G176" s="331"/>
      <c r="H176" s="331"/>
      <c r="I176" s="331"/>
      <c r="J176" s="331"/>
      <c r="K176" s="331"/>
      <c r="L176" s="331"/>
      <c r="M176" s="331"/>
      <c r="N176" s="331"/>
      <c r="O176" s="331"/>
      <c r="P176" s="331"/>
      <c r="Q176" s="331"/>
      <c r="R176" s="331"/>
      <c r="S176" s="331"/>
      <c r="T176" s="331"/>
      <c r="U176" s="331"/>
      <c r="V176" s="331"/>
      <c r="W176" s="331"/>
      <c r="X176" s="331"/>
      <c r="Y176" s="331"/>
      <c r="Z176" s="331"/>
      <c r="AA176" s="331"/>
      <c r="AB176" s="331"/>
      <c r="AC176" s="331"/>
      <c r="AD176" s="331"/>
      <c r="AE176" s="331"/>
      <c r="AF176" s="331"/>
      <c r="AG176" s="332"/>
      <c r="AH176" s="98"/>
      <c r="AI176" s="98"/>
      <c r="AJ176" s="98"/>
      <c r="AK176" s="99"/>
      <c r="AL176" s="379" t="s">
        <v>745</v>
      </c>
      <c r="AM176" s="380"/>
      <c r="AN176" s="380"/>
      <c r="AO176" s="380"/>
      <c r="AP176" s="380"/>
      <c r="AQ176" s="380"/>
      <c r="AR176" s="380"/>
      <c r="AS176" s="380"/>
      <c r="AT176" s="380"/>
      <c r="AU176" s="380"/>
      <c r="AV176" s="380"/>
      <c r="AW176" s="32"/>
      <c r="AX176" s="33"/>
      <c r="AY176" s="33"/>
      <c r="AZ176" s="43"/>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t="s">
        <v>746</v>
      </c>
      <c r="DF176" s="9"/>
      <c r="DG176" s="9"/>
      <c r="DH176" s="9"/>
      <c r="DI176" s="9"/>
      <c r="DJ176" s="9"/>
      <c r="DK176" s="9"/>
      <c r="DL176" s="9"/>
      <c r="DM176" s="9"/>
      <c r="DN176" s="9"/>
      <c r="DO176" s="9"/>
      <c r="DP176" s="9"/>
      <c r="DQ176" s="9"/>
      <c r="DR176" s="9"/>
      <c r="DS176" s="9"/>
      <c r="DT176" s="9"/>
      <c r="DU176" s="9"/>
      <c r="DV176" s="9"/>
      <c r="DW176" s="9"/>
      <c r="DX176" s="9"/>
      <c r="DY176" s="9"/>
      <c r="DZ176" s="9"/>
      <c r="EA176" s="9"/>
      <c r="EB176" s="9"/>
      <c r="EC176" s="9"/>
      <c r="ED176" s="9"/>
      <c r="EE176" s="9"/>
      <c r="EF176" s="9"/>
    </row>
    <row r="177" spans="1:136" x14ac:dyDescent="0.2">
      <c r="A177" s="60"/>
      <c r="B177" s="351"/>
      <c r="C177" s="352"/>
      <c r="D177" s="352"/>
      <c r="E177" s="352"/>
      <c r="F177" s="352"/>
      <c r="G177" s="352"/>
      <c r="H177" s="352"/>
      <c r="I177" s="352"/>
      <c r="J177" s="352"/>
      <c r="K177" s="352"/>
      <c r="L177" s="352"/>
      <c r="M177" s="352"/>
      <c r="N177" s="352"/>
      <c r="O177" s="352"/>
      <c r="P177" s="352"/>
      <c r="Q177" s="352"/>
      <c r="R177" s="352"/>
      <c r="S177" s="352"/>
      <c r="T177" s="352"/>
      <c r="U177" s="352"/>
      <c r="V177" s="352"/>
      <c r="W177" s="352"/>
      <c r="X177" s="352"/>
      <c r="Y177" s="352"/>
      <c r="Z177" s="352"/>
      <c r="AA177" s="352"/>
      <c r="AB177" s="352"/>
      <c r="AC177" s="352"/>
      <c r="AD177" s="352"/>
      <c r="AE177" s="352"/>
      <c r="AF177" s="352"/>
      <c r="AG177" s="352"/>
      <c r="AH177" s="352"/>
      <c r="AI177" s="352"/>
      <c r="AJ177" s="352"/>
      <c r="AK177" s="353"/>
      <c r="AL177" s="32"/>
      <c r="AM177" s="32"/>
      <c r="AN177" s="32"/>
      <c r="AO177" s="32"/>
      <c r="AP177" s="32"/>
      <c r="AQ177" s="32"/>
      <c r="AR177" s="32"/>
      <c r="AS177" s="32"/>
      <c r="AT177" s="32"/>
      <c r="AU177" s="32"/>
      <c r="AV177" s="32"/>
      <c r="AW177" s="32"/>
      <c r="AX177" s="33"/>
      <c r="AY177" s="33"/>
      <c r="AZ177" s="43"/>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t="s">
        <v>747</v>
      </c>
      <c r="DF177" s="9"/>
      <c r="DG177" s="9"/>
      <c r="DH177" s="9"/>
      <c r="DI177" s="9"/>
      <c r="DJ177" s="9"/>
      <c r="DK177" s="9"/>
      <c r="DL177" s="9"/>
      <c r="DM177" s="9"/>
      <c r="DN177" s="9"/>
      <c r="DO177" s="9"/>
      <c r="DP177" s="9"/>
      <c r="DQ177" s="9"/>
      <c r="DR177" s="9"/>
      <c r="DS177" s="9"/>
      <c r="DT177" s="9"/>
      <c r="DU177" s="9"/>
      <c r="DV177" s="9"/>
      <c r="DW177" s="9"/>
      <c r="DX177" s="9"/>
      <c r="DY177" s="9"/>
      <c r="DZ177" s="9"/>
      <c r="EA177" s="9"/>
      <c r="EB177" s="9"/>
      <c r="EC177" s="9"/>
      <c r="ED177" s="9"/>
      <c r="EE177" s="9"/>
      <c r="EF177" s="9"/>
    </row>
    <row r="178" spans="1:136" ht="23.1" customHeight="1" x14ac:dyDescent="0.2">
      <c r="A178" s="60"/>
      <c r="B178" s="354"/>
      <c r="C178" s="355"/>
      <c r="D178" s="355"/>
      <c r="E178" s="355"/>
      <c r="F178" s="355"/>
      <c r="G178" s="355"/>
      <c r="H178" s="355"/>
      <c r="I178" s="355"/>
      <c r="J178" s="355"/>
      <c r="K178" s="355"/>
      <c r="L178" s="355"/>
      <c r="M178" s="355"/>
      <c r="N178" s="355"/>
      <c r="O178" s="355"/>
      <c r="P178" s="355"/>
      <c r="Q178" s="355"/>
      <c r="R178" s="355"/>
      <c r="S178" s="355"/>
      <c r="T178" s="355"/>
      <c r="U178" s="355"/>
      <c r="V178" s="355"/>
      <c r="W178" s="355"/>
      <c r="X178" s="355"/>
      <c r="Y178" s="355"/>
      <c r="Z178" s="355"/>
      <c r="AA178" s="355"/>
      <c r="AB178" s="355"/>
      <c r="AC178" s="355"/>
      <c r="AD178" s="355"/>
      <c r="AE178" s="355"/>
      <c r="AF178" s="355"/>
      <c r="AG178" s="355"/>
      <c r="AH178" s="355"/>
      <c r="AI178" s="355"/>
      <c r="AJ178" s="355"/>
      <c r="AK178" s="356"/>
      <c r="AL178" s="61"/>
      <c r="AM178" s="32"/>
      <c r="AN178" s="32"/>
      <c r="AO178" s="32"/>
      <c r="AP178" s="32"/>
      <c r="AQ178" s="32"/>
      <c r="AR178" s="32"/>
      <c r="AS178" s="32"/>
      <c r="AT178" s="32"/>
      <c r="AU178" s="32"/>
      <c r="AV178" s="32"/>
      <c r="AW178" s="32"/>
      <c r="AX178" s="33"/>
      <c r="AY178" s="33"/>
      <c r="AZ178" s="43"/>
      <c r="BD178" s="21">
        <v>117</v>
      </c>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t="s">
        <v>748</v>
      </c>
      <c r="DF178" s="9"/>
      <c r="DG178" s="9"/>
      <c r="DH178" s="9"/>
      <c r="DI178" s="9"/>
      <c r="DJ178" s="9"/>
      <c r="DK178" s="9"/>
      <c r="DL178" s="9"/>
      <c r="DM178" s="9"/>
      <c r="DN178" s="9"/>
      <c r="DO178" s="9"/>
      <c r="DP178" s="9"/>
      <c r="DQ178" s="9"/>
      <c r="DR178" s="9"/>
      <c r="DS178" s="9"/>
      <c r="DT178" s="9"/>
      <c r="DU178" s="9"/>
      <c r="DV178" s="9"/>
      <c r="DW178" s="9"/>
      <c r="DX178" s="9"/>
      <c r="DY178" s="9"/>
      <c r="DZ178" s="9"/>
      <c r="EA178" s="9"/>
      <c r="EB178" s="9"/>
      <c r="EC178" s="9"/>
      <c r="ED178" s="9"/>
      <c r="EE178" s="9"/>
      <c r="EF178" s="9"/>
    </row>
    <row r="179" spans="1:136" ht="6" customHeight="1" x14ac:dyDescent="0.2">
      <c r="A179" s="60"/>
      <c r="B179" s="341"/>
      <c r="C179" s="342"/>
      <c r="D179" s="342"/>
      <c r="E179" s="342"/>
      <c r="F179" s="342"/>
      <c r="G179" s="342"/>
      <c r="H179" s="342"/>
      <c r="I179" s="342"/>
      <c r="J179" s="342"/>
      <c r="K179" s="342"/>
      <c r="L179" s="342"/>
      <c r="M179" s="342"/>
      <c r="N179" s="342"/>
      <c r="O179" s="342"/>
      <c r="P179" s="342"/>
      <c r="Q179" s="342"/>
      <c r="R179" s="342"/>
      <c r="S179" s="342"/>
      <c r="T179" s="342"/>
      <c r="U179" s="342"/>
      <c r="V179" s="342"/>
      <c r="W179" s="342"/>
      <c r="X179" s="342"/>
      <c r="Y179" s="342"/>
      <c r="Z179" s="342"/>
      <c r="AA179" s="342"/>
      <c r="AB179" s="342"/>
      <c r="AC179" s="342"/>
      <c r="AD179" s="342"/>
      <c r="AE179" s="342"/>
      <c r="AF179" s="342"/>
      <c r="AG179" s="342"/>
      <c r="AH179" s="342"/>
      <c r="AI179" s="342"/>
      <c r="AJ179" s="342"/>
      <c r="AK179" s="343"/>
      <c r="AL179" s="32"/>
      <c r="AM179" s="32"/>
      <c r="AN179" s="32"/>
      <c r="AO179" s="32"/>
      <c r="AP179" s="32"/>
      <c r="AQ179" s="32"/>
      <c r="AR179" s="32"/>
      <c r="AS179" s="32"/>
      <c r="AT179" s="32"/>
      <c r="AU179" s="32"/>
      <c r="AV179" s="32"/>
      <c r="AW179" s="32"/>
      <c r="AX179" s="33"/>
      <c r="AY179" s="33"/>
      <c r="AZ179" s="43"/>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c r="DX179" s="9"/>
      <c r="DY179" s="9"/>
      <c r="DZ179" s="9"/>
      <c r="EA179" s="9"/>
      <c r="EB179" s="9"/>
      <c r="EC179" s="9"/>
      <c r="ED179" s="9"/>
      <c r="EE179" s="9"/>
      <c r="EF179" s="9"/>
    </row>
    <row r="180" spans="1:136" ht="19.5" customHeight="1" x14ac:dyDescent="0.2">
      <c r="A180" s="94"/>
      <c r="B180" s="330" t="s">
        <v>3542</v>
      </c>
      <c r="C180" s="331"/>
      <c r="D180" s="331"/>
      <c r="E180" s="331"/>
      <c r="F180" s="331"/>
      <c r="G180" s="331"/>
      <c r="H180" s="331"/>
      <c r="I180" s="331"/>
      <c r="J180" s="331"/>
      <c r="K180" s="331"/>
      <c r="L180" s="331"/>
      <c r="M180" s="331"/>
      <c r="N180" s="331"/>
      <c r="O180" s="331"/>
      <c r="P180" s="331"/>
      <c r="Q180" s="331"/>
      <c r="R180" s="331"/>
      <c r="S180" s="331"/>
      <c r="T180" s="331"/>
      <c r="U180" s="331"/>
      <c r="V180" s="331"/>
      <c r="W180" s="331"/>
      <c r="X180" s="331"/>
      <c r="Y180" s="331"/>
      <c r="Z180" s="331"/>
      <c r="AA180" s="331"/>
      <c r="AB180" s="331"/>
      <c r="AC180" s="331"/>
      <c r="AD180" s="331"/>
      <c r="AE180" s="331"/>
      <c r="AF180" s="331"/>
      <c r="AG180" s="332"/>
      <c r="AH180" s="98"/>
      <c r="AI180" s="98"/>
      <c r="AJ180" s="98"/>
      <c r="AK180" s="99"/>
      <c r="AL180" s="379" t="s">
        <v>749</v>
      </c>
      <c r="AM180" s="380"/>
      <c r="AN180" s="380"/>
      <c r="AO180" s="380"/>
      <c r="AP180" s="380"/>
      <c r="AQ180" s="380"/>
      <c r="AR180" s="380"/>
      <c r="AS180" s="380"/>
      <c r="AT180" s="380"/>
      <c r="AU180" s="380"/>
      <c r="AV180" s="380"/>
      <c r="AW180" s="32"/>
      <c r="AX180" s="33"/>
      <c r="AY180" s="33"/>
      <c r="AZ180" s="43"/>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t="s">
        <v>750</v>
      </c>
      <c r="DF180" s="9"/>
      <c r="DG180" s="9"/>
      <c r="DH180" s="9"/>
      <c r="DI180" s="9"/>
      <c r="DJ180" s="9"/>
      <c r="DK180" s="9"/>
      <c r="DL180" s="9"/>
      <c r="DM180" s="9"/>
      <c r="DN180" s="9"/>
      <c r="DO180" s="9"/>
      <c r="DP180" s="9"/>
      <c r="DQ180" s="9"/>
      <c r="DR180" s="9"/>
      <c r="DS180" s="9"/>
      <c r="DT180" s="9"/>
      <c r="DU180" s="9"/>
      <c r="DV180" s="9"/>
      <c r="DW180" s="9"/>
      <c r="DX180" s="9"/>
      <c r="DY180" s="9"/>
      <c r="DZ180" s="9"/>
      <c r="EA180" s="9"/>
      <c r="EB180" s="9"/>
      <c r="EC180" s="9"/>
      <c r="ED180" s="9"/>
      <c r="EE180" s="9"/>
      <c r="EF180" s="9"/>
    </row>
    <row r="181" spans="1:136" x14ac:dyDescent="0.2">
      <c r="A181" s="60"/>
      <c r="B181" s="351"/>
      <c r="C181" s="352"/>
      <c r="D181" s="352"/>
      <c r="E181" s="352"/>
      <c r="F181" s="352"/>
      <c r="G181" s="352"/>
      <c r="H181" s="352"/>
      <c r="I181" s="352"/>
      <c r="J181" s="352"/>
      <c r="K181" s="352"/>
      <c r="L181" s="352"/>
      <c r="M181" s="352"/>
      <c r="N181" s="352"/>
      <c r="O181" s="352"/>
      <c r="P181" s="352"/>
      <c r="Q181" s="352"/>
      <c r="R181" s="352"/>
      <c r="S181" s="352"/>
      <c r="T181" s="352"/>
      <c r="U181" s="352"/>
      <c r="V181" s="352"/>
      <c r="W181" s="352"/>
      <c r="X181" s="352"/>
      <c r="Y181" s="352"/>
      <c r="Z181" s="352"/>
      <c r="AA181" s="352"/>
      <c r="AB181" s="352"/>
      <c r="AC181" s="352"/>
      <c r="AD181" s="352"/>
      <c r="AE181" s="352"/>
      <c r="AF181" s="352"/>
      <c r="AG181" s="352"/>
      <c r="AH181" s="352"/>
      <c r="AI181" s="352"/>
      <c r="AJ181" s="352"/>
      <c r="AK181" s="353"/>
      <c r="AL181" s="32"/>
      <c r="AM181" s="32"/>
      <c r="AN181" s="32"/>
      <c r="AO181" s="32"/>
      <c r="AP181" s="32"/>
      <c r="AQ181" s="32"/>
      <c r="AR181" s="32"/>
      <c r="AS181" s="32"/>
      <c r="AT181" s="32"/>
      <c r="AU181" s="32"/>
      <c r="AV181" s="32"/>
      <c r="AW181" s="32"/>
      <c r="AX181" s="33"/>
      <c r="AY181" s="33"/>
      <c r="AZ181" s="43"/>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t="s">
        <v>751</v>
      </c>
      <c r="DF181" s="9"/>
      <c r="DG181" s="9"/>
      <c r="DH181" s="9"/>
      <c r="DI181" s="9"/>
      <c r="DJ181" s="9"/>
      <c r="DK181" s="9"/>
      <c r="DL181" s="9"/>
      <c r="DM181" s="9"/>
      <c r="DN181" s="9"/>
      <c r="DO181" s="9"/>
      <c r="DP181" s="9"/>
      <c r="DQ181" s="9"/>
      <c r="DR181" s="9"/>
      <c r="DS181" s="9"/>
      <c r="DT181" s="9"/>
      <c r="DU181" s="9"/>
      <c r="DV181" s="9"/>
      <c r="DW181" s="9"/>
      <c r="DX181" s="9"/>
      <c r="DY181" s="9"/>
      <c r="DZ181" s="9"/>
      <c r="EA181" s="9"/>
      <c r="EB181" s="9"/>
      <c r="EC181" s="9"/>
      <c r="ED181" s="9"/>
      <c r="EE181" s="9"/>
      <c r="EF181" s="9"/>
    </row>
    <row r="182" spans="1:136" ht="23.1" customHeight="1" x14ac:dyDescent="0.2">
      <c r="A182" s="60"/>
      <c r="B182" s="354"/>
      <c r="C182" s="355"/>
      <c r="D182" s="355"/>
      <c r="E182" s="355"/>
      <c r="F182" s="355"/>
      <c r="G182" s="355"/>
      <c r="H182" s="355"/>
      <c r="I182" s="355"/>
      <c r="J182" s="355"/>
      <c r="K182" s="355"/>
      <c r="L182" s="355"/>
      <c r="M182" s="355"/>
      <c r="N182" s="355"/>
      <c r="O182" s="355"/>
      <c r="P182" s="355"/>
      <c r="Q182" s="355"/>
      <c r="R182" s="355"/>
      <c r="S182" s="355"/>
      <c r="T182" s="355"/>
      <c r="U182" s="355"/>
      <c r="V182" s="355"/>
      <c r="W182" s="355"/>
      <c r="X182" s="355"/>
      <c r="Y182" s="355"/>
      <c r="Z182" s="355"/>
      <c r="AA182" s="355"/>
      <c r="AB182" s="355"/>
      <c r="AC182" s="355"/>
      <c r="AD182" s="355"/>
      <c r="AE182" s="355"/>
      <c r="AF182" s="355"/>
      <c r="AG182" s="355"/>
      <c r="AH182" s="355"/>
      <c r="AI182" s="355"/>
      <c r="AJ182" s="355"/>
      <c r="AK182" s="356"/>
      <c r="AL182" s="32"/>
      <c r="AM182" s="32"/>
      <c r="AN182" s="32"/>
      <c r="AO182" s="32"/>
      <c r="AP182" s="32"/>
      <c r="AQ182" s="32"/>
      <c r="AR182" s="32"/>
      <c r="AS182" s="32"/>
      <c r="AT182" s="32"/>
      <c r="AU182" s="32"/>
      <c r="AV182" s="32"/>
      <c r="AW182" s="32"/>
      <c r="AX182" s="33"/>
      <c r="AY182" s="33"/>
      <c r="AZ182" s="43"/>
      <c r="BD182" s="21">
        <v>118</v>
      </c>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t="s">
        <v>752</v>
      </c>
      <c r="DF182" s="9"/>
      <c r="DG182" s="9"/>
      <c r="DH182" s="9"/>
      <c r="DI182" s="9"/>
      <c r="DJ182" s="9"/>
      <c r="DK182" s="9"/>
      <c r="DL182" s="9"/>
      <c r="DM182" s="9"/>
      <c r="DN182" s="9"/>
      <c r="DO182" s="9"/>
      <c r="DP182" s="9"/>
      <c r="DQ182" s="9"/>
      <c r="DR182" s="9"/>
      <c r="DS182" s="9"/>
      <c r="DT182" s="9"/>
      <c r="DU182" s="9"/>
      <c r="DV182" s="9"/>
      <c r="DW182" s="9"/>
      <c r="DX182" s="9"/>
      <c r="DY182" s="9"/>
      <c r="DZ182" s="9"/>
      <c r="EA182" s="9"/>
      <c r="EB182" s="9"/>
      <c r="EC182" s="9"/>
      <c r="ED182" s="9"/>
      <c r="EE182" s="9"/>
      <c r="EF182" s="9"/>
    </row>
    <row r="183" spans="1:136" ht="6" customHeight="1" x14ac:dyDescent="0.2">
      <c r="A183" s="60"/>
      <c r="B183" s="341"/>
      <c r="C183" s="342"/>
      <c r="D183" s="342"/>
      <c r="E183" s="342"/>
      <c r="F183" s="342"/>
      <c r="G183" s="342"/>
      <c r="H183" s="342"/>
      <c r="I183" s="342"/>
      <c r="J183" s="342"/>
      <c r="K183" s="342"/>
      <c r="L183" s="342"/>
      <c r="M183" s="342"/>
      <c r="N183" s="342"/>
      <c r="O183" s="342"/>
      <c r="P183" s="342"/>
      <c r="Q183" s="342"/>
      <c r="R183" s="342"/>
      <c r="S183" s="342"/>
      <c r="T183" s="342"/>
      <c r="U183" s="342"/>
      <c r="V183" s="342"/>
      <c r="W183" s="342"/>
      <c r="X183" s="342"/>
      <c r="Y183" s="342"/>
      <c r="Z183" s="342"/>
      <c r="AA183" s="342"/>
      <c r="AB183" s="342"/>
      <c r="AC183" s="342"/>
      <c r="AD183" s="342"/>
      <c r="AE183" s="342"/>
      <c r="AF183" s="342"/>
      <c r="AG183" s="342"/>
      <c r="AH183" s="342"/>
      <c r="AI183" s="342"/>
      <c r="AJ183" s="342"/>
      <c r="AK183" s="343"/>
      <c r="AL183" s="32"/>
      <c r="AM183" s="32"/>
      <c r="AN183" s="32"/>
      <c r="AO183" s="32"/>
      <c r="AP183" s="32"/>
      <c r="AQ183" s="32"/>
      <c r="AR183" s="32"/>
      <c r="AS183" s="32"/>
      <c r="AT183" s="32"/>
      <c r="AU183" s="32"/>
      <c r="AV183" s="32"/>
      <c r="AW183" s="32"/>
      <c r="AX183" s="33"/>
      <c r="AY183" s="33"/>
      <c r="AZ183" s="43"/>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c r="DX183" s="9"/>
      <c r="DY183" s="9"/>
      <c r="DZ183" s="9"/>
      <c r="EA183" s="9"/>
      <c r="EB183" s="9"/>
      <c r="EC183" s="9"/>
      <c r="ED183" s="9"/>
      <c r="EE183" s="9"/>
      <c r="EF183" s="9"/>
    </row>
    <row r="184" spans="1:136" ht="12.75" customHeight="1" x14ac:dyDescent="0.2">
      <c r="A184" s="212" t="s">
        <v>3208</v>
      </c>
      <c r="B184" s="426"/>
      <c r="C184" s="426"/>
      <c r="D184" s="426"/>
      <c r="E184" s="426"/>
      <c r="F184" s="426"/>
      <c r="G184" s="426"/>
      <c r="H184" s="426"/>
      <c r="I184" s="426"/>
      <c r="J184" s="426"/>
      <c r="K184" s="426"/>
      <c r="L184" s="426"/>
      <c r="M184" s="426"/>
      <c r="N184" s="426"/>
      <c r="O184" s="426"/>
      <c r="P184" s="426"/>
      <c r="Q184" s="426"/>
      <c r="R184" s="426"/>
      <c r="S184" s="426"/>
      <c r="T184" s="426"/>
      <c r="U184" s="426"/>
      <c r="V184" s="426"/>
      <c r="W184" s="426"/>
      <c r="X184" s="426"/>
      <c r="Y184" s="426"/>
      <c r="Z184" s="426"/>
      <c r="AA184" s="426"/>
      <c r="AB184" s="426"/>
      <c r="AC184" s="426"/>
      <c r="AD184" s="426"/>
      <c r="AE184" s="426"/>
      <c r="AF184" s="426"/>
      <c r="AG184" s="426"/>
      <c r="AH184" s="426"/>
      <c r="AI184" s="426"/>
      <c r="AJ184" s="426"/>
      <c r="AK184" s="427"/>
      <c r="AL184" s="34"/>
      <c r="AM184" s="34"/>
      <c r="AN184" s="34"/>
      <c r="AO184" s="34"/>
      <c r="AP184" s="34"/>
      <c r="AQ184" s="34"/>
      <c r="AR184" s="34"/>
      <c r="AS184" s="34"/>
      <c r="AT184" s="34"/>
      <c r="AU184" s="34"/>
      <c r="AV184" s="34"/>
      <c r="AW184" s="34"/>
      <c r="AX184" s="33"/>
      <c r="AY184" s="33"/>
      <c r="AZ184" s="43"/>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9"/>
      <c r="DN184" s="9"/>
      <c r="DO184" s="9"/>
      <c r="DP184" s="9"/>
      <c r="DQ184" s="9"/>
      <c r="DR184" s="9"/>
      <c r="DS184" s="9"/>
      <c r="DT184" s="9"/>
      <c r="DU184" s="9"/>
      <c r="DV184" s="9"/>
      <c r="DW184" s="9"/>
      <c r="DX184" s="9"/>
      <c r="DY184" s="9"/>
      <c r="DZ184" s="9"/>
      <c r="EA184" s="9"/>
      <c r="EB184" s="9"/>
      <c r="EC184" s="9"/>
      <c r="ED184" s="9"/>
      <c r="EE184" s="9"/>
      <c r="EF184" s="9"/>
    </row>
    <row r="185" spans="1:136" ht="12.75" customHeight="1" x14ac:dyDescent="0.2">
      <c r="A185" s="54">
        <v>12</v>
      </c>
      <c r="B185" s="595" t="s">
        <v>3414</v>
      </c>
      <c r="C185" s="596"/>
      <c r="D185" s="357" t="s">
        <v>753</v>
      </c>
      <c r="E185" s="349"/>
      <c r="F185" s="349"/>
      <c r="G185" s="349"/>
      <c r="H185" s="349"/>
      <c r="I185" s="349"/>
      <c r="J185" s="349"/>
      <c r="K185" s="349"/>
      <c r="L185" s="349"/>
      <c r="M185" s="349"/>
      <c r="N185" s="349"/>
      <c r="O185" s="349"/>
      <c r="P185" s="349"/>
      <c r="Q185" s="349"/>
      <c r="R185" s="349"/>
      <c r="S185" s="349"/>
      <c r="T185" s="349"/>
      <c r="U185" s="350"/>
      <c r="V185" s="595" t="s">
        <v>754</v>
      </c>
      <c r="W185" s="597"/>
      <c r="X185" s="597"/>
      <c r="Y185" s="597"/>
      <c r="Z185" s="597"/>
      <c r="AA185" s="597"/>
      <c r="AB185" s="597"/>
      <c r="AC185" s="595" t="s">
        <v>3413</v>
      </c>
      <c r="AD185" s="597"/>
      <c r="AE185" s="597"/>
      <c r="AF185" s="597"/>
      <c r="AG185" s="597"/>
      <c r="AH185" s="597"/>
      <c r="AI185" s="597"/>
      <c r="AJ185" s="597"/>
      <c r="AK185" s="597"/>
      <c r="AL185" s="34"/>
      <c r="AM185" s="34"/>
      <c r="AN185" s="34"/>
      <c r="AO185" s="34"/>
      <c r="AP185" s="34"/>
      <c r="AQ185" s="34"/>
      <c r="AR185" s="34"/>
      <c r="AS185" s="34"/>
      <c r="AT185" s="34"/>
      <c r="AU185" s="34"/>
      <c r="AV185" s="34"/>
      <c r="AW185" s="34"/>
      <c r="AX185" s="33"/>
      <c r="AY185" s="33"/>
      <c r="AZ185" s="43"/>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9"/>
      <c r="DN185" s="9"/>
      <c r="DO185" s="9"/>
      <c r="DP185" s="9"/>
      <c r="DQ185" s="9"/>
      <c r="DR185" s="9"/>
      <c r="DS185" s="9"/>
      <c r="DT185" s="9"/>
      <c r="DU185" s="9"/>
      <c r="DV185" s="9"/>
      <c r="DW185" s="9"/>
      <c r="DX185" s="9"/>
      <c r="DY185" s="9"/>
      <c r="DZ185" s="9"/>
      <c r="EA185" s="9"/>
      <c r="EB185" s="9"/>
      <c r="EC185" s="9"/>
      <c r="ED185" s="9"/>
      <c r="EE185" s="9"/>
      <c r="EF185" s="9"/>
    </row>
    <row r="186" spans="1:136" ht="12.75" customHeight="1" x14ac:dyDescent="0.2">
      <c r="A186" s="364" t="s">
        <v>3209</v>
      </c>
      <c r="B186" s="280"/>
      <c r="C186" s="557"/>
      <c r="D186" s="447"/>
      <c r="E186" s="448"/>
      <c r="F186" s="448"/>
      <c r="G186" s="448"/>
      <c r="H186" s="448"/>
      <c r="I186" s="448"/>
      <c r="J186" s="448"/>
      <c r="K186" s="448"/>
      <c r="L186" s="448"/>
      <c r="M186" s="448"/>
      <c r="N186" s="448"/>
      <c r="O186" s="448"/>
      <c r="P186" s="448"/>
      <c r="Q186" s="448"/>
      <c r="R186" s="448"/>
      <c r="S186" s="448"/>
      <c r="T186" s="448"/>
      <c r="U186" s="449"/>
      <c r="V186" s="280"/>
      <c r="W186" s="557"/>
      <c r="X186" s="557"/>
      <c r="Y186" s="557"/>
      <c r="Z186" s="557"/>
      <c r="AA186" s="557"/>
      <c r="AB186" s="557"/>
      <c r="AC186" s="280"/>
      <c r="AD186" s="557"/>
      <c r="AE186" s="557"/>
      <c r="AF186" s="557"/>
      <c r="AG186" s="557"/>
      <c r="AH186" s="557"/>
      <c r="AI186" s="557"/>
      <c r="AJ186" s="557"/>
      <c r="AK186" s="557"/>
      <c r="AL186" s="382"/>
      <c r="AM186" s="558"/>
      <c r="AN186" s="558"/>
      <c r="AO186" s="558"/>
      <c r="AP186" s="558"/>
      <c r="AQ186" s="558"/>
      <c r="AR186" s="558"/>
      <c r="AS186" s="558"/>
      <c r="AT186" s="558"/>
      <c r="AU186" s="34"/>
      <c r="AV186" s="34"/>
      <c r="AW186" s="34"/>
      <c r="AX186" s="33"/>
      <c r="AY186" s="33"/>
      <c r="AZ186" s="43"/>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c r="CY186" s="9"/>
      <c r="CZ186" s="9"/>
      <c r="DA186" s="9"/>
      <c r="DB186" s="9"/>
      <c r="DC186" s="9"/>
      <c r="DD186" s="9"/>
      <c r="DE186" s="9" t="s">
        <v>755</v>
      </c>
      <c r="DF186" s="9"/>
      <c r="DG186" s="9"/>
      <c r="DH186" s="9"/>
      <c r="DI186" s="9"/>
      <c r="DJ186" s="9"/>
      <c r="DK186" s="9"/>
      <c r="DL186" s="9"/>
      <c r="DM186" s="9"/>
      <c r="DN186" s="9"/>
      <c r="DO186" s="9"/>
      <c r="DP186" s="9"/>
      <c r="DQ186" s="9"/>
      <c r="DR186" s="9"/>
      <c r="DS186" s="9"/>
      <c r="DT186" s="9"/>
      <c r="DU186" s="9"/>
      <c r="DV186" s="9"/>
      <c r="DW186" s="9"/>
      <c r="DX186" s="9"/>
      <c r="DY186" s="9"/>
      <c r="DZ186" s="9"/>
      <c r="EA186" s="9"/>
      <c r="EB186" s="9"/>
      <c r="EC186" s="9"/>
      <c r="ED186" s="9"/>
      <c r="EE186" s="9"/>
      <c r="EF186" s="9"/>
    </row>
    <row r="187" spans="1:136" ht="12.75" customHeight="1" x14ac:dyDescent="0.2">
      <c r="A187" s="364"/>
      <c r="B187" s="557"/>
      <c r="C187" s="557"/>
      <c r="D187" s="450"/>
      <c r="E187" s="451"/>
      <c r="F187" s="451"/>
      <c r="G187" s="451"/>
      <c r="H187" s="451"/>
      <c r="I187" s="451"/>
      <c r="J187" s="451"/>
      <c r="K187" s="451"/>
      <c r="L187" s="451"/>
      <c r="M187" s="451"/>
      <c r="N187" s="451"/>
      <c r="O187" s="451"/>
      <c r="P187" s="451"/>
      <c r="Q187" s="451"/>
      <c r="R187" s="451"/>
      <c r="S187" s="451"/>
      <c r="T187" s="451"/>
      <c r="U187" s="452"/>
      <c r="V187" s="557"/>
      <c r="W187" s="557"/>
      <c r="X187" s="557"/>
      <c r="Y187" s="557"/>
      <c r="Z187" s="557"/>
      <c r="AA187" s="557"/>
      <c r="AB187" s="557"/>
      <c r="AC187" s="557"/>
      <c r="AD187" s="557"/>
      <c r="AE187" s="557"/>
      <c r="AF187" s="557"/>
      <c r="AG187" s="557"/>
      <c r="AH187" s="557"/>
      <c r="AI187" s="557"/>
      <c r="AJ187" s="557"/>
      <c r="AK187" s="557"/>
      <c r="AL187" s="34"/>
      <c r="AM187" s="34"/>
      <c r="AN187" s="34"/>
      <c r="AO187" s="34"/>
      <c r="AP187" s="34"/>
      <c r="AQ187" s="34"/>
      <c r="AR187" s="34"/>
      <c r="AS187" s="34"/>
      <c r="AT187" s="34"/>
      <c r="AU187" s="34"/>
      <c r="AV187" s="34"/>
      <c r="AW187" s="34"/>
      <c r="AX187" s="33"/>
      <c r="AY187" s="33"/>
      <c r="AZ187" s="43"/>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c r="CY187" s="9"/>
      <c r="CZ187" s="9"/>
      <c r="DA187" s="9"/>
      <c r="DB187" s="9"/>
      <c r="DC187" s="9"/>
      <c r="DD187" s="9"/>
      <c r="DE187" s="9" t="s">
        <v>756</v>
      </c>
      <c r="DF187" s="9"/>
      <c r="DG187" s="9"/>
      <c r="DH187" s="9"/>
      <c r="DI187" s="9"/>
      <c r="DJ187" s="9"/>
      <c r="DK187" s="9"/>
      <c r="DL187" s="9"/>
      <c r="DM187" s="9"/>
      <c r="DN187" s="9"/>
      <c r="DO187" s="9"/>
      <c r="DP187" s="9"/>
      <c r="DQ187" s="9"/>
      <c r="DR187" s="9"/>
      <c r="DS187" s="9"/>
      <c r="DT187" s="9"/>
      <c r="DU187" s="9"/>
      <c r="DV187" s="9"/>
      <c r="DW187" s="9"/>
      <c r="DX187" s="9"/>
      <c r="DY187" s="9"/>
      <c r="DZ187" s="9"/>
      <c r="EA187" s="9"/>
      <c r="EB187" s="9"/>
      <c r="EC187" s="9"/>
      <c r="ED187" s="9"/>
      <c r="EE187" s="9"/>
      <c r="EF187" s="9"/>
    </row>
    <row r="188" spans="1:136" ht="12.75" customHeight="1" x14ac:dyDescent="0.2">
      <c r="A188" s="364" t="s">
        <v>3210</v>
      </c>
      <c r="B188" s="280"/>
      <c r="C188" s="557"/>
      <c r="D188" s="447"/>
      <c r="E188" s="448"/>
      <c r="F188" s="448"/>
      <c r="G188" s="448"/>
      <c r="H188" s="448"/>
      <c r="I188" s="448"/>
      <c r="J188" s="448"/>
      <c r="K188" s="448"/>
      <c r="L188" s="448"/>
      <c r="M188" s="448"/>
      <c r="N188" s="448"/>
      <c r="O188" s="448"/>
      <c r="P188" s="448"/>
      <c r="Q188" s="448"/>
      <c r="R188" s="448"/>
      <c r="S188" s="448"/>
      <c r="T188" s="448"/>
      <c r="U188" s="449"/>
      <c r="V188" s="280"/>
      <c r="W188" s="557"/>
      <c r="X188" s="557"/>
      <c r="Y188" s="557"/>
      <c r="Z188" s="557"/>
      <c r="AA188" s="557"/>
      <c r="AB188" s="557"/>
      <c r="AC188" s="280"/>
      <c r="AD188" s="557"/>
      <c r="AE188" s="557"/>
      <c r="AF188" s="557"/>
      <c r="AG188" s="557"/>
      <c r="AH188" s="557"/>
      <c r="AI188" s="557"/>
      <c r="AJ188" s="557"/>
      <c r="AK188" s="557"/>
      <c r="AL188" s="382"/>
      <c r="AM188" s="558"/>
      <c r="AN188" s="558"/>
      <c r="AO188" s="558"/>
      <c r="AP188" s="558"/>
      <c r="AQ188" s="558"/>
      <c r="AR188" s="558"/>
      <c r="AS188" s="558"/>
      <c r="AT188" s="558"/>
      <c r="AU188" s="34"/>
      <c r="AV188" s="34"/>
      <c r="AW188" s="34"/>
      <c r="AX188" s="33"/>
      <c r="AY188" s="33"/>
      <c r="AZ188" s="43"/>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c r="DA188" s="9"/>
      <c r="DB188" s="9"/>
      <c r="DC188" s="9"/>
      <c r="DD188" s="9"/>
      <c r="DE188" s="9" t="s">
        <v>757</v>
      </c>
      <c r="DF188" s="9"/>
      <c r="DG188" s="9"/>
      <c r="DH188" s="9"/>
      <c r="DI188" s="9"/>
      <c r="DJ188" s="9"/>
      <c r="DK188" s="9"/>
      <c r="DL188" s="9"/>
      <c r="DM188" s="9"/>
      <c r="DN188" s="9"/>
      <c r="DO188" s="9"/>
      <c r="DP188" s="9"/>
      <c r="DQ188" s="9"/>
      <c r="DR188" s="9"/>
      <c r="DS188" s="9"/>
      <c r="DT188" s="9"/>
      <c r="DU188" s="9"/>
      <c r="DV188" s="9"/>
      <c r="DW188" s="9"/>
      <c r="DX188" s="9"/>
      <c r="DY188" s="9"/>
      <c r="DZ188" s="9"/>
      <c r="EA188" s="9"/>
      <c r="EB188" s="9"/>
      <c r="EC188" s="9"/>
      <c r="ED188" s="9"/>
      <c r="EE188" s="9"/>
      <c r="EF188" s="9"/>
    </row>
    <row r="189" spans="1:136" ht="12.75" customHeight="1" x14ac:dyDescent="0.2">
      <c r="A189" s="364"/>
      <c r="B189" s="557"/>
      <c r="C189" s="557"/>
      <c r="D189" s="450"/>
      <c r="E189" s="451"/>
      <c r="F189" s="451"/>
      <c r="G189" s="451"/>
      <c r="H189" s="451"/>
      <c r="I189" s="451"/>
      <c r="J189" s="451"/>
      <c r="K189" s="451"/>
      <c r="L189" s="451"/>
      <c r="M189" s="451"/>
      <c r="N189" s="451"/>
      <c r="O189" s="451"/>
      <c r="P189" s="451"/>
      <c r="Q189" s="451"/>
      <c r="R189" s="451"/>
      <c r="S189" s="451"/>
      <c r="T189" s="451"/>
      <c r="U189" s="452"/>
      <c r="V189" s="557"/>
      <c r="W189" s="557"/>
      <c r="X189" s="557"/>
      <c r="Y189" s="557"/>
      <c r="Z189" s="557"/>
      <c r="AA189" s="557"/>
      <c r="AB189" s="557"/>
      <c r="AC189" s="557"/>
      <c r="AD189" s="557"/>
      <c r="AE189" s="557"/>
      <c r="AF189" s="557"/>
      <c r="AG189" s="557"/>
      <c r="AH189" s="557"/>
      <c r="AI189" s="557"/>
      <c r="AJ189" s="557"/>
      <c r="AK189" s="557"/>
      <c r="AL189" s="34"/>
      <c r="AM189" s="34"/>
      <c r="AN189" s="34"/>
      <c r="AO189" s="34"/>
      <c r="AP189" s="34"/>
      <c r="AQ189" s="34"/>
      <c r="AR189" s="34"/>
      <c r="AS189" s="34"/>
      <c r="AT189" s="34"/>
      <c r="AU189" s="34"/>
      <c r="AV189" s="34"/>
      <c r="AW189" s="34"/>
      <c r="AX189" s="33"/>
      <c r="AY189" s="33"/>
      <c r="AZ189" s="43"/>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c r="CY189" s="9"/>
      <c r="CZ189" s="9"/>
      <c r="DA189" s="9"/>
      <c r="DB189" s="9"/>
      <c r="DC189" s="9"/>
      <c r="DD189" s="9"/>
      <c r="DE189" s="9" t="s">
        <v>758</v>
      </c>
      <c r="DF189" s="9"/>
      <c r="DG189" s="9"/>
      <c r="DH189" s="9"/>
      <c r="DI189" s="9"/>
      <c r="DJ189" s="9"/>
      <c r="DK189" s="9"/>
      <c r="DL189" s="9"/>
      <c r="DM189" s="9"/>
      <c r="DN189" s="9"/>
      <c r="DO189" s="9"/>
      <c r="DP189" s="9"/>
      <c r="DQ189" s="9"/>
      <c r="DR189" s="9"/>
      <c r="DS189" s="9"/>
      <c r="DT189" s="9"/>
      <c r="DU189" s="9"/>
      <c r="DV189" s="9"/>
      <c r="DW189" s="9"/>
      <c r="DX189" s="9"/>
      <c r="DY189" s="9"/>
      <c r="DZ189" s="9"/>
      <c r="EA189" s="9"/>
      <c r="EB189" s="9"/>
      <c r="EC189" s="9"/>
      <c r="ED189" s="9"/>
      <c r="EE189" s="9"/>
      <c r="EF189" s="9"/>
    </row>
    <row r="190" spans="1:136" ht="12.75" customHeight="1" x14ac:dyDescent="0.2">
      <c r="A190" s="48"/>
      <c r="B190" s="357" t="s">
        <v>3416</v>
      </c>
      <c r="C190" s="531"/>
      <c r="D190" s="531"/>
      <c r="E190" s="531"/>
      <c r="F190" s="531"/>
      <c r="G190" s="531"/>
      <c r="H190" s="531"/>
      <c r="I190" s="531"/>
      <c r="J190" s="531"/>
      <c r="K190" s="531"/>
      <c r="L190" s="531"/>
      <c r="M190" s="531"/>
      <c r="N190" s="531"/>
      <c r="O190" s="531"/>
      <c r="P190" s="531"/>
      <c r="Q190" s="531"/>
      <c r="R190" s="531"/>
      <c r="S190" s="531"/>
      <c r="T190" s="531"/>
      <c r="U190" s="531"/>
      <c r="V190" s="531"/>
      <c r="W190" s="531"/>
      <c r="X190" s="531"/>
      <c r="Y190" s="531"/>
      <c r="Z190" s="531"/>
      <c r="AA190" s="531"/>
      <c r="AB190" s="531"/>
      <c r="AC190" s="531"/>
      <c r="AD190" s="531"/>
      <c r="AE190" s="531"/>
      <c r="AF190" s="531"/>
      <c r="AG190" s="531"/>
      <c r="AH190" s="531"/>
      <c r="AI190" s="531"/>
      <c r="AJ190" s="531"/>
      <c r="AK190" s="532"/>
      <c r="AL190" s="34"/>
      <c r="AM190" s="34"/>
      <c r="AN190" s="34"/>
      <c r="AO190" s="34"/>
      <c r="AP190" s="34"/>
      <c r="AQ190" s="34"/>
      <c r="AR190" s="34"/>
      <c r="AS190" s="34"/>
      <c r="AT190" s="34"/>
      <c r="AU190" s="34"/>
      <c r="AV190" s="34"/>
      <c r="AW190" s="34"/>
      <c r="AX190" s="33"/>
      <c r="AY190" s="33"/>
      <c r="AZ190" s="43"/>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c r="CY190" s="9"/>
      <c r="CZ190" s="9"/>
      <c r="DA190" s="9"/>
      <c r="DB190" s="9"/>
      <c r="DC190" s="9"/>
      <c r="DD190" s="9"/>
      <c r="DE190" s="9"/>
      <c r="DF190" s="9"/>
      <c r="DG190" s="9"/>
      <c r="DH190" s="9"/>
      <c r="DI190" s="9"/>
      <c r="DJ190" s="9"/>
      <c r="DK190" s="9"/>
      <c r="DL190" s="9"/>
      <c r="DM190" s="9"/>
      <c r="DN190" s="9"/>
      <c r="DO190" s="9"/>
      <c r="DP190" s="9"/>
      <c r="DQ190" s="9"/>
      <c r="DR190" s="9"/>
      <c r="DS190" s="9"/>
      <c r="DT190" s="9"/>
      <c r="DU190" s="9"/>
      <c r="DV190" s="9"/>
      <c r="DW190" s="9"/>
      <c r="DX190" s="9"/>
      <c r="DY190" s="9"/>
      <c r="DZ190" s="9"/>
      <c r="EA190" s="9"/>
      <c r="EB190" s="9"/>
      <c r="EC190" s="9"/>
      <c r="ED190" s="9"/>
      <c r="EE190" s="9"/>
      <c r="EF190" s="9"/>
    </row>
    <row r="191" spans="1:136" ht="12.75" customHeight="1" x14ac:dyDescent="0.2">
      <c r="A191" s="56" t="s">
        <v>759</v>
      </c>
      <c r="B191" s="463"/>
      <c r="C191" s="464"/>
      <c r="D191" s="464"/>
      <c r="E191" s="464"/>
      <c r="F191" s="464"/>
      <c r="G191" s="464"/>
      <c r="H191" s="464"/>
      <c r="I191" s="464"/>
      <c r="J191" s="464"/>
      <c r="K191" s="464"/>
      <c r="L191" s="167"/>
      <c r="M191" s="167"/>
      <c r="N191" s="167"/>
      <c r="O191" s="167"/>
      <c r="P191" s="167"/>
      <c r="Q191" s="167"/>
      <c r="R191" s="167"/>
      <c r="S191" s="167"/>
      <c r="T191" s="167"/>
      <c r="U191" s="167"/>
      <c r="V191" s="167"/>
      <c r="W191" s="167"/>
      <c r="X191" s="167"/>
      <c r="Y191" s="167"/>
      <c r="Z191" s="167"/>
      <c r="AA191" s="167"/>
      <c r="AB191" s="167"/>
      <c r="AC191" s="167"/>
      <c r="AD191" s="167"/>
      <c r="AE191" s="167"/>
      <c r="AF191" s="167"/>
      <c r="AG191" s="167"/>
      <c r="AH191" s="167"/>
      <c r="AI191" s="167"/>
      <c r="AJ191" s="167"/>
      <c r="AK191" s="168"/>
      <c r="AL191" s="381"/>
      <c r="AM191" s="382"/>
      <c r="AN191" s="382"/>
      <c r="AO191" s="382"/>
      <c r="AP191" s="382"/>
      <c r="AQ191" s="382"/>
      <c r="AR191" s="382"/>
      <c r="AS191" s="382"/>
      <c r="AT191" s="382"/>
      <c r="AU191" s="34"/>
      <c r="AV191" s="34"/>
      <c r="AW191" s="34"/>
      <c r="AX191" s="33"/>
      <c r="AY191" s="33"/>
      <c r="AZ191" s="43"/>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c r="CY191" s="9"/>
      <c r="CZ191" s="9"/>
      <c r="DA191" s="9"/>
      <c r="DB191" s="9"/>
      <c r="DC191" s="9"/>
      <c r="DD191" s="9"/>
      <c r="DE191" s="9" t="s">
        <v>760</v>
      </c>
      <c r="DF191" s="9"/>
      <c r="DG191" s="9"/>
      <c r="DH191" s="9"/>
      <c r="DI191" s="9"/>
      <c r="DJ191" s="9"/>
      <c r="DK191" s="9"/>
      <c r="DL191" s="9"/>
      <c r="DM191" s="9"/>
      <c r="DN191" s="9"/>
      <c r="DO191" s="9"/>
      <c r="DP191" s="9"/>
      <c r="DQ191" s="9"/>
      <c r="DR191" s="9"/>
      <c r="DS191" s="9"/>
      <c r="DT191" s="9"/>
      <c r="DU191" s="9"/>
      <c r="DV191" s="9"/>
      <c r="DW191" s="9"/>
      <c r="DX191" s="9"/>
      <c r="DY191" s="9"/>
      <c r="DZ191" s="9"/>
      <c r="EA191" s="9"/>
      <c r="EB191" s="9"/>
      <c r="EC191" s="9"/>
      <c r="ED191" s="9"/>
      <c r="EE191" s="9"/>
      <c r="EF191" s="9"/>
    </row>
    <row r="192" spans="1:136" ht="12.75" customHeight="1" x14ac:dyDescent="0.2">
      <c r="A192" s="56" t="s">
        <v>761</v>
      </c>
      <c r="B192" s="536"/>
      <c r="C192" s="537"/>
      <c r="D192" s="537"/>
      <c r="E192" s="537"/>
      <c r="F192" s="537"/>
      <c r="G192" s="537"/>
      <c r="H192" s="537"/>
      <c r="I192" s="537"/>
      <c r="J192" s="537"/>
      <c r="K192" s="537"/>
      <c r="L192" s="538"/>
      <c r="M192" s="538"/>
      <c r="N192" s="538"/>
      <c r="O192" s="538"/>
      <c r="P192" s="538"/>
      <c r="Q192" s="538"/>
      <c r="R192" s="538"/>
      <c r="S192" s="538"/>
      <c r="T192" s="538"/>
      <c r="U192" s="538"/>
      <c r="V192" s="538"/>
      <c r="W192" s="538"/>
      <c r="X192" s="538"/>
      <c r="Y192" s="538"/>
      <c r="Z192" s="538"/>
      <c r="AA192" s="538"/>
      <c r="AB192" s="538"/>
      <c r="AC192" s="538"/>
      <c r="AD192" s="538"/>
      <c r="AE192" s="538"/>
      <c r="AF192" s="538"/>
      <c r="AG192" s="538"/>
      <c r="AH192" s="538"/>
      <c r="AI192" s="538"/>
      <c r="AJ192" s="538"/>
      <c r="AK192" s="539"/>
      <c r="AL192" s="19"/>
      <c r="AU192" s="34"/>
      <c r="AV192" s="34"/>
      <c r="AW192" s="34"/>
      <c r="AX192" s="33"/>
      <c r="AY192" s="33"/>
      <c r="AZ192" s="43"/>
      <c r="BD192" s="21">
        <v>119</v>
      </c>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c r="CY192" s="9"/>
      <c r="CZ192" s="9"/>
      <c r="DA192" s="9"/>
      <c r="DB192" s="9"/>
      <c r="DC192" s="9"/>
      <c r="DD192" s="9"/>
      <c r="DE192" s="9" t="s">
        <v>762</v>
      </c>
      <c r="DF192" s="9"/>
      <c r="DG192" s="9"/>
      <c r="DH192" s="9"/>
      <c r="DI192" s="9"/>
      <c r="DJ192" s="9"/>
      <c r="DK192" s="9"/>
      <c r="DL192" s="9"/>
      <c r="DM192" s="9"/>
      <c r="DN192" s="9"/>
      <c r="DO192" s="9"/>
      <c r="DP192" s="9"/>
      <c r="DQ192" s="9"/>
      <c r="DR192" s="9"/>
      <c r="DS192" s="9"/>
      <c r="DT192" s="9"/>
      <c r="DU192" s="9"/>
      <c r="DV192" s="9"/>
      <c r="DW192" s="9"/>
      <c r="DX192" s="9"/>
      <c r="DY192" s="9"/>
      <c r="DZ192" s="9"/>
      <c r="EA192" s="9"/>
      <c r="EB192" s="9"/>
      <c r="EC192" s="9"/>
      <c r="ED192" s="9"/>
      <c r="EE192" s="9"/>
      <c r="EF192" s="9"/>
    </row>
    <row r="193" spans="1:136" ht="6" customHeight="1" x14ac:dyDescent="0.2">
      <c r="A193" s="58"/>
      <c r="B193" s="561"/>
      <c r="C193" s="562"/>
      <c r="D193" s="562"/>
      <c r="E193" s="562"/>
      <c r="F193" s="562"/>
      <c r="G193" s="562"/>
      <c r="H193" s="562"/>
      <c r="I193" s="562"/>
      <c r="J193" s="562"/>
      <c r="K193" s="562"/>
      <c r="L193" s="562"/>
      <c r="M193" s="562"/>
      <c r="N193" s="562"/>
      <c r="O193" s="562"/>
      <c r="P193" s="562"/>
      <c r="Q193" s="562"/>
      <c r="R193" s="562"/>
      <c r="S193" s="562"/>
      <c r="T193" s="562"/>
      <c r="U193" s="562"/>
      <c r="V193" s="562"/>
      <c r="W193" s="562"/>
      <c r="X193" s="562"/>
      <c r="Y193" s="562"/>
      <c r="Z193" s="562"/>
      <c r="AA193" s="562"/>
      <c r="AB193" s="562"/>
      <c r="AC193" s="562"/>
      <c r="AD193" s="562"/>
      <c r="AE193" s="562"/>
      <c r="AF193" s="562"/>
      <c r="AG193" s="562"/>
      <c r="AH193" s="562"/>
      <c r="AI193" s="562"/>
      <c r="AJ193" s="562"/>
      <c r="AK193" s="563"/>
      <c r="AL193" s="34"/>
      <c r="AM193" s="34"/>
      <c r="AN193" s="34"/>
      <c r="AO193" s="34"/>
      <c r="AP193" s="34"/>
      <c r="AQ193" s="34"/>
      <c r="AR193" s="34"/>
      <c r="AS193" s="34"/>
      <c r="AT193" s="34"/>
      <c r="AU193" s="34"/>
      <c r="AV193" s="34"/>
      <c r="AW193" s="34"/>
      <c r="AX193" s="33"/>
      <c r="AY193" s="33"/>
      <c r="AZ193" s="43"/>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c r="DA193" s="9"/>
      <c r="DB193" s="9"/>
      <c r="DC193" s="9"/>
      <c r="DD193" s="9"/>
      <c r="DE193" s="9"/>
      <c r="DF193" s="9"/>
      <c r="DG193" s="9"/>
      <c r="DH193" s="9"/>
      <c r="DI193" s="9"/>
      <c r="DJ193" s="9"/>
      <c r="DK193" s="9"/>
      <c r="DL193" s="9"/>
      <c r="DM193" s="9"/>
      <c r="DN193" s="9"/>
      <c r="DO193" s="9"/>
      <c r="DP193" s="9"/>
      <c r="DQ193" s="9"/>
      <c r="DR193" s="9"/>
      <c r="DS193" s="9"/>
      <c r="DT193" s="9"/>
      <c r="DU193" s="9"/>
      <c r="DV193" s="9"/>
      <c r="DW193" s="9"/>
      <c r="DX193" s="9"/>
      <c r="DY193" s="9"/>
      <c r="DZ193" s="9"/>
      <c r="EA193" s="9"/>
      <c r="EB193" s="9"/>
      <c r="EC193" s="9"/>
      <c r="ED193" s="9"/>
      <c r="EE193" s="9"/>
      <c r="EF193" s="9"/>
    </row>
    <row r="194" spans="1:136" ht="12.75" customHeight="1" x14ac:dyDescent="0.2">
      <c r="A194" s="212" t="s">
        <v>3543</v>
      </c>
      <c r="B194" s="426"/>
      <c r="C194" s="426"/>
      <c r="D194" s="426"/>
      <c r="E194" s="426"/>
      <c r="F194" s="426"/>
      <c r="G194" s="426"/>
      <c r="H194" s="426"/>
      <c r="I194" s="426"/>
      <c r="J194" s="426"/>
      <c r="K194" s="426"/>
      <c r="L194" s="426"/>
      <c r="M194" s="426"/>
      <c r="N194" s="426"/>
      <c r="O194" s="426"/>
      <c r="P194" s="426"/>
      <c r="Q194" s="426"/>
      <c r="R194" s="426"/>
      <c r="S194" s="426"/>
      <c r="T194" s="426"/>
      <c r="U194" s="426"/>
      <c r="V194" s="426"/>
      <c r="W194" s="426"/>
      <c r="X194" s="426"/>
      <c r="Y194" s="426"/>
      <c r="Z194" s="426"/>
      <c r="AA194" s="426"/>
      <c r="AB194" s="426"/>
      <c r="AC194" s="426"/>
      <c r="AD194" s="426"/>
      <c r="AE194" s="426"/>
      <c r="AF194" s="426"/>
      <c r="AG194" s="426"/>
      <c r="AH194" s="426"/>
      <c r="AI194" s="426"/>
      <c r="AJ194" s="426"/>
      <c r="AK194" s="427"/>
      <c r="AL194" s="34"/>
      <c r="AM194" s="34"/>
      <c r="AN194" s="34"/>
      <c r="AO194" s="34"/>
      <c r="AP194" s="34"/>
      <c r="AQ194" s="34"/>
      <c r="AR194" s="34"/>
      <c r="AS194" s="34"/>
      <c r="AT194" s="34"/>
      <c r="AU194" s="34"/>
      <c r="AV194" s="34"/>
      <c r="AW194" s="34"/>
      <c r="AX194" s="33"/>
      <c r="AY194" s="33"/>
      <c r="AZ194" s="43"/>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c r="DA194" s="9"/>
      <c r="DB194" s="9"/>
      <c r="DC194" s="9"/>
      <c r="DD194" s="9"/>
      <c r="DE194" s="9"/>
      <c r="DF194" s="9"/>
      <c r="DG194" s="9"/>
      <c r="DH194" s="9"/>
      <c r="DI194" s="9"/>
      <c r="DJ194" s="9"/>
      <c r="DK194" s="9"/>
      <c r="DL194" s="9"/>
      <c r="DM194" s="9"/>
      <c r="DN194" s="9"/>
      <c r="DO194" s="9"/>
      <c r="DP194" s="9"/>
      <c r="DQ194" s="9"/>
      <c r="DR194" s="9"/>
      <c r="DS194" s="9"/>
      <c r="DT194" s="9"/>
      <c r="DU194" s="9"/>
      <c r="DV194" s="9"/>
      <c r="DW194" s="9"/>
      <c r="DX194" s="9"/>
      <c r="DY194" s="9"/>
      <c r="DZ194" s="9"/>
      <c r="EA194" s="9"/>
      <c r="EB194" s="9"/>
      <c r="EC194" s="9"/>
      <c r="ED194" s="9"/>
      <c r="EE194" s="9"/>
      <c r="EF194" s="9"/>
    </row>
    <row r="195" spans="1:136" ht="6" customHeight="1" x14ac:dyDescent="0.2">
      <c r="A195" s="60"/>
      <c r="B195" s="341"/>
      <c r="C195" s="342"/>
      <c r="D195" s="342"/>
      <c r="E195" s="342"/>
      <c r="F195" s="342"/>
      <c r="G195" s="342"/>
      <c r="H195" s="342"/>
      <c r="I195" s="342"/>
      <c r="J195" s="342"/>
      <c r="K195" s="342"/>
      <c r="L195" s="342"/>
      <c r="M195" s="342"/>
      <c r="N195" s="342"/>
      <c r="O195" s="342"/>
      <c r="P195" s="342"/>
      <c r="Q195" s="342"/>
      <c r="R195" s="342"/>
      <c r="S195" s="342"/>
      <c r="T195" s="342"/>
      <c r="U195" s="342"/>
      <c r="V195" s="342"/>
      <c r="W195" s="342"/>
      <c r="X195" s="342"/>
      <c r="Y195" s="342"/>
      <c r="Z195" s="342"/>
      <c r="AA195" s="342"/>
      <c r="AB195" s="342"/>
      <c r="AC195" s="342"/>
      <c r="AD195" s="342"/>
      <c r="AE195" s="342"/>
      <c r="AF195" s="342"/>
      <c r="AG195" s="342"/>
      <c r="AH195" s="342"/>
      <c r="AI195" s="342"/>
      <c r="AJ195" s="342"/>
      <c r="AK195" s="343"/>
      <c r="AL195" s="32"/>
      <c r="AM195" s="32"/>
      <c r="AN195" s="32"/>
      <c r="AO195" s="32"/>
      <c r="AP195" s="32"/>
      <c r="AQ195" s="32"/>
      <c r="AR195" s="32"/>
      <c r="AS195" s="32"/>
      <c r="AT195" s="32"/>
      <c r="AU195" s="32"/>
      <c r="AV195" s="32"/>
      <c r="AW195" s="32"/>
      <c r="AX195" s="33"/>
      <c r="AY195" s="33"/>
      <c r="AZ195" s="43"/>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c r="DA195" s="9"/>
      <c r="DB195" s="9"/>
      <c r="DC195" s="9"/>
      <c r="DD195" s="9"/>
      <c r="DE195" s="9"/>
      <c r="DF195" s="9"/>
      <c r="DG195" s="9"/>
      <c r="DH195" s="9"/>
      <c r="DI195" s="9"/>
      <c r="DJ195" s="9"/>
      <c r="DK195" s="9"/>
      <c r="DL195" s="9"/>
      <c r="DM195" s="9"/>
      <c r="DN195" s="9"/>
      <c r="DO195" s="9"/>
      <c r="DP195" s="9"/>
      <c r="DQ195" s="9"/>
      <c r="DR195" s="9"/>
      <c r="DS195" s="9"/>
      <c r="DT195" s="9"/>
      <c r="DU195" s="9"/>
      <c r="DV195" s="9"/>
      <c r="DW195" s="9"/>
      <c r="DX195" s="9"/>
      <c r="DY195" s="9"/>
      <c r="DZ195" s="9"/>
      <c r="EA195" s="9"/>
      <c r="EB195" s="9"/>
      <c r="EC195" s="9"/>
      <c r="ED195" s="9"/>
      <c r="EE195" s="9"/>
      <c r="EF195" s="9"/>
    </row>
    <row r="196" spans="1:136" ht="24.95" customHeight="1" x14ac:dyDescent="0.2">
      <c r="A196" s="94">
        <v>13</v>
      </c>
      <c r="B196" s="559" t="s">
        <v>3564</v>
      </c>
      <c r="C196" s="560"/>
      <c r="D196" s="560"/>
      <c r="E196" s="560"/>
      <c r="F196" s="560"/>
      <c r="G196" s="560"/>
      <c r="H196" s="560"/>
      <c r="I196" s="560"/>
      <c r="J196" s="560"/>
      <c r="K196" s="560"/>
      <c r="L196" s="560"/>
      <c r="M196" s="560"/>
      <c r="N196" s="560"/>
      <c r="O196" s="560"/>
      <c r="P196" s="560"/>
      <c r="Q196" s="560"/>
      <c r="R196" s="560"/>
      <c r="S196" s="560"/>
      <c r="T196" s="560"/>
      <c r="U196" s="560"/>
      <c r="V196" s="560"/>
      <c r="W196" s="560"/>
      <c r="X196" s="560"/>
      <c r="Y196" s="560"/>
      <c r="Z196" s="560"/>
      <c r="AA196" s="560"/>
      <c r="AB196" s="560"/>
      <c r="AC196" s="560"/>
      <c r="AD196" s="331"/>
      <c r="AE196" s="331"/>
      <c r="AF196" s="331"/>
      <c r="AG196" s="331"/>
      <c r="AH196" s="331"/>
      <c r="AI196" s="331"/>
      <c r="AJ196" s="331"/>
      <c r="AK196" s="332"/>
      <c r="AL196" s="379" t="s">
        <v>763</v>
      </c>
      <c r="AM196" s="380"/>
      <c r="AN196" s="380"/>
      <c r="AO196" s="380"/>
      <c r="AP196" s="380"/>
      <c r="AQ196" s="380"/>
      <c r="AR196" s="380"/>
      <c r="AS196" s="380"/>
      <c r="AT196" s="380"/>
      <c r="AU196" s="380"/>
      <c r="AV196" s="380"/>
      <c r="AW196" s="32"/>
      <c r="AX196" s="33"/>
      <c r="AY196" s="33"/>
      <c r="AZ196" s="43"/>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c r="DA196" s="9"/>
      <c r="DB196" s="9"/>
      <c r="DC196" s="9"/>
      <c r="DD196" s="9"/>
      <c r="DE196" s="9" t="s">
        <v>764</v>
      </c>
      <c r="DF196" s="9"/>
      <c r="DG196" s="9"/>
      <c r="DH196" s="9"/>
      <c r="DI196" s="9"/>
      <c r="DJ196" s="9"/>
      <c r="DK196" s="9"/>
      <c r="DL196" s="9"/>
      <c r="DM196" s="9"/>
      <c r="DN196" s="9"/>
      <c r="DO196" s="9"/>
      <c r="DP196" s="9"/>
      <c r="DQ196" s="9"/>
      <c r="DR196" s="9"/>
      <c r="DS196" s="9"/>
      <c r="DT196" s="9"/>
      <c r="DU196" s="9"/>
      <c r="DV196" s="9"/>
      <c r="DW196" s="9"/>
      <c r="DX196" s="9"/>
      <c r="DY196" s="9"/>
      <c r="DZ196" s="9"/>
      <c r="EA196" s="9"/>
      <c r="EB196" s="9"/>
      <c r="EC196" s="9"/>
      <c r="ED196" s="9"/>
      <c r="EE196" s="9"/>
      <c r="EF196" s="9"/>
    </row>
    <row r="197" spans="1:136" x14ac:dyDescent="0.2">
      <c r="A197" s="60"/>
      <c r="B197" s="351"/>
      <c r="C197" s="352"/>
      <c r="D197" s="352"/>
      <c r="E197" s="352"/>
      <c r="F197" s="352"/>
      <c r="G197" s="352"/>
      <c r="H197" s="352"/>
      <c r="I197" s="352"/>
      <c r="J197" s="352"/>
      <c r="K197" s="352"/>
      <c r="L197" s="352"/>
      <c r="M197" s="352"/>
      <c r="N197" s="352"/>
      <c r="O197" s="352"/>
      <c r="P197" s="352"/>
      <c r="Q197" s="352"/>
      <c r="R197" s="352"/>
      <c r="S197" s="352"/>
      <c r="T197" s="352"/>
      <c r="U197" s="352"/>
      <c r="V197" s="352"/>
      <c r="W197" s="352"/>
      <c r="X197" s="352"/>
      <c r="Y197" s="352"/>
      <c r="Z197" s="352"/>
      <c r="AA197" s="352"/>
      <c r="AB197" s="352"/>
      <c r="AC197" s="352"/>
      <c r="AD197" s="352"/>
      <c r="AE197" s="352"/>
      <c r="AF197" s="352"/>
      <c r="AG197" s="352"/>
      <c r="AH197" s="352"/>
      <c r="AI197" s="352"/>
      <c r="AJ197" s="352"/>
      <c r="AK197" s="353"/>
      <c r="AL197" s="32"/>
      <c r="AM197" s="32"/>
      <c r="AN197" s="32"/>
      <c r="AO197" s="32"/>
      <c r="AP197" s="32"/>
      <c r="AQ197" s="32"/>
      <c r="AR197" s="32"/>
      <c r="AS197" s="32"/>
      <c r="AT197" s="32"/>
      <c r="AU197" s="32"/>
      <c r="AV197" s="32"/>
      <c r="AW197" s="32"/>
      <c r="AX197" s="33"/>
      <c r="AY197" s="33"/>
      <c r="AZ197" s="43"/>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c r="CY197" s="9"/>
      <c r="CZ197" s="9"/>
      <c r="DA197" s="9"/>
      <c r="DB197" s="9"/>
      <c r="DC197" s="9"/>
      <c r="DD197" s="9"/>
      <c r="DE197" s="9" t="s">
        <v>765</v>
      </c>
      <c r="DF197" s="9"/>
      <c r="DG197" s="9"/>
      <c r="DH197" s="9"/>
      <c r="DI197" s="9"/>
      <c r="DJ197" s="9"/>
      <c r="DK197" s="9"/>
      <c r="DL197" s="9"/>
      <c r="DM197" s="9"/>
      <c r="DN197" s="9"/>
      <c r="DO197" s="9"/>
      <c r="DP197" s="9"/>
      <c r="DQ197" s="9"/>
      <c r="DR197" s="9"/>
      <c r="DS197" s="9"/>
      <c r="DT197" s="9"/>
      <c r="DU197" s="9"/>
      <c r="DV197" s="9"/>
      <c r="DW197" s="9"/>
      <c r="DX197" s="9"/>
      <c r="DY197" s="9"/>
      <c r="DZ197" s="9"/>
      <c r="EA197" s="9"/>
      <c r="EB197" s="9"/>
      <c r="EC197" s="9"/>
      <c r="ED197" s="9"/>
      <c r="EE197" s="9"/>
      <c r="EF197" s="9"/>
    </row>
    <row r="198" spans="1:136" ht="23.1" customHeight="1" x14ac:dyDescent="0.2">
      <c r="A198" s="60"/>
      <c r="B198" s="354"/>
      <c r="C198" s="355"/>
      <c r="D198" s="355"/>
      <c r="E198" s="355"/>
      <c r="F198" s="355"/>
      <c r="G198" s="355"/>
      <c r="H198" s="355"/>
      <c r="I198" s="355"/>
      <c r="J198" s="355"/>
      <c r="K198" s="355"/>
      <c r="L198" s="355"/>
      <c r="M198" s="355"/>
      <c r="N198" s="355"/>
      <c r="O198" s="355"/>
      <c r="P198" s="355"/>
      <c r="Q198" s="355"/>
      <c r="R198" s="355"/>
      <c r="S198" s="355"/>
      <c r="T198" s="355"/>
      <c r="U198" s="355"/>
      <c r="V198" s="355"/>
      <c r="W198" s="355"/>
      <c r="X198" s="355"/>
      <c r="Y198" s="355"/>
      <c r="Z198" s="355"/>
      <c r="AA198" s="355"/>
      <c r="AB198" s="355"/>
      <c r="AC198" s="355"/>
      <c r="AD198" s="355"/>
      <c r="AE198" s="355"/>
      <c r="AF198" s="355"/>
      <c r="AG198" s="355"/>
      <c r="AH198" s="355"/>
      <c r="AI198" s="355"/>
      <c r="AJ198" s="355"/>
      <c r="AK198" s="356"/>
      <c r="AL198" s="32" t="e">
        <f>ROW(#REF!)</f>
        <v>#REF!</v>
      </c>
      <c r="AM198" s="32"/>
      <c r="AN198" s="32"/>
      <c r="AO198" s="32"/>
      <c r="AP198" s="32"/>
      <c r="AQ198" s="32"/>
      <c r="AR198" s="32"/>
      <c r="AS198" s="32"/>
      <c r="AT198" s="32"/>
      <c r="AU198" s="32"/>
      <c r="AV198" s="32"/>
      <c r="AW198" s="32"/>
      <c r="AX198" s="33"/>
      <c r="AY198" s="33"/>
      <c r="AZ198" s="43"/>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c r="CY198" s="9"/>
      <c r="CZ198" s="9"/>
      <c r="DA198" s="9"/>
      <c r="DB198" s="9"/>
      <c r="DC198" s="9"/>
      <c r="DD198" s="9"/>
      <c r="DE198" s="9" t="s">
        <v>766</v>
      </c>
      <c r="DF198" s="9"/>
      <c r="DG198" s="9"/>
      <c r="DH198" s="9"/>
      <c r="DI198" s="9"/>
      <c r="DJ198" s="9"/>
      <c r="DK198" s="9"/>
      <c r="DL198" s="9"/>
      <c r="DM198" s="9"/>
      <c r="DN198" s="9"/>
      <c r="DO198" s="9"/>
      <c r="DP198" s="9"/>
      <c r="DQ198" s="9"/>
      <c r="DR198" s="9"/>
      <c r="DS198" s="9"/>
      <c r="DT198" s="9"/>
      <c r="DU198" s="9"/>
      <c r="DV198" s="9"/>
      <c r="DW198" s="9"/>
      <c r="DX198" s="9"/>
      <c r="DY198" s="9"/>
      <c r="DZ198" s="9"/>
      <c r="EA198" s="9"/>
      <c r="EB198" s="9"/>
      <c r="EC198" s="9"/>
      <c r="ED198" s="9"/>
      <c r="EE198" s="9"/>
      <c r="EF198" s="9"/>
    </row>
    <row r="199" spans="1:136" ht="6" customHeight="1" x14ac:dyDescent="0.2">
      <c r="A199" s="60"/>
      <c r="B199" s="341"/>
      <c r="C199" s="342"/>
      <c r="D199" s="342"/>
      <c r="E199" s="342"/>
      <c r="F199" s="342"/>
      <c r="G199" s="342"/>
      <c r="H199" s="342"/>
      <c r="I199" s="342"/>
      <c r="J199" s="342"/>
      <c r="K199" s="342"/>
      <c r="L199" s="342"/>
      <c r="M199" s="342"/>
      <c r="N199" s="342"/>
      <c r="O199" s="342"/>
      <c r="P199" s="342"/>
      <c r="Q199" s="342"/>
      <c r="R199" s="342"/>
      <c r="S199" s="342"/>
      <c r="T199" s="342"/>
      <c r="U199" s="342"/>
      <c r="V199" s="342"/>
      <c r="W199" s="342"/>
      <c r="X199" s="342"/>
      <c r="Y199" s="342"/>
      <c r="Z199" s="342"/>
      <c r="AA199" s="342"/>
      <c r="AB199" s="342"/>
      <c r="AC199" s="342"/>
      <c r="AD199" s="342"/>
      <c r="AE199" s="342"/>
      <c r="AF199" s="342"/>
      <c r="AG199" s="342"/>
      <c r="AH199" s="342"/>
      <c r="AI199" s="342"/>
      <c r="AJ199" s="342"/>
      <c r="AK199" s="343"/>
      <c r="AL199" s="32"/>
      <c r="AM199" s="32"/>
      <c r="AN199" s="32"/>
      <c r="AO199" s="32"/>
      <c r="AP199" s="32"/>
      <c r="AQ199" s="32"/>
      <c r="AR199" s="32"/>
      <c r="AS199" s="32"/>
      <c r="AT199" s="32"/>
      <c r="AU199" s="32"/>
      <c r="AV199" s="32"/>
      <c r="AW199" s="32"/>
      <c r="AX199" s="33"/>
      <c r="AY199" s="33"/>
      <c r="AZ199" s="43"/>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c r="CY199" s="9"/>
      <c r="CZ199" s="9"/>
      <c r="DA199" s="9"/>
      <c r="DB199" s="9"/>
      <c r="DC199" s="9"/>
      <c r="DD199" s="9"/>
      <c r="DE199" s="9"/>
      <c r="DF199" s="9"/>
      <c r="DG199" s="9"/>
      <c r="DH199" s="9"/>
      <c r="DI199" s="9"/>
      <c r="DJ199" s="9"/>
      <c r="DK199" s="9"/>
      <c r="DL199" s="9"/>
      <c r="DM199" s="9"/>
      <c r="DN199" s="9"/>
      <c r="DO199" s="9"/>
      <c r="DP199" s="9"/>
      <c r="DQ199" s="9"/>
      <c r="DR199" s="9"/>
      <c r="DS199" s="9"/>
      <c r="DT199" s="9"/>
      <c r="DU199" s="9"/>
      <c r="DV199" s="9"/>
      <c r="DW199" s="9"/>
      <c r="DX199" s="9"/>
      <c r="DY199" s="9"/>
      <c r="DZ199" s="9"/>
      <c r="EA199" s="9"/>
      <c r="EB199" s="9"/>
      <c r="EC199" s="9"/>
      <c r="ED199" s="9"/>
      <c r="EE199" s="9"/>
      <c r="EF199" s="9"/>
    </row>
    <row r="200" spans="1:136" ht="14.25" customHeight="1" x14ac:dyDescent="0.2">
      <c r="A200" s="63">
        <v>14</v>
      </c>
      <c r="B200" s="357" t="s">
        <v>3470</v>
      </c>
      <c r="C200" s="531"/>
      <c r="D200" s="531"/>
      <c r="E200" s="531"/>
      <c r="F200" s="531"/>
      <c r="G200" s="531"/>
      <c r="H200" s="531"/>
      <c r="I200" s="531"/>
      <c r="J200" s="531"/>
      <c r="K200" s="531"/>
      <c r="L200" s="531"/>
      <c r="M200" s="531"/>
      <c r="N200" s="531"/>
      <c r="O200" s="531"/>
      <c r="P200" s="531"/>
      <c r="Q200" s="531"/>
      <c r="R200" s="531"/>
      <c r="S200" s="531"/>
      <c r="T200" s="531"/>
      <c r="U200" s="531"/>
      <c r="V200" s="531"/>
      <c r="W200" s="531"/>
      <c r="X200" s="531"/>
      <c r="Y200" s="531"/>
      <c r="Z200" s="531"/>
      <c r="AA200" s="531"/>
      <c r="AB200" s="531"/>
      <c r="AC200" s="531"/>
      <c r="AD200" s="531"/>
      <c r="AE200" s="531"/>
      <c r="AF200" s="531"/>
      <c r="AG200" s="531"/>
      <c r="AH200" s="531"/>
      <c r="AI200" s="531"/>
      <c r="AJ200" s="531"/>
      <c r="AK200" s="532"/>
      <c r="AM200" s="57"/>
      <c r="AN200" s="57"/>
      <c r="AO200" s="57"/>
      <c r="AP200" s="57"/>
      <c r="AQ200" s="57"/>
      <c r="AR200" s="57"/>
      <c r="AS200" s="57"/>
      <c r="AT200" s="57"/>
      <c r="AU200" s="57"/>
      <c r="AV200" s="57"/>
      <c r="AW200" s="57"/>
    </row>
    <row r="201" spans="1:136" x14ac:dyDescent="0.2">
      <c r="A201" s="48"/>
      <c r="B201" s="553" t="s">
        <v>3544</v>
      </c>
      <c r="C201" s="554"/>
      <c r="D201" s="554"/>
      <c r="E201" s="554"/>
      <c r="F201" s="554"/>
      <c r="G201" s="554"/>
      <c r="H201" s="554"/>
      <c r="I201" s="554"/>
      <c r="J201" s="554"/>
      <c r="K201" s="554"/>
      <c r="L201" s="554"/>
      <c r="M201" s="554"/>
      <c r="N201" s="554"/>
      <c r="O201" s="554"/>
      <c r="P201" s="554"/>
      <c r="Q201" s="554"/>
      <c r="R201" s="554"/>
      <c r="S201" s="554"/>
      <c r="T201" s="554"/>
      <c r="U201" s="554"/>
      <c r="V201" s="554"/>
      <c r="W201" s="554"/>
      <c r="X201" s="554"/>
      <c r="Y201" s="554"/>
      <c r="Z201" s="554"/>
      <c r="AA201" s="554"/>
      <c r="AB201" s="554"/>
      <c r="AC201" s="554"/>
      <c r="AD201" s="554"/>
      <c r="AE201" s="554"/>
      <c r="AF201" s="554"/>
      <c r="AG201" s="554"/>
      <c r="AH201" s="554"/>
      <c r="AI201" s="554"/>
      <c r="AJ201" s="554"/>
      <c r="AK201" s="555"/>
      <c r="AM201" s="57"/>
      <c r="AN201" s="57"/>
      <c r="AO201" s="57"/>
      <c r="AP201" s="57"/>
      <c r="AQ201" s="57"/>
      <c r="AR201" s="57"/>
      <c r="AS201" s="57"/>
      <c r="AT201" s="57"/>
      <c r="AU201" s="57"/>
      <c r="AV201" s="57"/>
      <c r="AW201" s="57"/>
    </row>
    <row r="202" spans="1:136" x14ac:dyDescent="0.2">
      <c r="A202" s="48"/>
      <c r="B202" s="556"/>
      <c r="C202" s="554"/>
      <c r="D202" s="554"/>
      <c r="E202" s="554"/>
      <c r="F202" s="554"/>
      <c r="G202" s="554"/>
      <c r="H202" s="554"/>
      <c r="I202" s="554"/>
      <c r="J202" s="554"/>
      <c r="K202" s="554"/>
      <c r="L202" s="554"/>
      <c r="M202" s="554"/>
      <c r="N202" s="554"/>
      <c r="O202" s="554"/>
      <c r="P202" s="554"/>
      <c r="Q202" s="554"/>
      <c r="R202" s="554"/>
      <c r="S202" s="554"/>
      <c r="T202" s="554"/>
      <c r="U202" s="554"/>
      <c r="V202" s="554"/>
      <c r="W202" s="554"/>
      <c r="X202" s="554"/>
      <c r="Y202" s="554"/>
      <c r="Z202" s="554"/>
      <c r="AA202" s="554"/>
      <c r="AB202" s="554"/>
      <c r="AC202" s="554"/>
      <c r="AD202" s="554"/>
      <c r="AE202" s="554"/>
      <c r="AF202" s="554"/>
      <c r="AG202" s="554"/>
      <c r="AH202" s="554"/>
      <c r="AI202" s="554"/>
      <c r="AJ202" s="554"/>
      <c r="AK202" s="555"/>
      <c r="AL202" s="57"/>
      <c r="AM202" s="57"/>
      <c r="AN202" s="57"/>
      <c r="AO202" s="57"/>
      <c r="AP202" s="57"/>
      <c r="AQ202" s="57"/>
      <c r="AR202" s="57"/>
      <c r="AS202" s="57"/>
      <c r="AT202" s="57"/>
      <c r="AU202" s="57"/>
      <c r="AV202" s="57"/>
      <c r="AW202" s="57"/>
    </row>
    <row r="203" spans="1:136" x14ac:dyDescent="0.2">
      <c r="A203" s="48"/>
      <c r="B203" s="556"/>
      <c r="C203" s="554"/>
      <c r="D203" s="554"/>
      <c r="E203" s="554"/>
      <c r="F203" s="554"/>
      <c r="G203" s="554"/>
      <c r="H203" s="554"/>
      <c r="I203" s="554"/>
      <c r="J203" s="554"/>
      <c r="K203" s="554"/>
      <c r="L203" s="554"/>
      <c r="M203" s="554"/>
      <c r="N203" s="554"/>
      <c r="O203" s="554"/>
      <c r="P203" s="554"/>
      <c r="Q203" s="554"/>
      <c r="R203" s="554"/>
      <c r="S203" s="554"/>
      <c r="T203" s="554"/>
      <c r="U203" s="554"/>
      <c r="V203" s="554"/>
      <c r="W203" s="554"/>
      <c r="X203" s="554"/>
      <c r="Y203" s="554"/>
      <c r="Z203" s="554"/>
      <c r="AA203" s="554"/>
      <c r="AB203" s="554"/>
      <c r="AC203" s="554"/>
      <c r="AD203" s="554"/>
      <c r="AE203" s="554"/>
      <c r="AF203" s="554"/>
      <c r="AG203" s="554"/>
      <c r="AH203" s="554"/>
      <c r="AI203" s="554"/>
      <c r="AJ203" s="554"/>
      <c r="AK203" s="555"/>
      <c r="AL203" s="57"/>
      <c r="AM203" s="57"/>
      <c r="AN203" s="57"/>
      <c r="AO203" s="57"/>
      <c r="AP203" s="57"/>
      <c r="AQ203" s="57"/>
      <c r="AR203" s="57"/>
      <c r="AS203" s="57"/>
      <c r="AT203" s="57"/>
      <c r="AU203" s="57"/>
      <c r="AV203" s="57"/>
      <c r="AW203" s="57"/>
    </row>
    <row r="204" spans="1:136" x14ac:dyDescent="0.2">
      <c r="A204" s="48"/>
      <c r="B204" s="545" t="s">
        <v>3195</v>
      </c>
      <c r="C204" s="545"/>
      <c r="D204" s="500"/>
      <c r="E204" s="501"/>
      <c r="F204" s="501"/>
      <c r="G204" s="501"/>
      <c r="H204" s="502"/>
      <c r="I204" s="547" t="s">
        <v>3492</v>
      </c>
      <c r="J204" s="548"/>
      <c r="K204" s="548"/>
      <c r="L204" s="548"/>
      <c r="M204" s="548"/>
      <c r="N204" s="548"/>
      <c r="O204" s="548"/>
      <c r="P204" s="548"/>
      <c r="Q204" s="548"/>
      <c r="R204" s="548"/>
      <c r="S204" s="549"/>
      <c r="T204" s="447"/>
      <c r="U204" s="571"/>
      <c r="V204" s="571"/>
      <c r="W204" s="571"/>
      <c r="X204" s="571"/>
      <c r="Y204" s="571"/>
      <c r="Z204" s="571"/>
      <c r="AA204" s="571"/>
      <c r="AB204" s="571"/>
      <c r="AC204" s="571"/>
      <c r="AD204" s="571"/>
      <c r="AE204" s="571"/>
      <c r="AF204" s="571"/>
      <c r="AG204" s="571"/>
      <c r="AH204" s="571"/>
      <c r="AI204" s="571"/>
      <c r="AJ204" s="571"/>
      <c r="AK204" s="572"/>
      <c r="AL204" s="57"/>
      <c r="AM204" s="57"/>
      <c r="AN204" s="57"/>
      <c r="AO204" s="57"/>
      <c r="AP204" s="57"/>
      <c r="AQ204" s="57"/>
      <c r="AR204" s="57"/>
      <c r="AS204" s="57"/>
      <c r="AT204" s="57"/>
      <c r="AU204" s="57"/>
      <c r="AV204" s="57"/>
      <c r="AW204" s="57"/>
    </row>
    <row r="205" spans="1:136" x14ac:dyDescent="0.2">
      <c r="A205" s="48"/>
      <c r="B205" s="546"/>
      <c r="C205" s="546"/>
      <c r="D205" s="503"/>
      <c r="E205" s="504"/>
      <c r="F205" s="504"/>
      <c r="G205" s="504"/>
      <c r="H205" s="505"/>
      <c r="I205" s="550"/>
      <c r="J205" s="551"/>
      <c r="K205" s="551"/>
      <c r="L205" s="551"/>
      <c r="M205" s="551"/>
      <c r="N205" s="551"/>
      <c r="O205" s="551"/>
      <c r="P205" s="551"/>
      <c r="Q205" s="551"/>
      <c r="R205" s="551"/>
      <c r="S205" s="552"/>
      <c r="T205" s="573"/>
      <c r="U205" s="574"/>
      <c r="V205" s="574"/>
      <c r="W205" s="574"/>
      <c r="X205" s="574"/>
      <c r="Y205" s="574"/>
      <c r="Z205" s="574"/>
      <c r="AA205" s="574"/>
      <c r="AB205" s="574"/>
      <c r="AC205" s="574"/>
      <c r="AD205" s="574"/>
      <c r="AE205" s="574"/>
      <c r="AF205" s="574"/>
      <c r="AG205" s="574"/>
      <c r="AH205" s="574"/>
      <c r="AI205" s="574"/>
      <c r="AJ205" s="574"/>
      <c r="AK205" s="575"/>
      <c r="AL205" s="57"/>
      <c r="AM205" s="57"/>
      <c r="AN205" s="57"/>
      <c r="AO205" s="57"/>
      <c r="AP205" s="57"/>
      <c r="AQ205" s="57"/>
      <c r="AR205" s="57"/>
      <c r="AS205" s="57"/>
      <c r="AT205" s="57"/>
      <c r="AU205" s="57"/>
      <c r="AV205" s="57"/>
      <c r="AW205" s="57"/>
    </row>
    <row r="206" spans="1:136" ht="18" hidden="1" customHeight="1" x14ac:dyDescent="0.2">
      <c r="A206" s="48"/>
      <c r="B206" s="576" t="s">
        <v>3471</v>
      </c>
      <c r="C206" s="577"/>
      <c r="D206" s="577"/>
      <c r="E206" s="577"/>
      <c r="F206" s="577"/>
      <c r="G206" s="577"/>
      <c r="H206" s="577"/>
      <c r="I206" s="577"/>
      <c r="J206" s="577"/>
      <c r="K206" s="577"/>
      <c r="L206" s="577"/>
      <c r="M206" s="577"/>
      <c r="N206" s="577"/>
      <c r="O206" s="577"/>
      <c r="P206" s="577"/>
      <c r="Q206" s="577"/>
      <c r="R206" s="577"/>
      <c r="S206" s="577"/>
      <c r="T206" s="577"/>
      <c r="U206" s="577"/>
      <c r="V206" s="577"/>
      <c r="W206" s="577"/>
      <c r="X206" s="577"/>
      <c r="Y206" s="577"/>
      <c r="Z206" s="577"/>
      <c r="AA206" s="577"/>
      <c r="AB206" s="577"/>
      <c r="AC206" s="577"/>
      <c r="AD206" s="577"/>
      <c r="AE206" s="577"/>
      <c r="AF206" s="577"/>
      <c r="AG206" s="577"/>
      <c r="AH206" s="577"/>
      <c r="AI206" s="577"/>
      <c r="AJ206" s="577"/>
      <c r="AK206" s="578"/>
      <c r="AL206" s="57"/>
      <c r="AM206" s="57"/>
      <c r="AN206" s="57"/>
      <c r="AO206" s="57"/>
      <c r="AP206" s="57"/>
      <c r="AQ206" s="57"/>
      <c r="AR206" s="57"/>
      <c r="AS206" s="57"/>
      <c r="AT206" s="57"/>
      <c r="AU206" s="57"/>
      <c r="AV206" s="57"/>
      <c r="AW206" s="57"/>
    </row>
    <row r="207" spans="1:136" hidden="1" x14ac:dyDescent="0.2">
      <c r="A207" s="48"/>
      <c r="B207" s="545" t="s">
        <v>767</v>
      </c>
      <c r="C207" s="545"/>
      <c r="D207" s="500"/>
      <c r="E207" s="501"/>
      <c r="F207" s="501"/>
      <c r="G207" s="501"/>
      <c r="H207" s="502"/>
      <c r="I207" s="547" t="s">
        <v>768</v>
      </c>
      <c r="J207" s="548"/>
      <c r="K207" s="548"/>
      <c r="L207" s="548"/>
      <c r="M207" s="548"/>
      <c r="N207" s="548"/>
      <c r="O207" s="548"/>
      <c r="P207" s="548"/>
      <c r="Q207" s="548"/>
      <c r="R207" s="548"/>
      <c r="S207" s="549"/>
      <c r="T207" s="566"/>
      <c r="U207" s="567"/>
      <c r="V207" s="567"/>
      <c r="W207" s="567"/>
      <c r="X207" s="567"/>
      <c r="Y207" s="567"/>
      <c r="Z207" s="567"/>
      <c r="AA207" s="567"/>
      <c r="AB207" s="567"/>
      <c r="AC207" s="567"/>
      <c r="AD207" s="567"/>
      <c r="AE207" s="567"/>
      <c r="AF207" s="567"/>
      <c r="AG207" s="567"/>
      <c r="AH207" s="567"/>
      <c r="AI207" s="567"/>
      <c r="AJ207" s="567"/>
      <c r="AK207" s="568"/>
      <c r="AL207" s="57"/>
      <c r="AM207" s="57"/>
      <c r="AN207" s="57"/>
      <c r="AO207" s="57"/>
      <c r="AP207" s="57"/>
      <c r="AQ207" s="57"/>
      <c r="AR207" s="57"/>
      <c r="AS207" s="57"/>
      <c r="AT207" s="57"/>
      <c r="AU207" s="57"/>
      <c r="AV207" s="57"/>
      <c r="AW207" s="57"/>
    </row>
    <row r="208" spans="1:136" hidden="1" x14ac:dyDescent="0.2">
      <c r="A208" s="48"/>
      <c r="B208" s="546"/>
      <c r="C208" s="546"/>
      <c r="D208" s="503"/>
      <c r="E208" s="504"/>
      <c r="F208" s="504"/>
      <c r="G208" s="504"/>
      <c r="H208" s="505"/>
      <c r="I208" s="550"/>
      <c r="J208" s="551"/>
      <c r="K208" s="551"/>
      <c r="L208" s="551"/>
      <c r="M208" s="551"/>
      <c r="N208" s="551"/>
      <c r="O208" s="551"/>
      <c r="P208" s="551"/>
      <c r="Q208" s="551"/>
      <c r="R208" s="551"/>
      <c r="S208" s="552"/>
      <c r="T208" s="536"/>
      <c r="U208" s="537"/>
      <c r="V208" s="537"/>
      <c r="W208" s="537"/>
      <c r="X208" s="537"/>
      <c r="Y208" s="537"/>
      <c r="Z208" s="537"/>
      <c r="AA208" s="537"/>
      <c r="AB208" s="537"/>
      <c r="AC208" s="537"/>
      <c r="AD208" s="537"/>
      <c r="AE208" s="537"/>
      <c r="AF208" s="537"/>
      <c r="AG208" s="537"/>
      <c r="AH208" s="537"/>
      <c r="AI208" s="537"/>
      <c r="AJ208" s="537"/>
      <c r="AK208" s="569"/>
      <c r="AL208" s="57"/>
      <c r="AM208" s="57"/>
      <c r="AN208" s="57"/>
      <c r="AO208" s="57"/>
      <c r="AP208" s="57"/>
      <c r="AQ208" s="57"/>
      <c r="AR208" s="57"/>
      <c r="AS208" s="57"/>
      <c r="AT208" s="57"/>
      <c r="AU208" s="57"/>
      <c r="AV208" s="57"/>
      <c r="AW208" s="57"/>
    </row>
    <row r="209" spans="1:49" hidden="1" x14ac:dyDescent="0.2">
      <c r="A209" s="48"/>
      <c r="B209" s="570" t="s">
        <v>3472</v>
      </c>
      <c r="C209" s="570"/>
      <c r="D209" s="570"/>
      <c r="E209" s="570"/>
      <c r="F209" s="570"/>
      <c r="G209" s="570"/>
      <c r="H209" s="570"/>
      <c r="I209" s="570"/>
      <c r="J209" s="570"/>
      <c r="K209" s="570"/>
      <c r="L209" s="570"/>
      <c r="M209" s="570"/>
      <c r="N209" s="570"/>
      <c r="O209" s="570"/>
      <c r="P209" s="570"/>
      <c r="Q209" s="570"/>
      <c r="R209" s="570"/>
      <c r="S209" s="570"/>
      <c r="T209" s="570"/>
      <c r="U209" s="570"/>
      <c r="V209" s="570"/>
      <c r="W209" s="570"/>
      <c r="X209" s="570"/>
      <c r="Y209" s="570"/>
      <c r="Z209" s="570"/>
      <c r="AA209" s="570"/>
      <c r="AB209" s="570"/>
      <c r="AC209" s="570"/>
      <c r="AD209" s="570"/>
      <c r="AE209" s="570"/>
      <c r="AF209" s="570"/>
      <c r="AG209" s="570"/>
      <c r="AH209" s="570"/>
      <c r="AI209" s="570"/>
      <c r="AJ209" s="570"/>
      <c r="AK209" s="570"/>
      <c r="AL209" s="57"/>
      <c r="AM209" s="57"/>
      <c r="AN209" s="57"/>
      <c r="AO209" s="57"/>
      <c r="AP209" s="57"/>
      <c r="AQ209" s="57"/>
      <c r="AR209" s="57"/>
      <c r="AS209" s="57"/>
      <c r="AT209" s="57"/>
      <c r="AU209" s="57"/>
      <c r="AV209" s="57"/>
      <c r="AW209" s="57"/>
    </row>
    <row r="210" spans="1:49" ht="26.25" hidden="1" customHeight="1" x14ac:dyDescent="0.2">
      <c r="A210" s="48"/>
      <c r="B210" s="345" t="s">
        <v>3501</v>
      </c>
      <c r="C210" s="346"/>
      <c r="D210" s="346"/>
      <c r="E210" s="346"/>
      <c r="F210" s="346"/>
      <c r="G210" s="346"/>
      <c r="H210" s="346"/>
      <c r="I210" s="346"/>
      <c r="J210" s="346"/>
      <c r="K210" s="346"/>
      <c r="L210" s="346"/>
      <c r="M210" s="346"/>
      <c r="N210" s="346"/>
      <c r="O210" s="346"/>
      <c r="P210" s="346"/>
      <c r="Q210" s="346"/>
      <c r="R210" s="346"/>
      <c r="S210" s="346"/>
      <c r="T210" s="346"/>
      <c r="U210" s="346"/>
      <c r="V210" s="346"/>
      <c r="W210" s="346"/>
      <c r="X210" s="346"/>
      <c r="Y210" s="346"/>
      <c r="Z210" s="346"/>
      <c r="AA210" s="346"/>
      <c r="AB210" s="346"/>
      <c r="AC210" s="346"/>
      <c r="AD210" s="346"/>
      <c r="AE210" s="346"/>
      <c r="AF210" s="346"/>
      <c r="AG210" s="346"/>
      <c r="AH210" s="346"/>
      <c r="AI210" s="346"/>
      <c r="AJ210" s="346"/>
      <c r="AK210" s="347"/>
      <c r="AL210" s="57"/>
      <c r="AM210" s="57"/>
      <c r="AN210" s="57"/>
      <c r="AO210" s="57"/>
      <c r="AP210" s="57"/>
      <c r="AQ210" s="57"/>
      <c r="AR210" s="57"/>
      <c r="AS210" s="57"/>
      <c r="AT210" s="57"/>
      <c r="AU210" s="57"/>
      <c r="AV210" s="57"/>
      <c r="AW210" s="57"/>
    </row>
    <row r="211" spans="1:49" hidden="1" x14ac:dyDescent="0.2">
      <c r="A211" s="48"/>
      <c r="B211" s="324" t="s">
        <v>3473</v>
      </c>
      <c r="C211" s="325"/>
      <c r="D211" s="325"/>
      <c r="E211" s="325"/>
      <c r="F211" s="325"/>
      <c r="G211" s="325"/>
      <c r="H211" s="325"/>
      <c r="I211" s="325"/>
      <c r="J211" s="325"/>
      <c r="K211" s="325"/>
      <c r="L211" s="325"/>
      <c r="M211" s="325"/>
      <c r="N211" s="325"/>
      <c r="O211" s="325"/>
      <c r="P211" s="325"/>
      <c r="Q211" s="325"/>
      <c r="R211" s="326"/>
      <c r="S211" s="324" t="s">
        <v>3475</v>
      </c>
      <c r="T211" s="325"/>
      <c r="U211" s="325"/>
      <c r="V211" s="325"/>
      <c r="W211" s="325"/>
      <c r="X211" s="325"/>
      <c r="Y211" s="325"/>
      <c r="Z211" s="325"/>
      <c r="AA211" s="325"/>
      <c r="AB211" s="325"/>
      <c r="AC211" s="325"/>
      <c r="AD211" s="325"/>
      <c r="AE211" s="325"/>
      <c r="AF211" s="325"/>
      <c r="AG211" s="325"/>
      <c r="AH211" s="325"/>
      <c r="AI211" s="325"/>
      <c r="AJ211" s="325"/>
      <c r="AK211" s="326"/>
      <c r="AL211" s="57"/>
      <c r="AM211" s="57"/>
      <c r="AN211" s="57"/>
      <c r="AO211" s="57"/>
      <c r="AP211" s="57"/>
      <c r="AQ211" s="57"/>
      <c r="AR211" s="57"/>
      <c r="AS211" s="57"/>
      <c r="AT211" s="57"/>
      <c r="AU211" s="57"/>
      <c r="AV211" s="57"/>
      <c r="AW211" s="57"/>
    </row>
    <row r="212" spans="1:49" hidden="1" x14ac:dyDescent="0.2">
      <c r="A212" s="48"/>
      <c r="B212" s="344" t="s">
        <v>3481</v>
      </c>
      <c r="C212" s="328"/>
      <c r="D212" s="328"/>
      <c r="E212" s="328"/>
      <c r="F212" s="328"/>
      <c r="G212" s="328"/>
      <c r="H212" s="328"/>
      <c r="I212" s="328"/>
      <c r="J212" s="328"/>
      <c r="K212" s="328"/>
      <c r="L212" s="328"/>
      <c r="M212" s="328"/>
      <c r="N212" s="328"/>
      <c r="O212" s="328"/>
      <c r="P212" s="328"/>
      <c r="Q212" s="328"/>
      <c r="R212" s="329"/>
      <c r="S212" s="344" t="s">
        <v>3482</v>
      </c>
      <c r="T212" s="328"/>
      <c r="U212" s="328"/>
      <c r="V212" s="328"/>
      <c r="W212" s="328"/>
      <c r="X212" s="328"/>
      <c r="Y212" s="328"/>
      <c r="Z212" s="328"/>
      <c r="AA212" s="328"/>
      <c r="AB212" s="328"/>
      <c r="AC212" s="328"/>
      <c r="AD212" s="328"/>
      <c r="AE212" s="328"/>
      <c r="AF212" s="328"/>
      <c r="AG212" s="328"/>
      <c r="AH212" s="328"/>
      <c r="AI212" s="328"/>
      <c r="AJ212" s="328"/>
      <c r="AK212" s="329"/>
      <c r="AL212" s="57"/>
      <c r="AM212" s="57"/>
      <c r="AN212" s="57"/>
      <c r="AO212" s="57"/>
      <c r="AP212" s="57"/>
      <c r="AQ212" s="57"/>
      <c r="AR212" s="57"/>
      <c r="AS212" s="57"/>
      <c r="AT212" s="57"/>
      <c r="AU212" s="57"/>
      <c r="AV212" s="57"/>
      <c r="AW212" s="57"/>
    </row>
    <row r="213" spans="1:49" hidden="1" x14ac:dyDescent="0.2">
      <c r="A213" s="48"/>
      <c r="B213" s="327" t="s">
        <v>3474</v>
      </c>
      <c r="C213" s="328"/>
      <c r="D213" s="328"/>
      <c r="E213" s="328"/>
      <c r="F213" s="328"/>
      <c r="G213" s="328"/>
      <c r="H213" s="328"/>
      <c r="I213" s="328"/>
      <c r="J213" s="328"/>
      <c r="K213" s="328"/>
      <c r="L213" s="328"/>
      <c r="M213" s="328"/>
      <c r="N213" s="328"/>
      <c r="O213" s="328"/>
      <c r="P213" s="328"/>
      <c r="Q213" s="328"/>
      <c r="R213" s="329"/>
      <c r="S213" s="327" t="s">
        <v>3476</v>
      </c>
      <c r="T213" s="328"/>
      <c r="U213" s="328"/>
      <c r="V213" s="328"/>
      <c r="W213" s="328"/>
      <c r="X213" s="328"/>
      <c r="Y213" s="328"/>
      <c r="Z213" s="328"/>
      <c r="AA213" s="328"/>
      <c r="AB213" s="328"/>
      <c r="AC213" s="328"/>
      <c r="AD213" s="328"/>
      <c r="AE213" s="328"/>
      <c r="AF213" s="328"/>
      <c r="AG213" s="328"/>
      <c r="AH213" s="328"/>
      <c r="AI213" s="328"/>
      <c r="AJ213" s="328"/>
      <c r="AK213" s="329"/>
      <c r="AL213" s="57"/>
      <c r="AM213" s="57"/>
      <c r="AN213" s="57"/>
      <c r="AO213" s="57"/>
      <c r="AP213" s="57"/>
      <c r="AQ213" s="57"/>
      <c r="AR213" s="57"/>
      <c r="AS213" s="57"/>
      <c r="AT213" s="57"/>
      <c r="AU213" s="57"/>
      <c r="AV213" s="57"/>
      <c r="AW213" s="57"/>
    </row>
    <row r="214" spans="1:49" hidden="1" x14ac:dyDescent="0.2">
      <c r="A214" s="48"/>
      <c r="B214" s="327" t="s">
        <v>3496</v>
      </c>
      <c r="C214" s="328"/>
      <c r="D214" s="328"/>
      <c r="E214" s="328"/>
      <c r="F214" s="328"/>
      <c r="G214" s="328"/>
      <c r="H214" s="328"/>
      <c r="I214" s="328"/>
      <c r="J214" s="328"/>
      <c r="K214" s="328"/>
      <c r="L214" s="328"/>
      <c r="M214" s="328"/>
      <c r="N214" s="328"/>
      <c r="O214" s="328"/>
      <c r="P214" s="328"/>
      <c r="Q214" s="328"/>
      <c r="R214" s="329"/>
      <c r="S214" s="327" t="s">
        <v>769</v>
      </c>
      <c r="T214" s="328"/>
      <c r="U214" s="328"/>
      <c r="V214" s="328"/>
      <c r="W214" s="328"/>
      <c r="X214" s="328"/>
      <c r="Y214" s="328"/>
      <c r="Z214" s="328"/>
      <c r="AA214" s="328"/>
      <c r="AB214" s="328"/>
      <c r="AC214" s="328"/>
      <c r="AD214" s="328"/>
      <c r="AE214" s="328"/>
      <c r="AF214" s="328"/>
      <c r="AG214" s="328"/>
      <c r="AH214" s="328"/>
      <c r="AI214" s="328"/>
      <c r="AJ214" s="328"/>
      <c r="AK214" s="329"/>
      <c r="AL214" s="57"/>
      <c r="AM214" s="57"/>
      <c r="AN214" s="57"/>
      <c r="AO214" s="57"/>
      <c r="AP214" s="57"/>
      <c r="AQ214" s="57"/>
      <c r="AR214" s="57"/>
      <c r="AS214" s="57"/>
      <c r="AT214" s="57"/>
      <c r="AU214" s="57"/>
      <c r="AV214" s="57"/>
      <c r="AW214" s="57"/>
    </row>
    <row r="215" spans="1:49" hidden="1" x14ac:dyDescent="0.2">
      <c r="A215" s="48"/>
      <c r="B215" s="579"/>
      <c r="C215" s="580"/>
      <c r="D215" s="580"/>
      <c r="E215" s="580"/>
      <c r="F215" s="580"/>
      <c r="G215" s="580"/>
      <c r="H215" s="580"/>
      <c r="I215" s="580"/>
      <c r="J215" s="580"/>
      <c r="K215" s="580"/>
      <c r="L215" s="580"/>
      <c r="M215" s="580"/>
      <c r="N215" s="580"/>
      <c r="O215" s="580"/>
      <c r="P215" s="580"/>
      <c r="Q215" s="580"/>
      <c r="R215" s="581"/>
      <c r="S215" s="542"/>
      <c r="T215" s="543"/>
      <c r="U215" s="543"/>
      <c r="V215" s="543"/>
      <c r="W215" s="543"/>
      <c r="X215" s="543"/>
      <c r="Y215" s="543"/>
      <c r="Z215" s="543"/>
      <c r="AA215" s="543"/>
      <c r="AB215" s="543"/>
      <c r="AC215" s="543"/>
      <c r="AD215" s="543"/>
      <c r="AE215" s="543"/>
      <c r="AF215" s="543"/>
      <c r="AG215" s="543"/>
      <c r="AH215" s="543"/>
      <c r="AI215" s="543"/>
      <c r="AJ215" s="543"/>
      <c r="AK215" s="544"/>
      <c r="AL215" s="57"/>
      <c r="AM215" s="57"/>
      <c r="AN215" s="57"/>
      <c r="AO215" s="57"/>
      <c r="AP215" s="57"/>
      <c r="AQ215" s="57"/>
      <c r="AR215" s="57"/>
      <c r="AS215" s="57"/>
      <c r="AT215" s="57"/>
      <c r="AU215" s="57"/>
      <c r="AV215" s="57"/>
      <c r="AW215" s="57"/>
    </row>
    <row r="216" spans="1:49" hidden="1" x14ac:dyDescent="0.2">
      <c r="A216" s="48"/>
      <c r="B216" s="324" t="s">
        <v>3477</v>
      </c>
      <c r="C216" s="325"/>
      <c r="D216" s="325"/>
      <c r="E216" s="325"/>
      <c r="F216" s="325"/>
      <c r="G216" s="325"/>
      <c r="H216" s="325"/>
      <c r="I216" s="325"/>
      <c r="J216" s="325"/>
      <c r="K216" s="325"/>
      <c r="L216" s="325"/>
      <c r="M216" s="325"/>
      <c r="N216" s="325"/>
      <c r="O216" s="325"/>
      <c r="P216" s="325"/>
      <c r="Q216" s="325"/>
      <c r="R216" s="326"/>
      <c r="S216" s="324"/>
      <c r="T216" s="325"/>
      <c r="U216" s="325"/>
      <c r="V216" s="325"/>
      <c r="W216" s="325"/>
      <c r="X216" s="325"/>
      <c r="Y216" s="325"/>
      <c r="Z216" s="325"/>
      <c r="AA216" s="325"/>
      <c r="AB216" s="325"/>
      <c r="AC216" s="325"/>
      <c r="AD216" s="325"/>
      <c r="AE216" s="325"/>
      <c r="AF216" s="325"/>
      <c r="AG216" s="325"/>
      <c r="AH216" s="325"/>
      <c r="AI216" s="325"/>
      <c r="AJ216" s="325"/>
      <c r="AK216" s="326"/>
      <c r="AL216" s="57"/>
      <c r="AM216" s="57"/>
      <c r="AN216" s="57"/>
      <c r="AO216" s="57"/>
      <c r="AP216" s="57"/>
      <c r="AQ216" s="57"/>
      <c r="AR216" s="57"/>
      <c r="AS216" s="57"/>
      <c r="AT216" s="57"/>
      <c r="AU216" s="57"/>
      <c r="AV216" s="57"/>
      <c r="AW216" s="57"/>
    </row>
    <row r="217" spans="1:49" hidden="1" x14ac:dyDescent="0.2">
      <c r="A217" s="48"/>
      <c r="B217" s="327" t="s">
        <v>3478</v>
      </c>
      <c r="C217" s="328"/>
      <c r="D217" s="328"/>
      <c r="E217" s="328"/>
      <c r="F217" s="328"/>
      <c r="G217" s="328"/>
      <c r="H217" s="328"/>
      <c r="I217" s="328"/>
      <c r="J217" s="328"/>
      <c r="K217" s="328"/>
      <c r="L217" s="328"/>
      <c r="M217" s="328"/>
      <c r="N217" s="328"/>
      <c r="O217" s="328"/>
      <c r="P217" s="328"/>
      <c r="Q217" s="328"/>
      <c r="R217" s="329"/>
      <c r="S217" s="327"/>
      <c r="T217" s="328"/>
      <c r="U217" s="328"/>
      <c r="V217" s="328"/>
      <c r="W217" s="328"/>
      <c r="X217" s="328"/>
      <c r="Y217" s="328"/>
      <c r="Z217" s="328"/>
      <c r="AA217" s="328"/>
      <c r="AB217" s="328"/>
      <c r="AC217" s="328"/>
      <c r="AD217" s="328"/>
      <c r="AE217" s="328"/>
      <c r="AF217" s="328"/>
      <c r="AG217" s="328"/>
      <c r="AH217" s="328"/>
      <c r="AI217" s="328"/>
      <c r="AJ217" s="328"/>
      <c r="AK217" s="329"/>
      <c r="AL217" s="57"/>
      <c r="AM217" s="57"/>
      <c r="AN217" s="57"/>
      <c r="AO217" s="57"/>
      <c r="AP217" s="57"/>
      <c r="AQ217" s="57"/>
      <c r="AR217" s="57"/>
      <c r="AS217" s="57"/>
      <c r="AT217" s="57"/>
      <c r="AU217" s="57"/>
      <c r="AV217" s="57"/>
      <c r="AW217" s="57"/>
    </row>
    <row r="218" spans="1:49" hidden="1" x14ac:dyDescent="0.2">
      <c r="A218" s="48"/>
      <c r="B218" s="327" t="s">
        <v>3483</v>
      </c>
      <c r="C218" s="328"/>
      <c r="D218" s="328"/>
      <c r="E218" s="328"/>
      <c r="F218" s="328"/>
      <c r="G218" s="328"/>
      <c r="H218" s="328"/>
      <c r="I218" s="328"/>
      <c r="J218" s="328"/>
      <c r="K218" s="328"/>
      <c r="L218" s="328"/>
      <c r="M218" s="328"/>
      <c r="N218" s="328"/>
      <c r="O218" s="328"/>
      <c r="P218" s="328"/>
      <c r="Q218" s="328"/>
      <c r="R218" s="329"/>
      <c r="S218" s="327"/>
      <c r="T218" s="328"/>
      <c r="U218" s="328"/>
      <c r="V218" s="328"/>
      <c r="W218" s="328"/>
      <c r="X218" s="328"/>
      <c r="Y218" s="328"/>
      <c r="Z218" s="328"/>
      <c r="AA218" s="328"/>
      <c r="AB218" s="328"/>
      <c r="AC218" s="328"/>
      <c r="AD218" s="328"/>
      <c r="AE218" s="328"/>
      <c r="AF218" s="328"/>
      <c r="AG218" s="328"/>
      <c r="AH218" s="328"/>
      <c r="AI218" s="328"/>
      <c r="AJ218" s="328"/>
      <c r="AK218" s="329"/>
      <c r="AL218" s="57"/>
      <c r="AM218" s="57"/>
      <c r="AN218" s="57"/>
      <c r="AO218" s="57"/>
      <c r="AP218" s="57"/>
      <c r="AQ218" s="57"/>
      <c r="AR218" s="57"/>
      <c r="AS218" s="57"/>
      <c r="AT218" s="57"/>
      <c r="AU218" s="57"/>
      <c r="AV218" s="57"/>
      <c r="AW218" s="57"/>
    </row>
    <row r="219" spans="1:49" hidden="1" x14ac:dyDescent="0.2">
      <c r="A219" s="48"/>
      <c r="B219" s="327" t="s">
        <v>3479</v>
      </c>
      <c r="C219" s="328"/>
      <c r="D219" s="328"/>
      <c r="E219" s="328"/>
      <c r="F219" s="328"/>
      <c r="G219" s="328"/>
      <c r="H219" s="328"/>
      <c r="I219" s="328"/>
      <c r="J219" s="328"/>
      <c r="K219" s="328"/>
      <c r="L219" s="328"/>
      <c r="M219" s="328"/>
      <c r="N219" s="328"/>
      <c r="O219" s="328"/>
      <c r="P219" s="328"/>
      <c r="Q219" s="328"/>
      <c r="R219" s="329"/>
      <c r="S219" s="327"/>
      <c r="T219" s="328"/>
      <c r="U219" s="328"/>
      <c r="V219" s="328"/>
      <c r="W219" s="328"/>
      <c r="X219" s="328"/>
      <c r="Y219" s="328"/>
      <c r="Z219" s="328"/>
      <c r="AA219" s="328"/>
      <c r="AB219" s="328"/>
      <c r="AC219" s="328"/>
      <c r="AD219" s="328"/>
      <c r="AE219" s="328"/>
      <c r="AF219" s="328"/>
      <c r="AG219" s="328"/>
      <c r="AH219" s="328"/>
      <c r="AI219" s="328"/>
      <c r="AJ219" s="328"/>
      <c r="AK219" s="329"/>
      <c r="AL219" s="57"/>
      <c r="AM219" s="57"/>
      <c r="AN219" s="57"/>
      <c r="AO219" s="57"/>
      <c r="AP219" s="57"/>
      <c r="AQ219" s="57"/>
      <c r="AR219" s="57"/>
      <c r="AS219" s="57"/>
      <c r="AT219" s="57"/>
      <c r="AU219" s="57"/>
      <c r="AV219" s="57"/>
      <c r="AW219" s="57"/>
    </row>
    <row r="220" spans="1:49" hidden="1" x14ac:dyDescent="0.2">
      <c r="A220" s="48"/>
      <c r="B220" s="540" t="s">
        <v>3480</v>
      </c>
      <c r="C220" s="541"/>
      <c r="D220" s="541"/>
      <c r="E220" s="541"/>
      <c r="F220" s="541"/>
      <c r="G220" s="541"/>
      <c r="H220" s="541"/>
      <c r="I220" s="541"/>
      <c r="J220" s="541"/>
      <c r="K220" s="541"/>
      <c r="L220" s="541"/>
      <c r="M220" s="541"/>
      <c r="N220" s="541"/>
      <c r="O220" s="541"/>
      <c r="P220" s="541"/>
      <c r="Q220" s="541"/>
      <c r="R220" s="541"/>
      <c r="S220" s="540"/>
      <c r="T220" s="541"/>
      <c r="U220" s="541"/>
      <c r="V220" s="541"/>
      <c r="W220" s="541"/>
      <c r="X220" s="541"/>
      <c r="Y220" s="541"/>
      <c r="Z220" s="541"/>
      <c r="AA220" s="541"/>
      <c r="AB220" s="541"/>
      <c r="AC220" s="541"/>
      <c r="AD220" s="541"/>
      <c r="AE220" s="541"/>
      <c r="AF220" s="541"/>
      <c r="AG220" s="541"/>
      <c r="AH220" s="541"/>
      <c r="AI220" s="541"/>
      <c r="AJ220" s="541"/>
      <c r="AK220" s="541"/>
      <c r="AL220" s="57"/>
      <c r="AM220" s="57"/>
      <c r="AN220" s="57"/>
      <c r="AO220" s="57"/>
      <c r="AP220" s="57"/>
      <c r="AQ220" s="57"/>
      <c r="AR220" s="57"/>
      <c r="AS220" s="57"/>
      <c r="AT220" s="57"/>
      <c r="AU220" s="57"/>
      <c r="AV220" s="57"/>
      <c r="AW220" s="57"/>
    </row>
    <row r="221" spans="1:49" hidden="1" x14ac:dyDescent="0.2">
      <c r="A221" s="48"/>
      <c r="B221" s="323" t="s">
        <v>3497</v>
      </c>
      <c r="C221" s="292"/>
      <c r="D221" s="292"/>
      <c r="E221" s="292"/>
      <c r="F221" s="292"/>
      <c r="G221" s="292"/>
      <c r="H221" s="292"/>
      <c r="I221" s="292"/>
      <c r="J221" s="292"/>
      <c r="K221" s="292"/>
      <c r="L221" s="292"/>
      <c r="M221" s="292"/>
      <c r="N221" s="292"/>
      <c r="O221" s="292"/>
      <c r="P221" s="292"/>
      <c r="Q221" s="292"/>
      <c r="R221" s="292"/>
      <c r="S221" s="323"/>
      <c r="T221" s="292"/>
      <c r="U221" s="292"/>
      <c r="V221" s="292"/>
      <c r="W221" s="292"/>
      <c r="X221" s="292"/>
      <c r="Y221" s="292"/>
      <c r="Z221" s="292"/>
      <c r="AA221" s="292"/>
      <c r="AB221" s="292"/>
      <c r="AC221" s="292"/>
      <c r="AD221" s="292"/>
      <c r="AE221" s="292"/>
      <c r="AF221" s="292"/>
      <c r="AG221" s="292"/>
      <c r="AH221" s="292"/>
      <c r="AI221" s="292"/>
      <c r="AJ221" s="292"/>
      <c r="AK221" s="292"/>
      <c r="AL221" s="57"/>
      <c r="AM221" s="57"/>
      <c r="AN221" s="57"/>
      <c r="AO221" s="57"/>
      <c r="AP221" s="57"/>
      <c r="AQ221" s="57"/>
      <c r="AR221" s="57"/>
      <c r="AS221" s="57"/>
      <c r="AT221" s="57"/>
      <c r="AU221" s="57"/>
      <c r="AV221" s="57"/>
      <c r="AW221" s="57"/>
    </row>
    <row r="222" spans="1:49" ht="4.7" customHeight="1" x14ac:dyDescent="0.2">
      <c r="A222" s="39"/>
      <c r="B222" s="199"/>
      <c r="C222" s="466"/>
      <c r="D222" s="466"/>
      <c r="E222" s="466"/>
      <c r="F222" s="466"/>
      <c r="G222" s="466"/>
      <c r="H222" s="466"/>
      <c r="I222" s="466"/>
      <c r="J222" s="466"/>
      <c r="K222" s="466"/>
      <c r="L222" s="466"/>
      <c r="M222" s="466"/>
      <c r="N222" s="466"/>
      <c r="O222" s="466"/>
      <c r="P222" s="466"/>
      <c r="Q222" s="466"/>
      <c r="R222" s="466"/>
      <c r="S222" s="466"/>
      <c r="T222" s="466"/>
      <c r="U222" s="466"/>
      <c r="V222" s="466"/>
      <c r="W222" s="466"/>
      <c r="X222" s="466"/>
      <c r="Y222" s="466"/>
      <c r="Z222" s="466"/>
      <c r="AA222" s="466"/>
      <c r="AB222" s="466"/>
      <c r="AC222" s="466"/>
      <c r="AD222" s="466"/>
      <c r="AE222" s="466"/>
      <c r="AF222" s="466"/>
      <c r="AG222" s="466"/>
      <c r="AH222" s="466"/>
      <c r="AI222" s="466"/>
      <c r="AJ222" s="466"/>
      <c r="AK222" s="507"/>
      <c r="AL222" s="57"/>
      <c r="AM222" s="57"/>
      <c r="AN222" s="57"/>
      <c r="AO222" s="57"/>
      <c r="AP222" s="57"/>
      <c r="AQ222" s="57"/>
      <c r="AR222" s="57"/>
      <c r="AS222" s="57"/>
      <c r="AT222" s="57"/>
      <c r="AU222" s="57"/>
      <c r="AV222" s="57"/>
      <c r="AW222" s="57"/>
    </row>
    <row r="223" spans="1:49" x14ac:dyDescent="0.2">
      <c r="A223" s="103">
        <v>15</v>
      </c>
      <c r="B223" s="506" t="s">
        <v>3554</v>
      </c>
      <c r="C223" s="466"/>
      <c r="D223" s="466"/>
      <c r="E223" s="466"/>
      <c r="F223" s="466"/>
      <c r="G223" s="466"/>
      <c r="H223" s="507"/>
      <c r="I223" s="508"/>
      <c r="J223" s="509"/>
      <c r="K223" s="509"/>
      <c r="L223" s="509"/>
      <c r="M223" s="509"/>
      <c r="N223" s="509"/>
      <c r="O223" s="509"/>
      <c r="P223" s="509"/>
      <c r="Q223" s="509"/>
      <c r="R223" s="509"/>
      <c r="S223" s="510"/>
      <c r="T223" s="511" t="s">
        <v>3553</v>
      </c>
      <c r="U223" s="512"/>
      <c r="V223" s="512"/>
      <c r="W223" s="512"/>
      <c r="X223" s="512"/>
      <c r="Y223" s="512"/>
      <c r="Z223" s="512"/>
      <c r="AA223" s="512"/>
      <c r="AB223" s="512"/>
      <c r="AC223" s="513"/>
      <c r="AD223" s="508"/>
      <c r="AE223" s="509"/>
      <c r="AF223" s="509"/>
      <c r="AG223" s="509"/>
      <c r="AH223" s="509"/>
      <c r="AI223" s="509"/>
      <c r="AJ223" s="509"/>
      <c r="AK223" s="510"/>
      <c r="AL223" s="57"/>
      <c r="AM223" s="57"/>
      <c r="AN223" s="57"/>
      <c r="AO223" s="57"/>
      <c r="AP223" s="57"/>
      <c r="AQ223" s="57"/>
      <c r="AR223" s="57"/>
      <c r="AS223" s="57"/>
      <c r="AT223" s="57"/>
      <c r="AU223" s="57"/>
      <c r="AV223" s="57"/>
      <c r="AW223" s="57"/>
    </row>
    <row r="224" spans="1:49" ht="3" hidden="1" customHeight="1" x14ac:dyDescent="0.2">
      <c r="A224" s="48"/>
      <c r="B224" s="525"/>
      <c r="C224" s="526"/>
      <c r="D224" s="526"/>
      <c r="E224" s="526"/>
      <c r="F224" s="526"/>
      <c r="G224" s="526"/>
      <c r="H224" s="526"/>
      <c r="I224" s="526"/>
      <c r="J224" s="526"/>
      <c r="K224" s="526"/>
      <c r="L224" s="526"/>
      <c r="M224" s="526"/>
      <c r="N224" s="526"/>
      <c r="O224" s="526"/>
      <c r="P224" s="526"/>
      <c r="Q224" s="526"/>
      <c r="R224" s="526"/>
      <c r="S224" s="526"/>
      <c r="T224" s="526"/>
      <c r="U224" s="526"/>
      <c r="V224" s="526"/>
      <c r="W224" s="526"/>
      <c r="X224" s="526"/>
      <c r="Y224" s="526"/>
      <c r="Z224" s="526"/>
      <c r="AA224" s="526"/>
      <c r="AB224" s="526"/>
      <c r="AC224" s="526"/>
      <c r="AD224" s="526"/>
      <c r="AE224" s="526"/>
      <c r="AF224" s="526"/>
      <c r="AG224" s="526"/>
      <c r="AH224" s="526"/>
      <c r="AI224" s="526"/>
      <c r="AJ224" s="526"/>
      <c r="AK224" s="527"/>
      <c r="AL224" s="57"/>
      <c r="AM224" s="57"/>
      <c r="AN224" s="57"/>
      <c r="AO224" s="57"/>
      <c r="AP224" s="57"/>
      <c r="AQ224" s="57"/>
      <c r="AR224" s="57"/>
      <c r="AS224" s="57"/>
      <c r="AT224" s="57"/>
      <c r="AU224" s="57"/>
      <c r="AV224" s="57"/>
      <c r="AW224" s="57"/>
    </row>
    <row r="225" spans="1:109" hidden="1" x14ac:dyDescent="0.2">
      <c r="A225" s="48"/>
      <c r="B225" s="533" t="s">
        <v>3468</v>
      </c>
      <c r="C225" s="534"/>
      <c r="D225" s="534"/>
      <c r="E225" s="534"/>
      <c r="F225" s="534"/>
      <c r="G225" s="534"/>
      <c r="H225" s="534"/>
      <c r="I225" s="447"/>
      <c r="J225" s="514"/>
      <c r="K225" s="514"/>
      <c r="L225" s="514"/>
      <c r="M225" s="514"/>
      <c r="N225" s="514"/>
      <c r="O225" s="514"/>
      <c r="P225" s="514"/>
      <c r="Q225" s="514"/>
      <c r="R225" s="514"/>
      <c r="S225" s="514"/>
      <c r="T225" s="514"/>
      <c r="U225" s="514"/>
      <c r="V225" s="514"/>
      <c r="W225" s="514"/>
      <c r="X225" s="514"/>
      <c r="Y225" s="514"/>
      <c r="Z225" s="514"/>
      <c r="AA225" s="514"/>
      <c r="AB225" s="514"/>
      <c r="AC225" s="515"/>
      <c r="AD225" s="519" t="s">
        <v>770</v>
      </c>
      <c r="AE225" s="520"/>
      <c r="AF225" s="521"/>
      <c r="AG225" s="500"/>
      <c r="AH225" s="501"/>
      <c r="AI225" s="501"/>
      <c r="AJ225" s="501"/>
      <c r="AK225" s="502"/>
      <c r="AL225" s="57"/>
      <c r="AM225" s="57"/>
      <c r="AN225" s="57"/>
      <c r="AO225" s="57"/>
      <c r="AP225" s="57"/>
      <c r="AQ225" s="57"/>
      <c r="AR225" s="57"/>
      <c r="AS225" s="57"/>
      <c r="AT225" s="57"/>
      <c r="AU225" s="57"/>
      <c r="AV225" s="57"/>
      <c r="AW225" s="57"/>
      <c r="DE225" s="1" t="s">
        <v>771</v>
      </c>
    </row>
    <row r="226" spans="1:109" hidden="1" x14ac:dyDescent="0.2">
      <c r="A226" s="48"/>
      <c r="B226" s="535"/>
      <c r="C226" s="535"/>
      <c r="D226" s="535"/>
      <c r="E226" s="535"/>
      <c r="F226" s="535"/>
      <c r="G226" s="535"/>
      <c r="H226" s="535"/>
      <c r="I226" s="516"/>
      <c r="J226" s="517"/>
      <c r="K226" s="517"/>
      <c r="L226" s="517"/>
      <c r="M226" s="517"/>
      <c r="N226" s="517"/>
      <c r="O226" s="517"/>
      <c r="P226" s="517"/>
      <c r="Q226" s="517"/>
      <c r="R226" s="517"/>
      <c r="S226" s="517"/>
      <c r="T226" s="517"/>
      <c r="U226" s="517"/>
      <c r="V226" s="517"/>
      <c r="W226" s="517"/>
      <c r="X226" s="517"/>
      <c r="Y226" s="517"/>
      <c r="Z226" s="517"/>
      <c r="AA226" s="517"/>
      <c r="AB226" s="517"/>
      <c r="AC226" s="518"/>
      <c r="AD226" s="522"/>
      <c r="AE226" s="523"/>
      <c r="AF226" s="524"/>
      <c r="AG226" s="503"/>
      <c r="AH226" s="504"/>
      <c r="AI226" s="504"/>
      <c r="AJ226" s="504"/>
      <c r="AK226" s="505"/>
      <c r="AL226" s="57"/>
      <c r="AM226" s="57"/>
      <c r="AN226" s="57"/>
      <c r="AO226" s="57"/>
      <c r="AP226" s="57"/>
      <c r="AQ226" s="57"/>
      <c r="AR226" s="57"/>
      <c r="AS226" s="57"/>
      <c r="AT226" s="57"/>
      <c r="AU226" s="57"/>
      <c r="AV226" s="57"/>
      <c r="AW226" s="57"/>
    </row>
    <row r="227" spans="1:109" hidden="1" x14ac:dyDescent="0.2">
      <c r="A227" s="48"/>
      <c r="B227" s="528" t="s">
        <v>3469</v>
      </c>
      <c r="C227" s="529"/>
      <c r="D227" s="529"/>
      <c r="E227" s="529"/>
      <c r="F227" s="529"/>
      <c r="G227" s="529"/>
      <c r="H227" s="529"/>
      <c r="I227" s="529"/>
      <c r="J227" s="529"/>
      <c r="K227" s="529"/>
      <c r="L227" s="529"/>
      <c r="M227" s="529"/>
      <c r="N227" s="529"/>
      <c r="O227" s="529"/>
      <c r="P227" s="529"/>
      <c r="Q227" s="529"/>
      <c r="R227" s="529"/>
      <c r="S227" s="529"/>
      <c r="T227" s="529"/>
      <c r="U227" s="529"/>
      <c r="V227" s="529"/>
      <c r="W227" s="529"/>
      <c r="X227" s="529"/>
      <c r="Y227" s="529"/>
      <c r="Z227" s="529"/>
      <c r="AA227" s="529"/>
      <c r="AB227" s="529"/>
      <c r="AC227" s="529"/>
      <c r="AD227" s="529"/>
      <c r="AE227" s="529"/>
      <c r="AF227" s="529"/>
      <c r="AG227" s="529"/>
      <c r="AH227" s="529"/>
      <c r="AI227" s="529"/>
      <c r="AJ227" s="529"/>
      <c r="AK227" s="530"/>
      <c r="AL227" s="57"/>
      <c r="AM227" s="57"/>
      <c r="AN227" s="57"/>
      <c r="AO227" s="57"/>
      <c r="AP227" s="57"/>
      <c r="AQ227" s="57"/>
      <c r="AR227" s="57"/>
      <c r="AS227" s="57"/>
      <c r="AT227" s="57"/>
      <c r="AU227" s="57"/>
      <c r="AV227" s="57"/>
      <c r="AW227" s="57"/>
    </row>
    <row r="228" spans="1:109" hidden="1" x14ac:dyDescent="0.2">
      <c r="A228" s="48"/>
      <c r="B228" s="584"/>
      <c r="C228" s="585"/>
      <c r="D228" s="585"/>
      <c r="E228" s="585"/>
      <c r="F228" s="585"/>
      <c r="G228" s="585"/>
      <c r="H228" s="585"/>
      <c r="I228" s="585"/>
      <c r="J228" s="585"/>
      <c r="K228" s="585"/>
      <c r="L228" s="585"/>
      <c r="M228" s="585"/>
      <c r="N228" s="585"/>
      <c r="O228" s="585"/>
      <c r="P228" s="585"/>
      <c r="Q228" s="585"/>
      <c r="R228" s="585"/>
      <c r="S228" s="585"/>
      <c r="T228" s="585"/>
      <c r="U228" s="585"/>
      <c r="V228" s="585"/>
      <c r="W228" s="585"/>
      <c r="X228" s="585"/>
      <c r="Y228" s="585"/>
      <c r="Z228" s="585"/>
      <c r="AA228" s="585"/>
      <c r="AB228" s="585"/>
      <c r="AC228" s="585"/>
      <c r="AD228" s="585"/>
      <c r="AE228" s="585"/>
      <c r="AF228" s="585"/>
      <c r="AG228" s="585"/>
      <c r="AH228" s="585"/>
      <c r="AI228" s="585"/>
      <c r="AJ228" s="585"/>
      <c r="AK228" s="586"/>
      <c r="AL228" s="57">
        <v>1</v>
      </c>
      <c r="AM228" s="57"/>
      <c r="AN228" s="57"/>
      <c r="AO228" s="57"/>
      <c r="AP228" s="57"/>
      <c r="AQ228" s="57"/>
      <c r="AR228" s="57"/>
      <c r="AS228" s="57"/>
      <c r="AT228" s="57"/>
      <c r="AU228" s="57"/>
      <c r="AV228" s="57"/>
      <c r="AW228" s="57"/>
      <c r="DE228" s="1" t="s">
        <v>772</v>
      </c>
    </row>
    <row r="229" spans="1:109" hidden="1" x14ac:dyDescent="0.2">
      <c r="A229" s="48"/>
      <c r="B229" s="587"/>
      <c r="C229" s="585"/>
      <c r="D229" s="585"/>
      <c r="E229" s="585"/>
      <c r="F229" s="585"/>
      <c r="G229" s="585"/>
      <c r="H229" s="585"/>
      <c r="I229" s="585"/>
      <c r="J229" s="585"/>
      <c r="K229" s="585"/>
      <c r="L229" s="585"/>
      <c r="M229" s="585"/>
      <c r="N229" s="585"/>
      <c r="O229" s="585"/>
      <c r="P229" s="585"/>
      <c r="Q229" s="585"/>
      <c r="R229" s="585"/>
      <c r="S229" s="585"/>
      <c r="T229" s="585"/>
      <c r="U229" s="585"/>
      <c r="V229" s="585"/>
      <c r="W229" s="585"/>
      <c r="X229" s="585"/>
      <c r="Y229" s="585"/>
      <c r="Z229" s="585"/>
      <c r="AA229" s="585"/>
      <c r="AB229" s="585"/>
      <c r="AC229" s="585"/>
      <c r="AD229" s="585"/>
      <c r="AE229" s="585"/>
      <c r="AF229" s="585"/>
      <c r="AG229" s="585"/>
      <c r="AH229" s="585"/>
      <c r="AI229" s="585"/>
      <c r="AJ229" s="585"/>
      <c r="AK229" s="586"/>
      <c r="AL229" s="57"/>
      <c r="AM229" s="57"/>
      <c r="AN229" s="57"/>
      <c r="AO229" s="57"/>
      <c r="AP229" s="57"/>
      <c r="AQ229" s="57"/>
      <c r="AR229" s="57"/>
      <c r="AS229" s="57"/>
      <c r="AT229" s="57"/>
      <c r="AU229" s="57"/>
      <c r="AV229" s="57"/>
      <c r="AW229" s="57"/>
    </row>
    <row r="230" spans="1:109" hidden="1" x14ac:dyDescent="0.2">
      <c r="A230" s="48"/>
      <c r="B230" s="587"/>
      <c r="C230" s="585"/>
      <c r="D230" s="585"/>
      <c r="E230" s="585"/>
      <c r="F230" s="585"/>
      <c r="G230" s="585"/>
      <c r="H230" s="585"/>
      <c r="I230" s="585"/>
      <c r="J230" s="585"/>
      <c r="K230" s="585"/>
      <c r="L230" s="585"/>
      <c r="M230" s="585"/>
      <c r="N230" s="585"/>
      <c r="O230" s="585"/>
      <c r="P230" s="585"/>
      <c r="Q230" s="585"/>
      <c r="R230" s="585"/>
      <c r="S230" s="585"/>
      <c r="T230" s="585"/>
      <c r="U230" s="585"/>
      <c r="V230" s="585"/>
      <c r="W230" s="585"/>
      <c r="X230" s="585"/>
      <c r="Y230" s="585"/>
      <c r="Z230" s="585"/>
      <c r="AA230" s="585"/>
      <c r="AB230" s="585"/>
      <c r="AC230" s="585"/>
      <c r="AD230" s="585"/>
      <c r="AE230" s="585"/>
      <c r="AF230" s="585"/>
      <c r="AG230" s="585"/>
      <c r="AH230" s="585"/>
      <c r="AI230" s="585"/>
      <c r="AJ230" s="585"/>
      <c r="AK230" s="586"/>
      <c r="AL230" s="57"/>
      <c r="AM230" s="57"/>
      <c r="AN230" s="57"/>
      <c r="AO230" s="57"/>
      <c r="AP230" s="57"/>
      <c r="AQ230" s="57"/>
      <c r="AR230" s="57"/>
      <c r="AS230" s="57"/>
      <c r="AT230" s="57"/>
      <c r="AU230" s="57"/>
      <c r="AV230" s="57"/>
      <c r="AW230" s="57"/>
    </row>
    <row r="231" spans="1:109" hidden="1" x14ac:dyDescent="0.2">
      <c r="A231" s="58"/>
      <c r="B231" s="588"/>
      <c r="C231" s="589"/>
      <c r="D231" s="589"/>
      <c r="E231" s="589"/>
      <c r="F231" s="589"/>
      <c r="G231" s="589"/>
      <c r="H231" s="589"/>
      <c r="I231" s="589"/>
      <c r="J231" s="589"/>
      <c r="K231" s="589"/>
      <c r="L231" s="589"/>
      <c r="M231" s="589"/>
      <c r="N231" s="589"/>
      <c r="O231" s="589"/>
      <c r="P231" s="589"/>
      <c r="Q231" s="589"/>
      <c r="R231" s="589"/>
      <c r="S231" s="589"/>
      <c r="T231" s="589"/>
      <c r="U231" s="589"/>
      <c r="V231" s="589"/>
      <c r="W231" s="589"/>
      <c r="X231" s="589"/>
      <c r="Y231" s="589"/>
      <c r="Z231" s="589"/>
      <c r="AA231" s="589"/>
      <c r="AB231" s="589"/>
      <c r="AC231" s="589"/>
      <c r="AD231" s="589"/>
      <c r="AE231" s="589"/>
      <c r="AF231" s="589"/>
      <c r="AG231" s="589"/>
      <c r="AH231" s="589"/>
      <c r="AI231" s="589"/>
      <c r="AJ231" s="589"/>
      <c r="AK231" s="590"/>
      <c r="AL231" s="57"/>
      <c r="AM231" s="57"/>
      <c r="AN231" s="57"/>
      <c r="AO231" s="57"/>
      <c r="AP231" s="57"/>
      <c r="AQ231" s="57"/>
      <c r="AR231" s="57"/>
      <c r="AS231" s="57"/>
      <c r="AT231" s="57"/>
      <c r="AU231" s="57"/>
      <c r="AV231" s="57"/>
      <c r="AW231" s="57"/>
    </row>
    <row r="232" spans="1:109" x14ac:dyDescent="0.2">
      <c r="A232" s="70"/>
      <c r="B232" s="70"/>
      <c r="C232" s="70"/>
      <c r="D232" s="70"/>
      <c r="E232" s="70"/>
      <c r="F232" s="70"/>
      <c r="G232" s="70"/>
      <c r="H232" s="70"/>
      <c r="I232" s="70"/>
      <c r="J232" s="70"/>
      <c r="K232" s="70"/>
      <c r="L232" s="72"/>
      <c r="M232" s="72"/>
      <c r="N232" s="72"/>
      <c r="O232" s="72"/>
      <c r="P232" s="72"/>
      <c r="Q232" s="72"/>
      <c r="R232" s="72"/>
      <c r="S232" s="72"/>
      <c r="T232" s="73"/>
      <c r="U232" s="73"/>
      <c r="V232" s="73"/>
      <c r="W232" s="73"/>
      <c r="X232" s="73"/>
      <c r="Y232" s="73"/>
      <c r="Z232" s="73"/>
      <c r="AA232" s="73"/>
      <c r="AB232" s="73"/>
      <c r="AC232" s="73"/>
      <c r="AD232" s="73"/>
      <c r="AE232" s="73"/>
      <c r="AF232" s="73"/>
      <c r="AG232" s="73"/>
      <c r="AH232" s="74"/>
      <c r="AI232" s="74"/>
      <c r="AJ232" s="74"/>
      <c r="AK232" s="74"/>
      <c r="AL232" s="71"/>
      <c r="AM232" s="71"/>
      <c r="AN232" s="57"/>
      <c r="AO232" s="57"/>
      <c r="AP232" s="57"/>
      <c r="AQ232" s="57"/>
      <c r="AR232" s="57"/>
      <c r="AS232" s="57"/>
      <c r="AT232" s="57"/>
      <c r="AU232" s="57"/>
      <c r="AV232" s="57"/>
      <c r="AW232" s="57"/>
    </row>
    <row r="233" spans="1:109" x14ac:dyDescent="0.2">
      <c r="A233" s="76"/>
      <c r="B233" s="73"/>
      <c r="C233" s="73"/>
      <c r="D233" s="73"/>
      <c r="E233" s="73"/>
      <c r="F233" s="73"/>
      <c r="G233" s="73"/>
      <c r="H233" s="73"/>
      <c r="I233" s="73"/>
      <c r="J233" s="73"/>
      <c r="K233" s="73"/>
      <c r="L233" s="74"/>
      <c r="M233" s="74"/>
      <c r="N233" s="74"/>
      <c r="O233" s="74"/>
      <c r="P233" s="74"/>
      <c r="Q233" s="74"/>
      <c r="R233" s="74"/>
      <c r="S233" s="74"/>
      <c r="T233" s="73"/>
      <c r="U233" s="73"/>
      <c r="V233" s="73"/>
      <c r="W233" s="73"/>
      <c r="X233" s="73"/>
      <c r="Y233" s="73"/>
      <c r="Z233" s="73"/>
      <c r="AA233" s="73"/>
      <c r="AB233" s="73"/>
      <c r="AC233" s="73"/>
      <c r="AD233" s="74"/>
      <c r="AE233" s="74"/>
      <c r="AF233" s="74"/>
      <c r="AG233" s="74"/>
      <c r="AH233" s="74"/>
      <c r="AI233" s="74"/>
      <c r="AJ233" s="74"/>
      <c r="AK233" s="74"/>
      <c r="AL233" s="71"/>
      <c r="AM233" s="71"/>
      <c r="AN233" s="57"/>
      <c r="AO233" s="57"/>
      <c r="AP233" s="57"/>
      <c r="AQ233" s="57"/>
      <c r="AR233" s="57"/>
      <c r="AS233" s="57"/>
      <c r="AT233" s="57"/>
      <c r="AU233" s="57"/>
      <c r="AV233" s="57"/>
      <c r="AW233" s="57"/>
    </row>
    <row r="234" spans="1:109" x14ac:dyDescent="0.2">
      <c r="A234" s="76"/>
      <c r="B234" s="73"/>
      <c r="C234" s="73"/>
      <c r="D234" s="73"/>
      <c r="E234" s="73"/>
      <c r="F234" s="73"/>
      <c r="G234" s="73"/>
      <c r="H234" s="73"/>
      <c r="I234" s="73"/>
      <c r="J234" s="73"/>
      <c r="K234" s="73"/>
      <c r="L234" s="74"/>
      <c r="M234" s="74"/>
      <c r="N234" s="74"/>
      <c r="O234" s="74"/>
      <c r="P234" s="74"/>
      <c r="Q234" s="74"/>
      <c r="R234" s="74"/>
      <c r="S234" s="74"/>
      <c r="T234" s="73"/>
      <c r="U234" s="73"/>
      <c r="V234" s="73"/>
      <c r="W234" s="73"/>
      <c r="X234" s="73"/>
      <c r="Y234" s="73"/>
      <c r="Z234" s="73"/>
      <c r="AA234" s="73"/>
      <c r="AB234" s="73"/>
      <c r="AC234" s="73"/>
      <c r="AD234" s="73"/>
      <c r="AE234" s="73"/>
      <c r="AF234" s="73"/>
      <c r="AG234" s="73"/>
      <c r="AH234" s="74"/>
      <c r="AI234" s="74"/>
      <c r="AJ234" s="74"/>
      <c r="AK234" s="74"/>
      <c r="AL234" s="71"/>
      <c r="AM234" s="71"/>
      <c r="AN234" s="57"/>
      <c r="AO234" s="57"/>
      <c r="AP234" s="57"/>
      <c r="AQ234" s="57"/>
      <c r="AR234" s="57"/>
      <c r="AS234" s="57"/>
      <c r="AT234" s="57"/>
      <c r="AU234" s="57"/>
      <c r="AV234" s="57"/>
      <c r="AW234" s="57"/>
    </row>
    <row r="235" spans="1:109" ht="12.75" customHeight="1" x14ac:dyDescent="0.2">
      <c r="A235" s="77"/>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1"/>
      <c r="AM235" s="71"/>
      <c r="AN235" s="57"/>
      <c r="AO235" s="57"/>
      <c r="AP235" s="57"/>
      <c r="AQ235" s="57"/>
      <c r="AR235" s="57"/>
      <c r="AS235" s="57"/>
      <c r="AT235" s="57"/>
      <c r="AU235" s="57"/>
      <c r="AV235" s="57"/>
      <c r="AW235" s="57"/>
    </row>
    <row r="236" spans="1:109" x14ac:dyDescent="0.2">
      <c r="A236" s="77"/>
      <c r="B236" s="78"/>
      <c r="C236" s="78"/>
      <c r="D236" s="78"/>
      <c r="E236" s="78"/>
      <c r="F236" s="78"/>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1"/>
      <c r="AM236" s="71"/>
      <c r="AN236" s="57"/>
      <c r="AO236" s="57"/>
      <c r="AP236" s="57"/>
      <c r="AQ236" s="57"/>
      <c r="AR236" s="57"/>
      <c r="AS236" s="57"/>
      <c r="AT236" s="57"/>
      <c r="AU236" s="57"/>
      <c r="AV236" s="57"/>
      <c r="AW236" s="57"/>
    </row>
    <row r="237" spans="1:109" x14ac:dyDescent="0.2">
      <c r="A237" s="77"/>
      <c r="B237" s="76"/>
      <c r="C237" s="76"/>
      <c r="D237" s="76"/>
      <c r="E237" s="76"/>
      <c r="F237" s="76"/>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71"/>
      <c r="AM237" s="71"/>
      <c r="AN237" s="57"/>
      <c r="AO237" s="57"/>
      <c r="AP237" s="57"/>
      <c r="AQ237" s="57"/>
      <c r="AR237" s="57"/>
      <c r="AS237" s="57"/>
      <c r="AT237" s="57"/>
      <c r="AU237" s="57"/>
      <c r="AV237" s="57"/>
      <c r="AW237" s="57"/>
    </row>
    <row r="238" spans="1:109" x14ac:dyDescent="0.2">
      <c r="A238" s="77"/>
      <c r="B238" s="76"/>
      <c r="C238" s="76"/>
      <c r="D238" s="76"/>
      <c r="E238" s="76"/>
      <c r="F238" s="76"/>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71"/>
      <c r="AM238" s="71"/>
      <c r="AN238" s="57"/>
      <c r="AO238" s="57"/>
      <c r="AP238" s="57"/>
      <c r="AQ238" s="57"/>
      <c r="AR238" s="57"/>
      <c r="AS238" s="57"/>
      <c r="AT238" s="57"/>
      <c r="AU238" s="57"/>
      <c r="AV238" s="57"/>
      <c r="AW238" s="57"/>
    </row>
    <row r="239" spans="1:109" x14ac:dyDescent="0.2">
      <c r="A239" s="77"/>
      <c r="B239" s="76"/>
      <c r="C239" s="76"/>
      <c r="D239" s="76"/>
      <c r="E239" s="76"/>
      <c r="F239" s="76"/>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71"/>
      <c r="AM239" s="71"/>
      <c r="AN239" s="57"/>
      <c r="AO239" s="57"/>
      <c r="AP239" s="57"/>
      <c r="AQ239" s="57"/>
      <c r="AR239" s="57"/>
      <c r="AS239" s="57"/>
      <c r="AT239" s="57"/>
      <c r="AU239" s="57"/>
      <c r="AV239" s="57"/>
      <c r="AW239" s="57"/>
    </row>
    <row r="240" spans="1:109"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1"/>
      <c r="AM240" s="71"/>
      <c r="AN240" s="57"/>
      <c r="AO240" s="57"/>
      <c r="AP240" s="57"/>
      <c r="AQ240" s="57"/>
      <c r="AR240" s="57"/>
      <c r="AS240" s="57"/>
      <c r="AT240" s="57"/>
      <c r="AU240" s="57"/>
      <c r="AV240" s="57"/>
      <c r="AW240" s="57"/>
    </row>
    <row r="241" spans="1:49" x14ac:dyDescent="0.2">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57"/>
      <c r="AM241" s="57"/>
      <c r="AN241" s="57"/>
      <c r="AO241" s="57"/>
      <c r="AP241" s="57"/>
      <c r="AQ241" s="57"/>
      <c r="AR241" s="57"/>
      <c r="AS241" s="57"/>
      <c r="AT241" s="57"/>
      <c r="AU241" s="57"/>
      <c r="AV241" s="57"/>
      <c r="AW241" s="57"/>
    </row>
    <row r="242" spans="1:49" ht="12.75" customHeight="1" x14ac:dyDescent="0.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57"/>
      <c r="AM242" s="57"/>
      <c r="AN242" s="57"/>
      <c r="AO242" s="57"/>
      <c r="AP242" s="57"/>
      <c r="AQ242" s="57"/>
      <c r="AR242" s="57"/>
      <c r="AS242" s="57"/>
      <c r="AT242" s="57"/>
      <c r="AU242" s="57"/>
      <c r="AV242" s="57"/>
      <c r="AW242" s="57"/>
    </row>
    <row r="243" spans="1:49" x14ac:dyDescent="0.2">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57"/>
      <c r="AM243" s="57"/>
      <c r="AN243" s="57"/>
      <c r="AO243" s="57"/>
      <c r="AP243" s="57"/>
      <c r="AQ243" s="57"/>
      <c r="AR243" s="57"/>
      <c r="AS243" s="57"/>
      <c r="AT243" s="57"/>
      <c r="AU243" s="57"/>
      <c r="AV243" s="57"/>
      <c r="AW243" s="57"/>
    </row>
    <row r="244" spans="1:49" x14ac:dyDescent="0.2">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57"/>
      <c r="AM244" s="57"/>
      <c r="AN244" s="57"/>
      <c r="AO244" s="57"/>
      <c r="AP244" s="57"/>
      <c r="AQ244" s="57"/>
      <c r="AR244" s="57"/>
      <c r="AS244" s="57"/>
      <c r="AT244" s="57"/>
      <c r="AU244" s="57"/>
      <c r="AV244" s="57"/>
      <c r="AW244" s="57"/>
    </row>
    <row r="245" spans="1:49" x14ac:dyDescent="0.2">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57"/>
      <c r="AM245" s="57"/>
      <c r="AN245" s="57"/>
      <c r="AO245" s="57"/>
      <c r="AP245" s="57"/>
      <c r="AQ245" s="57"/>
      <c r="AR245" s="57"/>
      <c r="AS245" s="57"/>
      <c r="AT245" s="57"/>
      <c r="AU245" s="57"/>
      <c r="AV245" s="57"/>
      <c r="AW245" s="57"/>
    </row>
    <row r="246" spans="1:49" x14ac:dyDescent="0.2">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57"/>
      <c r="AM246" s="57"/>
      <c r="AN246" s="57"/>
      <c r="AO246" s="57"/>
      <c r="AP246" s="57"/>
      <c r="AQ246" s="57"/>
      <c r="AR246" s="57"/>
      <c r="AS246" s="57"/>
      <c r="AT246" s="57"/>
      <c r="AU246" s="57"/>
      <c r="AV246" s="57"/>
      <c r="AW246" s="57"/>
    </row>
    <row r="247" spans="1:49" x14ac:dyDescent="0.2">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57"/>
      <c r="AM247" s="57"/>
      <c r="AN247" s="57"/>
      <c r="AO247" s="57"/>
      <c r="AP247" s="57"/>
      <c r="AQ247" s="57"/>
      <c r="AR247" s="57"/>
      <c r="AS247" s="57"/>
      <c r="AT247" s="57"/>
      <c r="AU247" s="57"/>
      <c r="AV247" s="57"/>
      <c r="AW247" s="57"/>
    </row>
    <row r="248" spans="1:49" x14ac:dyDescent="0.2">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57"/>
      <c r="AM248" s="57"/>
      <c r="AN248" s="57"/>
      <c r="AO248" s="57"/>
      <c r="AP248" s="57"/>
      <c r="AQ248" s="57"/>
      <c r="AR248" s="57"/>
      <c r="AS248" s="57"/>
      <c r="AT248" s="57"/>
      <c r="AU248" s="57"/>
      <c r="AV248" s="57"/>
      <c r="AW248" s="57"/>
    </row>
    <row r="249" spans="1:49" x14ac:dyDescent="0.2">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57"/>
      <c r="AM249" s="57"/>
      <c r="AN249" s="57"/>
      <c r="AO249" s="57"/>
      <c r="AP249" s="57"/>
      <c r="AQ249" s="57"/>
      <c r="AR249" s="57"/>
      <c r="AS249" s="57"/>
      <c r="AT249" s="57"/>
      <c r="AU249" s="57"/>
      <c r="AV249" s="57"/>
      <c r="AW249" s="57"/>
    </row>
    <row r="250" spans="1:49" x14ac:dyDescent="0.2">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57"/>
      <c r="AM250" s="57"/>
      <c r="AN250" s="57"/>
      <c r="AO250" s="57"/>
      <c r="AP250" s="57"/>
      <c r="AQ250" s="57"/>
      <c r="AR250" s="57"/>
      <c r="AS250" s="57"/>
      <c r="AT250" s="57"/>
      <c r="AU250" s="57"/>
      <c r="AV250" s="57"/>
      <c r="AW250" s="57"/>
    </row>
    <row r="251" spans="1:49" x14ac:dyDescent="0.2">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57"/>
      <c r="AM251" s="57"/>
      <c r="AN251" s="57"/>
      <c r="AO251" s="57"/>
      <c r="AP251" s="57"/>
      <c r="AQ251" s="57"/>
      <c r="AR251" s="57"/>
      <c r="AS251" s="57"/>
      <c r="AT251" s="57"/>
      <c r="AU251" s="57"/>
      <c r="AV251" s="57"/>
      <c r="AW251" s="57"/>
    </row>
    <row r="252" spans="1:49" x14ac:dyDescent="0.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57"/>
      <c r="AM252" s="57"/>
      <c r="AN252" s="57"/>
      <c r="AO252" s="57"/>
      <c r="AP252" s="57"/>
      <c r="AQ252" s="57"/>
      <c r="AR252" s="57"/>
      <c r="AS252" s="57"/>
      <c r="AT252" s="57"/>
      <c r="AU252" s="57"/>
      <c r="AV252" s="57"/>
      <c r="AW252" s="57"/>
    </row>
    <row r="253" spans="1:49" x14ac:dyDescent="0.2">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57"/>
      <c r="AM253" s="57"/>
      <c r="AN253" s="57"/>
      <c r="AO253" s="57"/>
      <c r="AP253" s="57"/>
      <c r="AQ253" s="57"/>
      <c r="AR253" s="57"/>
      <c r="AS253" s="57"/>
      <c r="AT253" s="57"/>
      <c r="AU253" s="57"/>
      <c r="AV253" s="57"/>
      <c r="AW253" s="57"/>
    </row>
    <row r="254" spans="1:49" x14ac:dyDescent="0.2">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57"/>
      <c r="AM254" s="57"/>
      <c r="AN254" s="57"/>
      <c r="AO254" s="57"/>
      <c r="AP254" s="57"/>
      <c r="AQ254" s="57"/>
      <c r="AR254" s="57"/>
      <c r="AS254" s="57"/>
      <c r="AT254" s="57"/>
      <c r="AU254" s="57"/>
      <c r="AV254" s="57"/>
      <c r="AW254" s="57"/>
    </row>
    <row r="255" spans="1:49" x14ac:dyDescent="0.2">
      <c r="AL255" s="57"/>
      <c r="AM255" s="57"/>
      <c r="AN255" s="57"/>
      <c r="AO255" s="57"/>
      <c r="AP255" s="57"/>
      <c r="AQ255" s="57"/>
      <c r="AR255" s="57"/>
      <c r="AS255" s="57"/>
      <c r="AT255" s="57"/>
      <c r="AU255" s="57"/>
      <c r="AV255" s="57"/>
      <c r="AW255" s="57"/>
    </row>
    <row r="256" spans="1:49" x14ac:dyDescent="0.2">
      <c r="AL256" s="57"/>
      <c r="AM256" s="57"/>
      <c r="AN256" s="57"/>
      <c r="AO256" s="57"/>
      <c r="AP256" s="57"/>
      <c r="AQ256" s="57"/>
      <c r="AR256" s="57"/>
      <c r="AS256" s="57"/>
      <c r="AT256" s="57"/>
      <c r="AU256" s="57"/>
      <c r="AV256" s="57"/>
      <c r="AW256" s="57"/>
    </row>
    <row r="257" spans="38:49" x14ac:dyDescent="0.2">
      <c r="AL257" s="57"/>
      <c r="AM257" s="57"/>
      <c r="AN257" s="57"/>
      <c r="AO257" s="57"/>
      <c r="AP257" s="57"/>
      <c r="AQ257" s="57"/>
      <c r="AR257" s="57"/>
      <c r="AS257" s="57"/>
      <c r="AT257" s="57"/>
      <c r="AU257" s="57"/>
      <c r="AV257" s="57"/>
      <c r="AW257" s="57"/>
    </row>
    <row r="258" spans="38:49" x14ac:dyDescent="0.2">
      <c r="AL258" s="57"/>
      <c r="AM258" s="57"/>
      <c r="AN258" s="57"/>
      <c r="AO258" s="57"/>
      <c r="AP258" s="57"/>
      <c r="AQ258" s="57"/>
      <c r="AR258" s="57"/>
      <c r="AS258" s="57"/>
      <c r="AT258" s="57"/>
      <c r="AU258" s="57"/>
      <c r="AV258" s="57"/>
      <c r="AW258" s="57"/>
    </row>
    <row r="259" spans="38:49" x14ac:dyDescent="0.2">
      <c r="AL259" s="57"/>
      <c r="AM259" s="57"/>
      <c r="AN259" s="57"/>
      <c r="AO259" s="57"/>
      <c r="AP259" s="57"/>
      <c r="AQ259" s="57"/>
      <c r="AR259" s="57"/>
      <c r="AS259" s="57"/>
      <c r="AT259" s="57"/>
      <c r="AU259" s="57"/>
      <c r="AV259" s="57"/>
      <c r="AW259" s="57"/>
    </row>
    <row r="260" spans="38:49" x14ac:dyDescent="0.2">
      <c r="AL260" s="57"/>
      <c r="AM260" s="57"/>
      <c r="AN260" s="57"/>
      <c r="AO260" s="57"/>
      <c r="AP260" s="57"/>
      <c r="AQ260" s="57"/>
      <c r="AR260" s="57"/>
      <c r="AS260" s="57"/>
      <c r="AT260" s="57"/>
      <c r="AU260" s="57"/>
      <c r="AV260" s="57"/>
      <c r="AW260" s="57"/>
    </row>
    <row r="261" spans="38:49" x14ac:dyDescent="0.2">
      <c r="AL261" s="57"/>
      <c r="AM261" s="57"/>
      <c r="AN261" s="57"/>
      <c r="AO261" s="57"/>
      <c r="AP261" s="57"/>
      <c r="AQ261" s="57"/>
      <c r="AR261" s="57"/>
      <c r="AS261" s="57"/>
      <c r="AT261" s="57"/>
      <c r="AU261" s="57"/>
      <c r="AV261" s="57"/>
      <c r="AW261" s="57"/>
    </row>
    <row r="262" spans="38:49" x14ac:dyDescent="0.2">
      <c r="AL262" s="57"/>
      <c r="AM262" s="57"/>
      <c r="AN262" s="57"/>
      <c r="AO262" s="57"/>
      <c r="AP262" s="57"/>
      <c r="AQ262" s="57"/>
      <c r="AR262" s="57"/>
      <c r="AS262" s="57"/>
      <c r="AT262" s="57"/>
      <c r="AU262" s="57"/>
      <c r="AV262" s="57"/>
      <c r="AW262" s="57"/>
    </row>
    <row r="263" spans="38:49" x14ac:dyDescent="0.2">
      <c r="AL263" s="57"/>
      <c r="AM263" s="57"/>
      <c r="AN263" s="57"/>
      <c r="AO263" s="57"/>
      <c r="AP263" s="57"/>
      <c r="AQ263" s="57"/>
      <c r="AR263" s="57"/>
      <c r="AS263" s="57"/>
      <c r="AT263" s="57"/>
      <c r="AU263" s="57"/>
      <c r="AV263" s="57"/>
      <c r="AW263" s="57"/>
    </row>
    <row r="264" spans="38:49" x14ac:dyDescent="0.2">
      <c r="AL264" s="57"/>
      <c r="AM264" s="57"/>
      <c r="AN264" s="57"/>
      <c r="AO264" s="57"/>
      <c r="AP264" s="57"/>
      <c r="AQ264" s="57"/>
      <c r="AR264" s="57"/>
      <c r="AS264" s="57"/>
      <c r="AT264" s="57"/>
      <c r="AU264" s="57"/>
      <c r="AV264" s="57"/>
      <c r="AW264" s="57"/>
    </row>
    <row r="265" spans="38:49" x14ac:dyDescent="0.2">
      <c r="AL265" s="57"/>
      <c r="AM265" s="57"/>
      <c r="AN265" s="57"/>
      <c r="AO265" s="57"/>
      <c r="AP265" s="57"/>
      <c r="AQ265" s="57"/>
      <c r="AR265" s="57"/>
      <c r="AS265" s="57"/>
      <c r="AT265" s="57"/>
      <c r="AU265" s="57"/>
      <c r="AV265" s="57"/>
      <c r="AW265" s="57"/>
    </row>
    <row r="266" spans="38:49" x14ac:dyDescent="0.2">
      <c r="AL266" s="57"/>
      <c r="AM266" s="57"/>
      <c r="AN266" s="57"/>
      <c r="AO266" s="57"/>
      <c r="AP266" s="57"/>
      <c r="AQ266" s="57"/>
      <c r="AR266" s="57"/>
      <c r="AS266" s="57"/>
      <c r="AT266" s="57"/>
      <c r="AU266" s="57"/>
      <c r="AV266" s="57"/>
      <c r="AW266" s="57"/>
    </row>
    <row r="267" spans="38:49" x14ac:dyDescent="0.2">
      <c r="AL267" s="57"/>
      <c r="AM267" s="57"/>
      <c r="AN267" s="57"/>
      <c r="AO267" s="57"/>
      <c r="AP267" s="57"/>
      <c r="AQ267" s="57"/>
      <c r="AR267" s="57"/>
      <c r="AS267" s="57"/>
      <c r="AT267" s="57"/>
      <c r="AU267" s="57"/>
      <c r="AV267" s="57"/>
      <c r="AW267" s="57"/>
    </row>
    <row r="268" spans="38:49" x14ac:dyDescent="0.2">
      <c r="AL268" s="57"/>
      <c r="AM268" s="57"/>
      <c r="AN268" s="57"/>
      <c r="AO268" s="57"/>
      <c r="AP268" s="57"/>
      <c r="AQ268" s="57"/>
      <c r="AR268" s="57"/>
      <c r="AS268" s="57"/>
      <c r="AT268" s="57"/>
      <c r="AU268" s="57"/>
      <c r="AV268" s="57"/>
      <c r="AW268" s="57"/>
    </row>
    <row r="269" spans="38:49" x14ac:dyDescent="0.2">
      <c r="AL269" s="57"/>
      <c r="AM269" s="57"/>
      <c r="AN269" s="57"/>
      <c r="AO269" s="57"/>
      <c r="AP269" s="57"/>
      <c r="AQ269" s="57"/>
      <c r="AR269" s="57"/>
      <c r="AS269" s="57"/>
      <c r="AT269" s="57"/>
      <c r="AU269" s="57"/>
      <c r="AV269" s="57"/>
      <c r="AW269" s="57"/>
    </row>
    <row r="270" spans="38:49" x14ac:dyDescent="0.2">
      <c r="AL270" s="57"/>
      <c r="AM270" s="57"/>
      <c r="AN270" s="57"/>
      <c r="AO270" s="57"/>
      <c r="AP270" s="57"/>
      <c r="AQ270" s="57"/>
      <c r="AR270" s="57"/>
      <c r="AS270" s="57"/>
      <c r="AT270" s="57"/>
      <c r="AU270" s="57"/>
      <c r="AV270" s="57"/>
      <c r="AW270" s="57"/>
    </row>
    <row r="271" spans="38:49" x14ac:dyDescent="0.2">
      <c r="AL271" s="57"/>
      <c r="AM271" s="57"/>
      <c r="AN271" s="57"/>
      <c r="AO271" s="57"/>
      <c r="AP271" s="57"/>
      <c r="AQ271" s="57"/>
      <c r="AR271" s="57"/>
      <c r="AS271" s="57"/>
      <c r="AT271" s="57"/>
      <c r="AU271" s="57"/>
      <c r="AV271" s="57"/>
      <c r="AW271" s="57"/>
    </row>
    <row r="272" spans="38:49" x14ac:dyDescent="0.2">
      <c r="AL272" s="57"/>
      <c r="AM272" s="57"/>
      <c r="AN272" s="57"/>
      <c r="AO272" s="57"/>
      <c r="AP272" s="57"/>
      <c r="AQ272" s="57"/>
      <c r="AR272" s="57"/>
      <c r="AS272" s="57"/>
      <c r="AT272" s="57"/>
      <c r="AU272" s="57"/>
      <c r="AV272" s="57"/>
      <c r="AW272" s="57"/>
    </row>
    <row r="273" spans="38:49" x14ac:dyDescent="0.2">
      <c r="AL273" s="57"/>
      <c r="AM273" s="57"/>
      <c r="AN273" s="57"/>
      <c r="AO273" s="57"/>
      <c r="AP273" s="57"/>
      <c r="AQ273" s="57"/>
      <c r="AR273" s="57"/>
      <c r="AS273" s="57"/>
      <c r="AT273" s="57"/>
      <c r="AU273" s="57"/>
      <c r="AV273" s="57"/>
      <c r="AW273" s="57"/>
    </row>
    <row r="274" spans="38:49" x14ac:dyDescent="0.2">
      <c r="AL274" s="57"/>
      <c r="AM274" s="57"/>
      <c r="AN274" s="57"/>
      <c r="AO274" s="57"/>
      <c r="AP274" s="57"/>
      <c r="AQ274" s="57"/>
      <c r="AR274" s="57"/>
      <c r="AS274" s="57"/>
      <c r="AT274" s="57"/>
      <c r="AU274" s="57"/>
      <c r="AV274" s="57"/>
      <c r="AW274" s="57"/>
    </row>
    <row r="275" spans="38:49" x14ac:dyDescent="0.2">
      <c r="AL275" s="57"/>
      <c r="AM275" s="57"/>
      <c r="AN275" s="57"/>
      <c r="AO275" s="57"/>
      <c r="AP275" s="57"/>
      <c r="AQ275" s="57"/>
      <c r="AR275" s="57"/>
      <c r="AS275" s="57"/>
      <c r="AT275" s="57"/>
      <c r="AU275" s="57"/>
      <c r="AV275" s="57"/>
      <c r="AW275" s="57"/>
    </row>
    <row r="276" spans="38:49" x14ac:dyDescent="0.2">
      <c r="AL276" s="57"/>
      <c r="AM276" s="57"/>
      <c r="AN276" s="57"/>
      <c r="AO276" s="57"/>
      <c r="AP276" s="57"/>
      <c r="AQ276" s="57"/>
      <c r="AR276" s="57"/>
      <c r="AS276" s="57"/>
      <c r="AT276" s="57"/>
      <c r="AU276" s="57"/>
      <c r="AV276" s="57"/>
      <c r="AW276" s="57"/>
    </row>
    <row r="277" spans="38:49" x14ac:dyDescent="0.2">
      <c r="AL277" s="57"/>
      <c r="AM277" s="57"/>
      <c r="AN277" s="57"/>
      <c r="AO277" s="57"/>
      <c r="AP277" s="57"/>
      <c r="AQ277" s="57"/>
      <c r="AR277" s="57"/>
      <c r="AS277" s="57"/>
      <c r="AT277" s="57"/>
      <c r="AU277" s="57"/>
      <c r="AV277" s="57"/>
      <c r="AW277" s="57"/>
    </row>
    <row r="278" spans="38:49" x14ac:dyDescent="0.2">
      <c r="AL278" s="57"/>
      <c r="AM278" s="57"/>
      <c r="AN278" s="57"/>
      <c r="AO278" s="57"/>
      <c r="AP278" s="57"/>
      <c r="AQ278" s="57"/>
      <c r="AR278" s="57"/>
      <c r="AS278" s="57"/>
      <c r="AT278" s="57"/>
      <c r="AU278" s="57"/>
      <c r="AV278" s="57"/>
      <c r="AW278" s="57"/>
    </row>
    <row r="279" spans="38:49" x14ac:dyDescent="0.2">
      <c r="AL279" s="57"/>
      <c r="AM279" s="57"/>
      <c r="AN279" s="57"/>
      <c r="AO279" s="57"/>
      <c r="AP279" s="57"/>
      <c r="AQ279" s="57"/>
      <c r="AR279" s="57"/>
      <c r="AS279" s="57"/>
      <c r="AT279" s="57"/>
      <c r="AU279" s="57"/>
      <c r="AV279" s="57"/>
      <c r="AW279" s="57"/>
    </row>
    <row r="280" spans="38:49" x14ac:dyDescent="0.2">
      <c r="AL280" s="57"/>
      <c r="AM280" s="57"/>
      <c r="AN280" s="57"/>
      <c r="AO280" s="57"/>
      <c r="AP280" s="57"/>
      <c r="AQ280" s="57"/>
      <c r="AR280" s="57"/>
      <c r="AS280" s="57"/>
      <c r="AT280" s="57"/>
      <c r="AU280" s="57"/>
      <c r="AV280" s="57"/>
      <c r="AW280" s="57"/>
    </row>
    <row r="281" spans="38:49" x14ac:dyDescent="0.2">
      <c r="AL281" s="57"/>
      <c r="AM281" s="57"/>
      <c r="AN281" s="57"/>
      <c r="AO281" s="57"/>
      <c r="AP281" s="57"/>
      <c r="AQ281" s="57"/>
      <c r="AR281" s="57"/>
      <c r="AS281" s="57"/>
      <c r="AT281" s="57"/>
      <c r="AU281" s="57"/>
      <c r="AV281" s="57"/>
      <c r="AW281" s="57"/>
    </row>
    <row r="282" spans="38:49" x14ac:dyDescent="0.2">
      <c r="AL282" s="57"/>
      <c r="AM282" s="57"/>
      <c r="AN282" s="57"/>
      <c r="AO282" s="57"/>
      <c r="AP282" s="57"/>
      <c r="AQ282" s="57"/>
      <c r="AR282" s="57"/>
      <c r="AS282" s="57"/>
      <c r="AT282" s="57"/>
      <c r="AU282" s="57"/>
      <c r="AV282" s="57"/>
      <c r="AW282" s="57"/>
    </row>
    <row r="283" spans="38:49" x14ac:dyDescent="0.2">
      <c r="AL283" s="57"/>
      <c r="AM283" s="57"/>
      <c r="AN283" s="57"/>
      <c r="AO283" s="57"/>
      <c r="AP283" s="57"/>
      <c r="AQ283" s="57"/>
      <c r="AR283" s="57"/>
      <c r="AS283" s="57"/>
      <c r="AT283" s="57"/>
      <c r="AU283" s="57"/>
      <c r="AV283" s="57"/>
      <c r="AW283" s="57"/>
    </row>
    <row r="284" spans="38:49" x14ac:dyDescent="0.2">
      <c r="AL284" s="57"/>
      <c r="AM284" s="57"/>
      <c r="AN284" s="57"/>
      <c r="AO284" s="57"/>
      <c r="AP284" s="57"/>
      <c r="AQ284" s="57"/>
      <c r="AR284" s="57"/>
      <c r="AS284" s="57"/>
      <c r="AT284" s="57"/>
      <c r="AU284" s="57"/>
      <c r="AV284" s="57"/>
      <c r="AW284" s="57"/>
    </row>
    <row r="285" spans="38:49" x14ac:dyDescent="0.2">
      <c r="AL285" s="57"/>
      <c r="AM285" s="57"/>
      <c r="AN285" s="57"/>
      <c r="AO285" s="57"/>
      <c r="AP285" s="57"/>
      <c r="AQ285" s="57"/>
      <c r="AR285" s="57"/>
      <c r="AS285" s="57"/>
      <c r="AT285" s="57"/>
      <c r="AU285" s="57"/>
      <c r="AV285" s="57"/>
      <c r="AW285" s="57"/>
    </row>
    <row r="286" spans="38:49" x14ac:dyDescent="0.2">
      <c r="AL286" s="57"/>
      <c r="AM286" s="57"/>
      <c r="AN286" s="57"/>
      <c r="AO286" s="57"/>
      <c r="AP286" s="57"/>
      <c r="AQ286" s="57"/>
      <c r="AR286" s="57"/>
      <c r="AS286" s="57"/>
      <c r="AT286" s="57"/>
      <c r="AU286" s="57"/>
      <c r="AV286" s="57"/>
      <c r="AW286" s="57"/>
    </row>
    <row r="287" spans="38:49" x14ac:dyDescent="0.2">
      <c r="AL287" s="57"/>
      <c r="AM287" s="57"/>
      <c r="AN287" s="57"/>
      <c r="AO287" s="57"/>
      <c r="AP287" s="57"/>
      <c r="AQ287" s="57"/>
      <c r="AR287" s="57"/>
      <c r="AS287" s="57"/>
      <c r="AT287" s="57"/>
      <c r="AU287" s="57"/>
      <c r="AV287" s="57"/>
      <c r="AW287" s="57"/>
    </row>
    <row r="288" spans="38:49" x14ac:dyDescent="0.2">
      <c r="AL288" s="57"/>
      <c r="AM288" s="57"/>
      <c r="AN288" s="57"/>
      <c r="AO288" s="57"/>
      <c r="AP288" s="57"/>
      <c r="AQ288" s="57"/>
      <c r="AR288" s="57"/>
      <c r="AS288" s="57"/>
      <c r="AT288" s="57"/>
      <c r="AU288" s="57"/>
      <c r="AV288" s="57"/>
      <c r="AW288" s="57"/>
    </row>
    <row r="289" spans="38:49" x14ac:dyDescent="0.2">
      <c r="AL289" s="57"/>
      <c r="AM289" s="57"/>
      <c r="AN289" s="57"/>
      <c r="AO289" s="57"/>
      <c r="AP289" s="57"/>
      <c r="AQ289" s="57"/>
      <c r="AR289" s="57"/>
      <c r="AS289" s="57"/>
      <c r="AT289" s="57"/>
      <c r="AU289" s="57"/>
      <c r="AV289" s="57"/>
      <c r="AW289" s="57"/>
    </row>
    <row r="290" spans="38:49" x14ac:dyDescent="0.2">
      <c r="AL290" s="57"/>
      <c r="AM290" s="57"/>
      <c r="AN290" s="57"/>
      <c r="AO290" s="57"/>
      <c r="AP290" s="57"/>
      <c r="AQ290" s="57"/>
      <c r="AR290" s="57"/>
      <c r="AS290" s="57"/>
      <c r="AT290" s="57"/>
      <c r="AU290" s="57"/>
      <c r="AV290" s="57"/>
      <c r="AW290" s="57"/>
    </row>
    <row r="291" spans="38:49" x14ac:dyDescent="0.2">
      <c r="AL291" s="57"/>
      <c r="AM291" s="57"/>
      <c r="AN291" s="57"/>
      <c r="AO291" s="57"/>
      <c r="AP291" s="57"/>
      <c r="AQ291" s="57"/>
      <c r="AR291" s="57"/>
      <c r="AS291" s="57"/>
      <c r="AT291" s="57"/>
      <c r="AU291" s="57"/>
      <c r="AV291" s="57"/>
      <c r="AW291" s="57"/>
    </row>
    <row r="292" spans="38:49" x14ac:dyDescent="0.2">
      <c r="AL292" s="57"/>
      <c r="AM292" s="57"/>
      <c r="AN292" s="57"/>
      <c r="AO292" s="57"/>
      <c r="AP292" s="57"/>
      <c r="AQ292" s="57"/>
      <c r="AR292" s="57"/>
      <c r="AS292" s="57"/>
      <c r="AT292" s="57"/>
      <c r="AU292" s="57"/>
      <c r="AV292" s="57"/>
      <c r="AW292" s="57"/>
    </row>
    <row r="293" spans="38:49" x14ac:dyDescent="0.2">
      <c r="AL293" s="57"/>
      <c r="AM293" s="57"/>
      <c r="AN293" s="57"/>
      <c r="AO293" s="57"/>
      <c r="AP293" s="57"/>
      <c r="AQ293" s="57"/>
      <c r="AR293" s="57"/>
      <c r="AS293" s="57"/>
      <c r="AT293" s="57"/>
      <c r="AU293" s="57"/>
      <c r="AV293" s="57"/>
      <c r="AW293" s="57"/>
    </row>
    <row r="294" spans="38:49" x14ac:dyDescent="0.2">
      <c r="AL294" s="57"/>
      <c r="AM294" s="57"/>
      <c r="AN294" s="57"/>
      <c r="AO294" s="57"/>
      <c r="AP294" s="57"/>
      <c r="AQ294" s="57"/>
      <c r="AR294" s="57"/>
      <c r="AS294" s="57"/>
      <c r="AT294" s="57"/>
      <c r="AU294" s="57"/>
      <c r="AV294" s="57"/>
      <c r="AW294" s="57"/>
    </row>
    <row r="295" spans="38:49" x14ac:dyDescent="0.2">
      <c r="AL295" s="57"/>
      <c r="AM295" s="57"/>
      <c r="AN295" s="57"/>
      <c r="AO295" s="57"/>
      <c r="AP295" s="57"/>
      <c r="AQ295" s="57"/>
      <c r="AR295" s="57"/>
      <c r="AS295" s="57"/>
      <c r="AT295" s="57"/>
      <c r="AU295" s="57"/>
      <c r="AV295" s="57"/>
      <c r="AW295" s="57"/>
    </row>
    <row r="296" spans="38:49" x14ac:dyDescent="0.2">
      <c r="AL296" s="57"/>
      <c r="AM296" s="57"/>
      <c r="AN296" s="57"/>
      <c r="AO296" s="57"/>
      <c r="AP296" s="57"/>
      <c r="AQ296" s="57"/>
      <c r="AR296" s="57"/>
      <c r="AS296" s="57"/>
      <c r="AT296" s="57"/>
      <c r="AU296" s="57"/>
      <c r="AV296" s="57"/>
      <c r="AW296" s="57"/>
    </row>
    <row r="297" spans="38:49" x14ac:dyDescent="0.2">
      <c r="AL297" s="57"/>
      <c r="AM297" s="57"/>
      <c r="AN297" s="57"/>
      <c r="AO297" s="57"/>
      <c r="AP297" s="57"/>
      <c r="AQ297" s="57"/>
      <c r="AR297" s="57"/>
      <c r="AS297" s="57"/>
      <c r="AT297" s="57"/>
      <c r="AU297" s="57"/>
      <c r="AV297" s="57"/>
      <c r="AW297" s="57"/>
    </row>
    <row r="298" spans="38:49" x14ac:dyDescent="0.2">
      <c r="AL298" s="57"/>
      <c r="AM298" s="57"/>
      <c r="AN298" s="57"/>
      <c r="AO298" s="57"/>
      <c r="AP298" s="57"/>
      <c r="AQ298" s="57"/>
      <c r="AR298" s="57"/>
      <c r="AS298" s="57"/>
      <c r="AT298" s="57"/>
      <c r="AU298" s="57"/>
      <c r="AV298" s="57"/>
      <c r="AW298" s="57"/>
    </row>
    <row r="299" spans="38:49" x14ac:dyDescent="0.2">
      <c r="AL299" s="57"/>
      <c r="AM299" s="57"/>
      <c r="AN299" s="57"/>
      <c r="AO299" s="57"/>
      <c r="AP299" s="57"/>
      <c r="AQ299" s="57"/>
      <c r="AR299" s="57"/>
      <c r="AS299" s="57"/>
      <c r="AT299" s="57"/>
      <c r="AU299" s="57"/>
      <c r="AV299" s="57"/>
      <c r="AW299" s="57"/>
    </row>
    <row r="300" spans="38:49" x14ac:dyDescent="0.2">
      <c r="AL300" s="57"/>
      <c r="AM300" s="57"/>
      <c r="AN300" s="57"/>
      <c r="AO300" s="57"/>
      <c r="AP300" s="57"/>
      <c r="AQ300" s="57"/>
      <c r="AR300" s="57"/>
      <c r="AS300" s="57"/>
      <c r="AT300" s="57"/>
      <c r="AU300" s="57"/>
      <c r="AV300" s="57"/>
      <c r="AW300" s="57"/>
    </row>
    <row r="301" spans="38:49" x14ac:dyDescent="0.2">
      <c r="AL301" s="57"/>
      <c r="AM301" s="57"/>
      <c r="AN301" s="57"/>
      <c r="AO301" s="57"/>
      <c r="AP301" s="57"/>
      <c r="AQ301" s="57"/>
      <c r="AR301" s="57"/>
      <c r="AS301" s="57"/>
      <c r="AT301" s="57"/>
      <c r="AU301" s="57"/>
      <c r="AV301" s="57"/>
      <c r="AW301" s="57"/>
    </row>
    <row r="302" spans="38:49" x14ac:dyDescent="0.2">
      <c r="AL302" s="57"/>
      <c r="AM302" s="57"/>
      <c r="AN302" s="57"/>
      <c r="AO302" s="57"/>
      <c r="AP302" s="57"/>
      <c r="AQ302" s="57"/>
      <c r="AR302" s="57"/>
      <c r="AS302" s="57"/>
      <c r="AT302" s="57"/>
      <c r="AU302" s="57"/>
      <c r="AV302" s="57"/>
      <c r="AW302" s="57"/>
    </row>
    <row r="303" spans="38:49" x14ac:dyDescent="0.2">
      <c r="AL303" s="57"/>
      <c r="AM303" s="57"/>
      <c r="AN303" s="57"/>
      <c r="AO303" s="57"/>
      <c r="AP303" s="57"/>
      <c r="AQ303" s="57"/>
      <c r="AR303" s="57"/>
      <c r="AS303" s="57"/>
      <c r="AT303" s="57"/>
      <c r="AU303" s="57"/>
      <c r="AV303" s="57"/>
      <c r="AW303" s="57"/>
    </row>
    <row r="304" spans="38:49" x14ac:dyDescent="0.2">
      <c r="AL304" s="57"/>
      <c r="AM304" s="57"/>
      <c r="AN304" s="57"/>
      <c r="AO304" s="57"/>
      <c r="AP304" s="57"/>
      <c r="AQ304" s="57"/>
      <c r="AR304" s="57"/>
      <c r="AS304" s="57"/>
      <c r="AT304" s="57"/>
      <c r="AU304" s="57"/>
      <c r="AV304" s="57"/>
      <c r="AW304" s="57"/>
    </row>
    <row r="305" spans="38:132" x14ac:dyDescent="0.2">
      <c r="AL305" s="57"/>
      <c r="AM305" s="57"/>
      <c r="AN305" s="57"/>
      <c r="AO305" s="57"/>
      <c r="AP305" s="57"/>
      <c r="AQ305" s="57"/>
      <c r="AR305" s="57"/>
      <c r="AS305" s="57"/>
      <c r="AT305" s="57"/>
      <c r="AU305" s="57"/>
      <c r="AV305" s="57"/>
      <c r="AW305" s="57"/>
      <c r="DC305" s="2" t="s">
        <v>3211</v>
      </c>
      <c r="DS305" s="1" t="s">
        <v>3212</v>
      </c>
    </row>
    <row r="306" spans="38:132" x14ac:dyDescent="0.2">
      <c r="AL306" s="57"/>
      <c r="AM306" s="57"/>
      <c r="AN306" s="57"/>
      <c r="AO306" s="57"/>
      <c r="AP306" s="57"/>
      <c r="AQ306" s="57"/>
      <c r="AR306" s="57"/>
      <c r="AS306" s="57"/>
      <c r="AT306" s="57"/>
      <c r="AU306" s="57"/>
      <c r="AV306" s="57"/>
      <c r="AW306" s="57"/>
    </row>
    <row r="307" spans="38:132" x14ac:dyDescent="0.2">
      <c r="AL307" s="57"/>
      <c r="AM307" s="57"/>
      <c r="AN307" s="57"/>
      <c r="AO307" s="57"/>
      <c r="AP307" s="57"/>
      <c r="AQ307" s="57"/>
      <c r="AR307" s="57"/>
      <c r="AS307" s="57"/>
      <c r="AT307" s="57"/>
      <c r="AU307" s="57"/>
      <c r="AV307" s="57"/>
      <c r="AW307" s="57"/>
      <c r="DC307" s="3"/>
      <c r="DD307" s="4"/>
      <c r="DE307" s="4"/>
      <c r="DF307" s="4"/>
      <c r="DG307" s="4"/>
      <c r="DH307" s="4"/>
      <c r="DI307" s="4"/>
      <c r="DJ307" s="4"/>
    </row>
    <row r="308" spans="38:132" x14ac:dyDescent="0.2">
      <c r="AL308" s="57"/>
      <c r="AM308" s="57"/>
      <c r="AN308" s="57"/>
      <c r="AO308" s="57"/>
      <c r="AP308" s="57"/>
      <c r="AQ308" s="57"/>
      <c r="AR308" s="57"/>
      <c r="AS308" s="57"/>
      <c r="AT308" s="57"/>
      <c r="AU308" s="57"/>
      <c r="AV308" s="57"/>
      <c r="AW308" s="57"/>
      <c r="DC308" s="5" t="s">
        <v>3213</v>
      </c>
      <c r="DD308" s="5" t="s">
        <v>3214</v>
      </c>
      <c r="DE308" s="6" t="s">
        <v>3422</v>
      </c>
      <c r="DF308" s="7" t="s">
        <v>3215</v>
      </c>
      <c r="DG308" s="6"/>
      <c r="DH308" s="6"/>
      <c r="DI308" s="6" t="s">
        <v>3216</v>
      </c>
      <c r="DJ308" s="6" t="s">
        <v>773</v>
      </c>
      <c r="DK308" s="8"/>
      <c r="DL308" s="8" t="s">
        <v>774</v>
      </c>
      <c r="DM308" s="6" t="s">
        <v>3455</v>
      </c>
      <c r="DN308" s="8"/>
      <c r="DO308" s="8"/>
      <c r="DS308" s="582">
        <f t="shared" ref="DS308:DS327" si="0">DU308/30</f>
        <v>0</v>
      </c>
      <c r="DT308" s="582"/>
      <c r="DU308" s="583">
        <f>DAYS360(X121,AE121)</f>
        <v>0</v>
      </c>
      <c r="DV308" s="583"/>
      <c r="DW308" s="564">
        <f>ROUNDDOWN(DS308,0)</f>
        <v>0</v>
      </c>
      <c r="DX308" s="565"/>
      <c r="DY308" s="564">
        <f t="shared" ref="DY308:DY327" si="1">DS308-DW308</f>
        <v>0</v>
      </c>
      <c r="DZ308" s="565"/>
      <c r="EA308" s="565">
        <f>DY308*30</f>
        <v>0</v>
      </c>
      <c r="EB308" s="565"/>
    </row>
    <row r="309" spans="38:132" x14ac:dyDescent="0.2">
      <c r="AL309" s="57"/>
      <c r="AM309" s="57"/>
      <c r="AN309" s="57"/>
      <c r="AO309" s="57"/>
      <c r="AP309" s="57"/>
      <c r="AQ309" s="57"/>
      <c r="AR309" s="57"/>
      <c r="AS309" s="57"/>
      <c r="AT309" s="57"/>
      <c r="AU309" s="57"/>
      <c r="AV309" s="57"/>
      <c r="AW309" s="57"/>
      <c r="DC309" s="5" t="s">
        <v>3217</v>
      </c>
      <c r="DD309" s="5" t="s">
        <v>3218</v>
      </c>
      <c r="DE309" s="6" t="s">
        <v>3423</v>
      </c>
      <c r="DF309" s="7" t="s">
        <v>3219</v>
      </c>
      <c r="DG309" s="6" t="s">
        <v>3225</v>
      </c>
      <c r="DH309" s="6">
        <v>2013</v>
      </c>
      <c r="DI309" s="6" t="s">
        <v>3220</v>
      </c>
      <c r="DJ309" s="6" t="s">
        <v>3221</v>
      </c>
      <c r="DK309" s="8"/>
      <c r="DL309" s="8" t="s">
        <v>3391</v>
      </c>
      <c r="DM309" s="6" t="s">
        <v>3453</v>
      </c>
      <c r="DN309" s="8"/>
      <c r="DO309" s="8"/>
      <c r="DS309" s="582">
        <f t="shared" si="0"/>
        <v>0</v>
      </c>
      <c r="DT309" s="582"/>
      <c r="DU309" s="583">
        <f>DAYS360(AB122,AE122)</f>
        <v>0</v>
      </c>
      <c r="DV309" s="583"/>
      <c r="DW309" s="564">
        <f t="shared" ref="DW309:DW332" si="2">ROUNDDOWN(DS309,0)</f>
        <v>0</v>
      </c>
      <c r="DX309" s="565"/>
      <c r="DY309" s="564">
        <f t="shared" si="1"/>
        <v>0</v>
      </c>
      <c r="DZ309" s="565"/>
      <c r="EA309" s="565">
        <f t="shared" ref="EA309:EA332" si="3">DY309*30</f>
        <v>0</v>
      </c>
      <c r="EB309" s="565"/>
    </row>
    <row r="310" spans="38:132" x14ac:dyDescent="0.2">
      <c r="AL310" s="57"/>
      <c r="AM310" s="57"/>
      <c r="AN310" s="57"/>
      <c r="AO310" s="57"/>
      <c r="AP310" s="57"/>
      <c r="AQ310" s="57"/>
      <c r="AR310" s="57"/>
      <c r="AS310" s="57"/>
      <c r="AT310" s="57"/>
      <c r="AU310" s="57"/>
      <c r="AV310" s="57"/>
      <c r="AW310" s="57"/>
      <c r="DC310" s="5" t="s">
        <v>3222</v>
      </c>
      <c r="DD310" s="5" t="s">
        <v>3223</v>
      </c>
      <c r="DE310" s="6" t="s">
        <v>3424</v>
      </c>
      <c r="DF310" s="7" t="s">
        <v>3224</v>
      </c>
      <c r="DG310" s="6" t="s">
        <v>3231</v>
      </c>
      <c r="DH310" s="6">
        <v>2014</v>
      </c>
      <c r="DI310" s="6" t="s">
        <v>3226</v>
      </c>
      <c r="DJ310" s="6" t="s">
        <v>3227</v>
      </c>
      <c r="DK310" s="8"/>
      <c r="DL310" s="8"/>
      <c r="DM310" s="6" t="s">
        <v>3454</v>
      </c>
      <c r="DN310" s="8"/>
      <c r="DO310" s="8"/>
      <c r="DS310" s="582">
        <f t="shared" si="0"/>
        <v>0</v>
      </c>
      <c r="DT310" s="582"/>
      <c r="DU310" s="583">
        <f>DAYS360(AB123,AE123)</f>
        <v>0</v>
      </c>
      <c r="DV310" s="583"/>
      <c r="DW310" s="564">
        <f t="shared" si="2"/>
        <v>0</v>
      </c>
      <c r="DX310" s="565"/>
      <c r="DY310" s="564">
        <f t="shared" si="1"/>
        <v>0</v>
      </c>
      <c r="DZ310" s="565"/>
      <c r="EA310" s="565">
        <f t="shared" si="3"/>
        <v>0</v>
      </c>
      <c r="EB310" s="565"/>
    </row>
    <row r="311" spans="38:132" x14ac:dyDescent="0.2">
      <c r="AL311" s="57"/>
      <c r="AM311" s="57"/>
      <c r="AN311" s="57"/>
      <c r="AO311" s="57"/>
      <c r="AP311" s="57"/>
      <c r="AQ311" s="57"/>
      <c r="AR311" s="57"/>
      <c r="AS311" s="57"/>
      <c r="AT311" s="57"/>
      <c r="AU311" s="57"/>
      <c r="AV311" s="57"/>
      <c r="AW311" s="57"/>
      <c r="DC311" s="5" t="s">
        <v>3228</v>
      </c>
      <c r="DD311" s="5" t="s">
        <v>3229</v>
      </c>
      <c r="DE311" s="6" t="s">
        <v>3425</v>
      </c>
      <c r="DF311" s="7" t="s">
        <v>3230</v>
      </c>
      <c r="DG311" s="6" t="s">
        <v>3236</v>
      </c>
      <c r="DH311" s="6">
        <v>2015</v>
      </c>
      <c r="DI311" s="6" t="s">
        <v>3232</v>
      </c>
      <c r="DJ311" s="6" t="s">
        <v>775</v>
      </c>
      <c r="DK311" s="8"/>
      <c r="DL311" s="8"/>
      <c r="DM311" s="6"/>
      <c r="DN311" s="8"/>
      <c r="DO311" s="8"/>
      <c r="DS311" s="582">
        <f t="shared" si="0"/>
        <v>0</v>
      </c>
      <c r="DT311" s="582"/>
      <c r="DU311" s="583">
        <f t="shared" ref="DU311:DU328" si="4">DAYS360(AB124,AE124)</f>
        <v>0</v>
      </c>
      <c r="DV311" s="583"/>
      <c r="DW311" s="564">
        <f t="shared" si="2"/>
        <v>0</v>
      </c>
      <c r="DX311" s="565"/>
      <c r="DY311" s="564">
        <f t="shared" si="1"/>
        <v>0</v>
      </c>
      <c r="DZ311" s="565"/>
      <c r="EA311" s="565">
        <f t="shared" si="3"/>
        <v>0</v>
      </c>
      <c r="EB311" s="565"/>
    </row>
    <row r="312" spans="38:132" x14ac:dyDescent="0.2">
      <c r="AL312" s="57"/>
      <c r="AM312" s="57"/>
      <c r="AN312" s="57"/>
      <c r="AO312" s="57"/>
      <c r="AP312" s="57"/>
      <c r="AQ312" s="57"/>
      <c r="AR312" s="57"/>
      <c r="AS312" s="57"/>
      <c r="AT312" s="57"/>
      <c r="AU312" s="57"/>
      <c r="AV312" s="57"/>
      <c r="AW312" s="57"/>
      <c r="DC312" s="5" t="s">
        <v>3233</v>
      </c>
      <c r="DD312" s="5" t="s">
        <v>3234</v>
      </c>
      <c r="DE312" s="6" t="s">
        <v>3426</v>
      </c>
      <c r="DF312" s="7" t="s">
        <v>3235</v>
      </c>
      <c r="DG312" s="6" t="s">
        <v>3240</v>
      </c>
      <c r="DH312" s="6">
        <v>2016</v>
      </c>
      <c r="DI312" s="6" t="s">
        <v>3237</v>
      </c>
      <c r="DJ312" s="6" t="s">
        <v>776</v>
      </c>
      <c r="DK312" s="8"/>
      <c r="DL312" s="8"/>
      <c r="DM312" s="6"/>
      <c r="DN312" s="8"/>
      <c r="DO312" s="8"/>
      <c r="DS312" s="582">
        <f t="shared" si="0"/>
        <v>0</v>
      </c>
      <c r="DT312" s="582"/>
      <c r="DU312" s="583">
        <f t="shared" si="4"/>
        <v>0</v>
      </c>
      <c r="DV312" s="583"/>
      <c r="DW312" s="564">
        <f t="shared" si="2"/>
        <v>0</v>
      </c>
      <c r="DX312" s="565"/>
      <c r="DY312" s="564">
        <f t="shared" si="1"/>
        <v>0</v>
      </c>
      <c r="DZ312" s="565"/>
      <c r="EA312" s="565">
        <f t="shared" si="3"/>
        <v>0</v>
      </c>
      <c r="EB312" s="565"/>
    </row>
    <row r="313" spans="38:132" x14ac:dyDescent="0.2">
      <c r="AL313" s="57"/>
      <c r="AM313" s="57"/>
      <c r="AN313" s="57"/>
      <c r="AO313" s="57"/>
      <c r="AP313" s="57"/>
      <c r="AQ313" s="57"/>
      <c r="AR313" s="57"/>
      <c r="AS313" s="57"/>
      <c r="AT313" s="57"/>
      <c r="AU313" s="57"/>
      <c r="AV313" s="57"/>
      <c r="AW313" s="57"/>
      <c r="DC313" s="5"/>
      <c r="DD313" s="5" t="s">
        <v>3238</v>
      </c>
      <c r="DE313" s="6" t="s">
        <v>3427</v>
      </c>
      <c r="DF313" s="7" t="s">
        <v>3239</v>
      </c>
      <c r="DG313" s="6" t="s">
        <v>3244</v>
      </c>
      <c r="DH313" s="6">
        <v>2017</v>
      </c>
      <c r="DI313" s="6" t="s">
        <v>3241</v>
      </c>
      <c r="DJ313" s="6" t="s">
        <v>777</v>
      </c>
      <c r="DK313" s="8"/>
      <c r="DL313" s="8"/>
      <c r="DM313" s="6"/>
      <c r="DN313" s="8"/>
      <c r="DO313" s="8"/>
      <c r="DS313" s="582">
        <f t="shared" si="0"/>
        <v>0</v>
      </c>
      <c r="DT313" s="582"/>
      <c r="DU313" s="583">
        <f t="shared" si="4"/>
        <v>0</v>
      </c>
      <c r="DV313" s="583"/>
      <c r="DW313" s="564">
        <f t="shared" si="2"/>
        <v>0</v>
      </c>
      <c r="DX313" s="565"/>
      <c r="DY313" s="564">
        <f t="shared" si="1"/>
        <v>0</v>
      </c>
      <c r="DZ313" s="565"/>
      <c r="EA313" s="565">
        <f t="shared" si="3"/>
        <v>0</v>
      </c>
      <c r="EB313" s="565"/>
    </row>
    <row r="314" spans="38:132" x14ac:dyDescent="0.2">
      <c r="AL314" s="57"/>
      <c r="AM314" s="57"/>
      <c r="AN314" s="57"/>
      <c r="AO314" s="57"/>
      <c r="AP314" s="57"/>
      <c r="AQ314" s="57"/>
      <c r="AR314" s="57"/>
      <c r="AS314" s="57"/>
      <c r="AT314" s="57"/>
      <c r="AU314" s="57"/>
      <c r="AV314" s="57"/>
      <c r="AW314" s="57"/>
      <c r="DC314" s="5"/>
      <c r="DD314" s="5" t="s">
        <v>3242</v>
      </c>
      <c r="DE314" s="6" t="s">
        <v>3428</v>
      </c>
      <c r="DF314" s="7" t="s">
        <v>3243</v>
      </c>
      <c r="DG314" s="6" t="s">
        <v>3249</v>
      </c>
      <c r="DH314" s="6">
        <v>2018</v>
      </c>
      <c r="DI314" s="6" t="s">
        <v>3245</v>
      </c>
      <c r="DJ314" s="6" t="s">
        <v>3246</v>
      </c>
      <c r="DK314" s="8"/>
      <c r="DL314" s="8"/>
      <c r="DM314" s="8"/>
      <c r="DN314" s="8"/>
      <c r="DO314" s="8"/>
      <c r="DS314" s="582">
        <f t="shared" si="0"/>
        <v>0</v>
      </c>
      <c r="DT314" s="582"/>
      <c r="DU314" s="583">
        <f t="shared" si="4"/>
        <v>0</v>
      </c>
      <c r="DV314" s="583"/>
      <c r="DW314" s="564">
        <f t="shared" si="2"/>
        <v>0</v>
      </c>
      <c r="DX314" s="565"/>
      <c r="DY314" s="564">
        <f t="shared" si="1"/>
        <v>0</v>
      </c>
      <c r="DZ314" s="565"/>
      <c r="EA314" s="565">
        <f t="shared" si="3"/>
        <v>0</v>
      </c>
      <c r="EB314" s="565"/>
    </row>
    <row r="315" spans="38:132" x14ac:dyDescent="0.2">
      <c r="AL315" s="57"/>
      <c r="AM315" s="57"/>
      <c r="AN315" s="57"/>
      <c r="AO315" s="57"/>
      <c r="AP315" s="57"/>
      <c r="AQ315" s="57"/>
      <c r="AR315" s="57"/>
      <c r="AS315" s="57"/>
      <c r="AT315" s="57"/>
      <c r="AU315" s="57"/>
      <c r="AV315" s="57"/>
      <c r="AW315" s="57"/>
      <c r="DC315" s="5"/>
      <c r="DD315" s="5" t="s">
        <v>3247</v>
      </c>
      <c r="DE315" s="6" t="s">
        <v>3429</v>
      </c>
      <c r="DF315" s="7" t="s">
        <v>3248</v>
      </c>
      <c r="DG315" s="6" t="s">
        <v>3253</v>
      </c>
      <c r="DH315" s="6">
        <v>2019</v>
      </c>
      <c r="DI315" s="6" t="s">
        <v>778</v>
      </c>
      <c r="DJ315" s="6" t="s">
        <v>779</v>
      </c>
      <c r="DK315" s="8"/>
      <c r="DL315" s="8"/>
      <c r="DM315" s="8"/>
      <c r="DN315" s="8"/>
      <c r="DO315" s="8"/>
      <c r="DS315" s="582">
        <f t="shared" si="0"/>
        <v>0</v>
      </c>
      <c r="DT315" s="582"/>
      <c r="DU315" s="583">
        <f t="shared" si="4"/>
        <v>0</v>
      </c>
      <c r="DV315" s="583"/>
      <c r="DW315" s="564">
        <f t="shared" si="2"/>
        <v>0</v>
      </c>
      <c r="DX315" s="565"/>
      <c r="DY315" s="564">
        <f t="shared" si="1"/>
        <v>0</v>
      </c>
      <c r="DZ315" s="565"/>
      <c r="EA315" s="565">
        <f t="shared" si="3"/>
        <v>0</v>
      </c>
      <c r="EB315" s="565"/>
    </row>
    <row r="316" spans="38:132" x14ac:dyDescent="0.2">
      <c r="AL316" s="57"/>
      <c r="AM316" s="57"/>
      <c r="AN316" s="57"/>
      <c r="AO316" s="57"/>
      <c r="AP316" s="57"/>
      <c r="AQ316" s="57"/>
      <c r="AR316" s="57"/>
      <c r="AS316" s="57"/>
      <c r="AT316" s="57"/>
      <c r="AU316" s="57"/>
      <c r="AV316" s="57"/>
      <c r="AW316" s="57"/>
      <c r="DC316" s="5"/>
      <c r="DD316" s="5" t="s">
        <v>3251</v>
      </c>
      <c r="DE316" s="6" t="s">
        <v>3432</v>
      </c>
      <c r="DF316" s="7" t="s">
        <v>3252</v>
      </c>
      <c r="DG316" s="6" t="s">
        <v>3257</v>
      </c>
      <c r="DH316" s="6">
        <v>2020</v>
      </c>
      <c r="DJ316" s="6" t="s">
        <v>3254</v>
      </c>
      <c r="DK316" s="8"/>
      <c r="DL316" s="8"/>
      <c r="DM316" s="8"/>
      <c r="DN316" s="8"/>
      <c r="DO316" s="8"/>
      <c r="DS316" s="582">
        <f t="shared" si="0"/>
        <v>0</v>
      </c>
      <c r="DT316" s="582"/>
      <c r="DU316" s="583">
        <f t="shared" si="4"/>
        <v>0</v>
      </c>
      <c r="DV316" s="583"/>
      <c r="DW316" s="564">
        <f t="shared" si="2"/>
        <v>0</v>
      </c>
      <c r="DX316" s="565"/>
      <c r="DY316" s="564">
        <f t="shared" si="1"/>
        <v>0</v>
      </c>
      <c r="DZ316" s="565"/>
      <c r="EA316" s="565">
        <f t="shared" si="3"/>
        <v>0</v>
      </c>
      <c r="EB316" s="565"/>
    </row>
    <row r="317" spans="38:132" x14ac:dyDescent="0.2">
      <c r="AL317" s="57"/>
      <c r="AM317" s="57"/>
      <c r="AN317" s="57"/>
      <c r="AO317" s="57"/>
      <c r="AP317" s="57"/>
      <c r="AQ317" s="57"/>
      <c r="AR317" s="57"/>
      <c r="AS317" s="57"/>
      <c r="AT317" s="57"/>
      <c r="AU317" s="57"/>
      <c r="AV317" s="57"/>
      <c r="AW317" s="57"/>
      <c r="DC317" s="5"/>
      <c r="DD317" s="5" t="s">
        <v>3255</v>
      </c>
      <c r="DE317" s="6" t="s">
        <v>3430</v>
      </c>
      <c r="DF317" s="7" t="s">
        <v>3256</v>
      </c>
      <c r="DG317" s="6" t="s">
        <v>3261</v>
      </c>
      <c r="DH317" s="8"/>
      <c r="DJ317" s="6" t="s">
        <v>3258</v>
      </c>
      <c r="DK317" s="8"/>
      <c r="DL317" s="8"/>
      <c r="DM317" s="8"/>
      <c r="DN317" s="8"/>
      <c r="DO317" s="8"/>
      <c r="DS317" s="582">
        <f t="shared" si="0"/>
        <v>0</v>
      </c>
      <c r="DT317" s="582"/>
      <c r="DU317" s="583">
        <f t="shared" si="4"/>
        <v>0</v>
      </c>
      <c r="DV317" s="583"/>
      <c r="DW317" s="564">
        <f t="shared" si="2"/>
        <v>0</v>
      </c>
      <c r="DX317" s="565"/>
      <c r="DY317" s="564">
        <f t="shared" si="1"/>
        <v>0</v>
      </c>
      <c r="DZ317" s="565"/>
      <c r="EA317" s="565">
        <f t="shared" si="3"/>
        <v>0</v>
      </c>
      <c r="EB317" s="565"/>
    </row>
    <row r="318" spans="38:132" x14ac:dyDescent="0.2">
      <c r="AL318" s="57"/>
      <c r="AM318" s="57"/>
      <c r="AN318" s="57"/>
      <c r="AO318" s="57"/>
      <c r="AP318" s="57"/>
      <c r="AQ318" s="57"/>
      <c r="AR318" s="57"/>
      <c r="AS318" s="57"/>
      <c r="AT318" s="57"/>
      <c r="AU318" s="57"/>
      <c r="AV318" s="57"/>
      <c r="AW318" s="57"/>
      <c r="DC318" s="5"/>
      <c r="DD318" s="5" t="s">
        <v>3259</v>
      </c>
      <c r="DE318" s="6" t="s">
        <v>3431</v>
      </c>
      <c r="DF318" s="7" t="s">
        <v>3260</v>
      </c>
      <c r="DG318" s="6" t="s">
        <v>3264</v>
      </c>
      <c r="DH318" s="6"/>
      <c r="DJ318" s="6" t="s">
        <v>780</v>
      </c>
      <c r="DK318" s="8"/>
      <c r="DL318" s="8"/>
      <c r="DM318" s="8"/>
      <c r="DN318" s="8"/>
      <c r="DO318" s="8"/>
      <c r="DS318" s="582">
        <f t="shared" si="0"/>
        <v>0</v>
      </c>
      <c r="DT318" s="582"/>
      <c r="DU318" s="583">
        <f t="shared" si="4"/>
        <v>0</v>
      </c>
      <c r="DV318" s="583"/>
      <c r="DW318" s="564">
        <f t="shared" si="2"/>
        <v>0</v>
      </c>
      <c r="DX318" s="565"/>
      <c r="DY318" s="564">
        <f t="shared" si="1"/>
        <v>0</v>
      </c>
      <c r="DZ318" s="565"/>
      <c r="EA318" s="565">
        <f t="shared" si="3"/>
        <v>0</v>
      </c>
      <c r="EB318" s="565"/>
    </row>
    <row r="319" spans="38:132" x14ac:dyDescent="0.2">
      <c r="AL319" s="57"/>
      <c r="AM319" s="57"/>
      <c r="AN319" s="57"/>
      <c r="AO319" s="57"/>
      <c r="AP319" s="57"/>
      <c r="AQ319" s="57"/>
      <c r="AR319" s="57"/>
      <c r="AS319" s="57"/>
      <c r="AT319" s="57"/>
      <c r="AU319" s="57"/>
      <c r="AV319" s="57"/>
      <c r="AW319" s="57"/>
      <c r="DC319" s="5"/>
      <c r="DD319" s="5" t="s">
        <v>3262</v>
      </c>
      <c r="DE319" s="6" t="s">
        <v>3436</v>
      </c>
      <c r="DF319" s="7" t="s">
        <v>3263</v>
      </c>
      <c r="DG319" s="6" t="s">
        <v>3267</v>
      </c>
      <c r="DH319" s="6"/>
      <c r="DJ319" s="6" t="s">
        <v>781</v>
      </c>
      <c r="DK319" s="8"/>
      <c r="DL319" s="8"/>
      <c r="DM319" s="8"/>
      <c r="DN319" s="8"/>
      <c r="DO319" s="8"/>
      <c r="DS319" s="582">
        <f t="shared" si="0"/>
        <v>0</v>
      </c>
      <c r="DT319" s="582"/>
      <c r="DU319" s="583">
        <f t="shared" si="4"/>
        <v>0</v>
      </c>
      <c r="DV319" s="583"/>
      <c r="DW319" s="564">
        <f t="shared" si="2"/>
        <v>0</v>
      </c>
      <c r="DX319" s="565"/>
      <c r="DY319" s="564">
        <f t="shared" si="1"/>
        <v>0</v>
      </c>
      <c r="DZ319" s="565"/>
      <c r="EA319" s="565">
        <f t="shared" si="3"/>
        <v>0</v>
      </c>
      <c r="EB319" s="565"/>
    </row>
    <row r="320" spans="38:132" x14ac:dyDescent="0.2">
      <c r="AL320" s="57"/>
      <c r="AM320" s="57"/>
      <c r="AN320" s="57"/>
      <c r="AO320" s="57"/>
      <c r="AP320" s="57"/>
      <c r="AQ320" s="57"/>
      <c r="AR320" s="57"/>
      <c r="AS320" s="57"/>
      <c r="AT320" s="57"/>
      <c r="AU320" s="57"/>
      <c r="AV320" s="57"/>
      <c r="AW320" s="57"/>
      <c r="DC320" s="5"/>
      <c r="DD320" s="5" t="s">
        <v>3265</v>
      </c>
      <c r="DE320" s="6" t="s">
        <v>3437</v>
      </c>
      <c r="DF320" s="7" t="s">
        <v>3266</v>
      </c>
      <c r="DG320" s="6" t="s">
        <v>3270</v>
      </c>
      <c r="DH320" s="6"/>
      <c r="DJ320" s="6" t="s">
        <v>782</v>
      </c>
      <c r="DK320" s="8"/>
      <c r="DL320" s="8"/>
      <c r="DM320" s="8"/>
      <c r="DN320" s="8"/>
      <c r="DO320" s="8"/>
      <c r="DS320" s="582">
        <f t="shared" si="0"/>
        <v>0</v>
      </c>
      <c r="DT320" s="582"/>
      <c r="DU320" s="583">
        <f t="shared" si="4"/>
        <v>0</v>
      </c>
      <c r="DV320" s="583"/>
      <c r="DW320" s="564">
        <f t="shared" si="2"/>
        <v>0</v>
      </c>
      <c r="DX320" s="565"/>
      <c r="DY320" s="564">
        <f t="shared" si="1"/>
        <v>0</v>
      </c>
      <c r="DZ320" s="565"/>
      <c r="EA320" s="565">
        <f t="shared" si="3"/>
        <v>0</v>
      </c>
      <c r="EB320" s="565"/>
    </row>
    <row r="321" spans="38:132" x14ac:dyDescent="0.2">
      <c r="AL321" s="57"/>
      <c r="AM321" s="57"/>
      <c r="AN321" s="57"/>
      <c r="AO321" s="57"/>
      <c r="AP321" s="57"/>
      <c r="AQ321" s="57"/>
      <c r="AR321" s="57"/>
      <c r="AS321" s="57"/>
      <c r="AT321" s="57"/>
      <c r="AU321" s="57"/>
      <c r="AV321" s="57"/>
      <c r="AW321" s="57"/>
      <c r="DC321" s="5"/>
      <c r="DD321" s="5" t="s">
        <v>3268</v>
      </c>
      <c r="DE321" s="6" t="s">
        <v>3451</v>
      </c>
      <c r="DF321" s="7" t="s">
        <v>3269</v>
      </c>
      <c r="DG321" s="6"/>
      <c r="DH321" s="6"/>
      <c r="DS321" s="582">
        <f t="shared" si="0"/>
        <v>0</v>
      </c>
      <c r="DT321" s="582"/>
      <c r="DU321" s="583">
        <f t="shared" si="4"/>
        <v>0</v>
      </c>
      <c r="DV321" s="583"/>
      <c r="DW321" s="564">
        <f t="shared" si="2"/>
        <v>0</v>
      </c>
      <c r="DX321" s="565"/>
      <c r="DY321" s="564">
        <f t="shared" si="1"/>
        <v>0</v>
      </c>
      <c r="DZ321" s="565"/>
      <c r="EA321" s="565">
        <f t="shared" si="3"/>
        <v>0</v>
      </c>
      <c r="EB321" s="565"/>
    </row>
    <row r="322" spans="38:132" x14ac:dyDescent="0.2">
      <c r="AL322" s="57"/>
      <c r="AM322" s="57"/>
      <c r="AN322" s="57"/>
      <c r="AO322" s="57"/>
      <c r="AP322" s="57"/>
      <c r="AQ322" s="57"/>
      <c r="AR322" s="57"/>
      <c r="AS322" s="57"/>
      <c r="AT322" s="57"/>
      <c r="AU322" s="57"/>
      <c r="AV322" s="57"/>
      <c r="AW322" s="57"/>
      <c r="DC322" s="5"/>
      <c r="DD322" s="5" t="s">
        <v>3271</v>
      </c>
      <c r="DE322" s="6" t="s">
        <v>3433</v>
      </c>
      <c r="DF322" s="7" t="s">
        <v>3272</v>
      </c>
      <c r="DG322" s="8"/>
      <c r="DH322" s="6"/>
      <c r="DS322" s="582">
        <f t="shared" si="0"/>
        <v>0</v>
      </c>
      <c r="DT322" s="582"/>
      <c r="DU322" s="583">
        <f t="shared" si="4"/>
        <v>0</v>
      </c>
      <c r="DV322" s="583"/>
      <c r="DW322" s="564">
        <f t="shared" si="2"/>
        <v>0</v>
      </c>
      <c r="DX322" s="565"/>
      <c r="DY322" s="564">
        <f t="shared" si="1"/>
        <v>0</v>
      </c>
      <c r="DZ322" s="565"/>
      <c r="EA322" s="565">
        <f t="shared" si="3"/>
        <v>0</v>
      </c>
      <c r="EB322" s="565"/>
    </row>
    <row r="323" spans="38:132" x14ac:dyDescent="0.2">
      <c r="AL323" s="57"/>
      <c r="AM323" s="57"/>
      <c r="AN323" s="57"/>
      <c r="AO323" s="57"/>
      <c r="AP323" s="57"/>
      <c r="AQ323" s="57"/>
      <c r="AR323" s="57"/>
      <c r="AS323" s="57"/>
      <c r="AT323" s="57"/>
      <c r="AU323" s="57"/>
      <c r="AV323" s="57"/>
      <c r="AW323" s="57"/>
      <c r="DC323" s="5"/>
      <c r="DD323" s="5" t="s">
        <v>3273</v>
      </c>
      <c r="DE323" s="6" t="s">
        <v>3434</v>
      </c>
      <c r="DF323" s="7" t="s">
        <v>3274</v>
      </c>
      <c r="DG323" s="8"/>
      <c r="DH323" s="6"/>
      <c r="DS323" s="582">
        <f t="shared" si="0"/>
        <v>0</v>
      </c>
      <c r="DT323" s="582"/>
      <c r="DU323" s="583">
        <f t="shared" si="4"/>
        <v>0</v>
      </c>
      <c r="DV323" s="583"/>
      <c r="DW323" s="564">
        <f t="shared" si="2"/>
        <v>0</v>
      </c>
      <c r="DX323" s="565"/>
      <c r="DY323" s="564">
        <f t="shared" si="1"/>
        <v>0</v>
      </c>
      <c r="DZ323" s="565"/>
      <c r="EA323" s="565">
        <f t="shared" si="3"/>
        <v>0</v>
      </c>
      <c r="EB323" s="565"/>
    </row>
    <row r="324" spans="38:132" x14ac:dyDescent="0.2">
      <c r="AL324" s="57"/>
      <c r="AM324" s="57"/>
      <c r="AN324" s="57"/>
      <c r="AO324" s="57"/>
      <c r="AP324" s="57"/>
      <c r="AQ324" s="57"/>
      <c r="AR324" s="57"/>
      <c r="AS324" s="57"/>
      <c r="AT324" s="57"/>
      <c r="AU324" s="57"/>
      <c r="AV324" s="57"/>
      <c r="AW324" s="57"/>
      <c r="DC324" s="5"/>
      <c r="DD324" s="5" t="s">
        <v>3275</v>
      </c>
      <c r="DE324" s="6" t="s">
        <v>3435</v>
      </c>
      <c r="DF324" s="7" t="s">
        <v>3276</v>
      </c>
      <c r="DG324" s="8"/>
      <c r="DH324" s="8"/>
      <c r="DS324" s="582">
        <f t="shared" si="0"/>
        <v>0</v>
      </c>
      <c r="DT324" s="582"/>
      <c r="DU324" s="583">
        <f t="shared" si="4"/>
        <v>0</v>
      </c>
      <c r="DV324" s="583"/>
      <c r="DW324" s="564">
        <f t="shared" si="2"/>
        <v>0</v>
      </c>
      <c r="DX324" s="565"/>
      <c r="DY324" s="564">
        <f t="shared" si="1"/>
        <v>0</v>
      </c>
      <c r="DZ324" s="565"/>
      <c r="EA324" s="565">
        <f t="shared" si="3"/>
        <v>0</v>
      </c>
      <c r="EB324" s="565"/>
    </row>
    <row r="325" spans="38:132" x14ac:dyDescent="0.2">
      <c r="AL325" s="57"/>
      <c r="AM325" s="57"/>
      <c r="AN325" s="57"/>
      <c r="AO325" s="57"/>
      <c r="AP325" s="57"/>
      <c r="AQ325" s="57"/>
      <c r="AR325" s="57"/>
      <c r="AS325" s="57"/>
      <c r="AT325" s="57"/>
      <c r="AU325" s="57"/>
      <c r="AV325" s="57"/>
      <c r="AW325" s="57"/>
      <c r="DC325" s="5"/>
      <c r="DD325" s="5" t="s">
        <v>3277</v>
      </c>
      <c r="DE325" s="6" t="s">
        <v>3452</v>
      </c>
      <c r="DF325" s="7" t="s">
        <v>3278</v>
      </c>
      <c r="DG325" s="8"/>
      <c r="DH325" s="8"/>
      <c r="DS325" s="582">
        <f t="shared" si="0"/>
        <v>0</v>
      </c>
      <c r="DT325" s="582"/>
      <c r="DU325" s="583">
        <f t="shared" si="4"/>
        <v>0</v>
      </c>
      <c r="DV325" s="583"/>
      <c r="DW325" s="564">
        <f t="shared" si="2"/>
        <v>0</v>
      </c>
      <c r="DX325" s="565"/>
      <c r="DY325" s="564">
        <f t="shared" si="1"/>
        <v>0</v>
      </c>
      <c r="DZ325" s="565"/>
      <c r="EA325" s="565">
        <f t="shared" si="3"/>
        <v>0</v>
      </c>
      <c r="EB325" s="565"/>
    </row>
    <row r="326" spans="38:132" x14ac:dyDescent="0.2">
      <c r="AL326" s="57"/>
      <c r="AM326" s="57"/>
      <c r="AN326" s="57"/>
      <c r="AO326" s="57"/>
      <c r="AP326" s="57"/>
      <c r="AQ326" s="57"/>
      <c r="AR326" s="57"/>
      <c r="AS326" s="57"/>
      <c r="AT326" s="57"/>
      <c r="AU326" s="57"/>
      <c r="AV326" s="57"/>
      <c r="AW326" s="57"/>
      <c r="DC326" s="5"/>
      <c r="DD326" s="5" t="s">
        <v>3279</v>
      </c>
      <c r="DE326" s="6" t="s">
        <v>3438</v>
      </c>
      <c r="DF326" s="7" t="s">
        <v>3280</v>
      </c>
      <c r="DG326" s="8"/>
      <c r="DH326" s="8"/>
      <c r="DS326" s="582">
        <f t="shared" si="0"/>
        <v>0</v>
      </c>
      <c r="DT326" s="582"/>
      <c r="DU326" s="583">
        <f t="shared" si="4"/>
        <v>0</v>
      </c>
      <c r="DV326" s="583"/>
      <c r="DW326" s="564">
        <f t="shared" si="2"/>
        <v>0</v>
      </c>
      <c r="DX326" s="565"/>
      <c r="DY326" s="564">
        <f t="shared" si="1"/>
        <v>0</v>
      </c>
      <c r="DZ326" s="565"/>
      <c r="EA326" s="565">
        <f t="shared" si="3"/>
        <v>0</v>
      </c>
      <c r="EB326" s="565"/>
    </row>
    <row r="327" spans="38:132" x14ac:dyDescent="0.2">
      <c r="AL327" s="57"/>
      <c r="AM327" s="57"/>
      <c r="AN327" s="57"/>
      <c r="AO327" s="57"/>
      <c r="AP327" s="57"/>
      <c r="AQ327" s="57"/>
      <c r="AR327" s="57"/>
      <c r="AS327" s="57"/>
      <c r="AT327" s="57"/>
      <c r="AU327" s="57"/>
      <c r="AV327" s="57"/>
      <c r="AW327" s="57"/>
      <c r="DC327" s="5"/>
      <c r="DD327" s="5" t="s">
        <v>3281</v>
      </c>
      <c r="DE327" s="6" t="s">
        <v>3439</v>
      </c>
      <c r="DF327" s="7" t="s">
        <v>3282</v>
      </c>
      <c r="DG327" s="8"/>
      <c r="DH327" s="8"/>
      <c r="DS327" s="582">
        <f t="shared" si="0"/>
        <v>0</v>
      </c>
      <c r="DT327" s="582"/>
      <c r="DU327" s="583">
        <f t="shared" si="4"/>
        <v>0</v>
      </c>
      <c r="DV327" s="583"/>
      <c r="DW327" s="564">
        <f t="shared" si="2"/>
        <v>0</v>
      </c>
      <c r="DX327" s="565"/>
      <c r="DY327" s="564">
        <f t="shared" si="1"/>
        <v>0</v>
      </c>
      <c r="DZ327" s="565"/>
      <c r="EA327" s="565">
        <f t="shared" si="3"/>
        <v>0</v>
      </c>
      <c r="EB327" s="565"/>
    </row>
    <row r="328" spans="38:132" x14ac:dyDescent="0.2">
      <c r="AL328" s="57"/>
      <c r="AM328" s="57"/>
      <c r="AN328" s="57"/>
      <c r="AO328" s="57"/>
      <c r="AP328" s="57"/>
      <c r="AQ328" s="57"/>
      <c r="AR328" s="57"/>
      <c r="AS328" s="57"/>
      <c r="AT328" s="57"/>
      <c r="AU328" s="57"/>
      <c r="AV328" s="57"/>
      <c r="AW328" s="57"/>
      <c r="DC328" s="5"/>
      <c r="DD328" s="5" t="s">
        <v>3283</v>
      </c>
      <c r="DE328" s="6" t="s">
        <v>3440</v>
      </c>
      <c r="DF328" s="7" t="s">
        <v>3284</v>
      </c>
      <c r="DG328" s="8"/>
      <c r="DH328" s="8"/>
      <c r="DS328" s="582">
        <f>DU328/30</f>
        <v>0</v>
      </c>
      <c r="DT328" s="582"/>
      <c r="DU328" s="583">
        <f t="shared" si="4"/>
        <v>0</v>
      </c>
      <c r="DV328" s="583"/>
      <c r="DW328" s="591">
        <f>ROUNDDOWN(DS328,0)</f>
        <v>0</v>
      </c>
      <c r="DX328" s="592"/>
      <c r="DY328" s="564">
        <f>DS328-DW328</f>
        <v>0</v>
      </c>
      <c r="DZ328" s="565"/>
      <c r="EA328" s="565">
        <f t="shared" si="3"/>
        <v>0</v>
      </c>
      <c r="EB328" s="565"/>
    </row>
    <row r="329" spans="38:132" x14ac:dyDescent="0.2">
      <c r="AL329" s="57"/>
      <c r="AM329" s="57"/>
      <c r="AN329" s="57"/>
      <c r="AO329" s="57"/>
      <c r="AP329" s="57"/>
      <c r="AQ329" s="57"/>
      <c r="AR329" s="57"/>
      <c r="AS329" s="57"/>
      <c r="AT329" s="57"/>
      <c r="AU329" s="57"/>
      <c r="AV329" s="57"/>
      <c r="AW329" s="57"/>
      <c r="DC329" s="5"/>
      <c r="DD329" s="5" t="s">
        <v>3285</v>
      </c>
      <c r="DE329" s="6" t="s">
        <v>3442</v>
      </c>
      <c r="DF329" s="7" t="s">
        <v>3286</v>
      </c>
      <c r="DG329" s="8"/>
      <c r="DH329" s="8"/>
      <c r="DS329" s="582">
        <f>DU329/30</f>
        <v>0</v>
      </c>
      <c r="DT329" s="582"/>
      <c r="DU329" s="583">
        <f>DAYS360(AE142,AH142)</f>
        <v>0</v>
      </c>
      <c r="DV329" s="583"/>
      <c r="DW329" s="564">
        <f t="shared" si="2"/>
        <v>0</v>
      </c>
      <c r="DX329" s="565"/>
      <c r="DY329" s="564">
        <f>DS329-DW329</f>
        <v>0</v>
      </c>
      <c r="DZ329" s="565"/>
      <c r="EA329" s="565">
        <f t="shared" si="3"/>
        <v>0</v>
      </c>
      <c r="EB329" s="565"/>
    </row>
    <row r="330" spans="38:132" x14ac:dyDescent="0.2">
      <c r="AL330" s="57"/>
      <c r="AM330" s="57"/>
      <c r="AN330" s="57"/>
      <c r="AO330" s="57"/>
      <c r="AP330" s="57"/>
      <c r="AQ330" s="57"/>
      <c r="AR330" s="57"/>
      <c r="AS330" s="57"/>
      <c r="AT330" s="57"/>
      <c r="AU330" s="57"/>
      <c r="AV330" s="57"/>
      <c r="AW330" s="57"/>
      <c r="DC330" s="5"/>
      <c r="DD330" s="5" t="s">
        <v>3287</v>
      </c>
      <c r="DE330" s="6" t="s">
        <v>3443</v>
      </c>
      <c r="DF330" s="7" t="s">
        <v>3288</v>
      </c>
      <c r="DG330" s="8"/>
      <c r="DH330" s="8"/>
      <c r="DS330" s="582" t="e">
        <f>DU330/30</f>
        <v>#REF!</v>
      </c>
      <c r="DT330" s="582"/>
      <c r="DU330" s="583" t="e">
        <f>DAYS360(#REF!,#REF!)</f>
        <v>#REF!</v>
      </c>
      <c r="DV330" s="583"/>
      <c r="DW330" s="564" t="e">
        <f t="shared" si="2"/>
        <v>#REF!</v>
      </c>
      <c r="DX330" s="565"/>
      <c r="DY330" s="564" t="e">
        <f>DS330-DW330</f>
        <v>#REF!</v>
      </c>
      <c r="DZ330" s="565"/>
      <c r="EA330" s="565" t="e">
        <f t="shared" si="3"/>
        <v>#REF!</v>
      </c>
      <c r="EB330" s="565"/>
    </row>
    <row r="331" spans="38:132" x14ac:dyDescent="0.2">
      <c r="AL331" s="57"/>
      <c r="AM331" s="57"/>
      <c r="AN331" s="57"/>
      <c r="AO331" s="57"/>
      <c r="AP331" s="57"/>
      <c r="AQ331" s="57"/>
      <c r="AR331" s="57"/>
      <c r="AS331" s="57"/>
      <c r="AT331" s="57"/>
      <c r="AU331" s="57"/>
      <c r="AV331" s="57"/>
      <c r="AW331" s="57"/>
      <c r="DC331" s="5"/>
      <c r="DD331" s="5" t="s">
        <v>3289</v>
      </c>
      <c r="DE331" s="6" t="s">
        <v>3444</v>
      </c>
      <c r="DF331" s="7" t="s">
        <v>3290</v>
      </c>
      <c r="DG331" s="8"/>
      <c r="DH331" s="8"/>
      <c r="DS331" s="582" t="e">
        <f>DU331/30</f>
        <v>#REF!</v>
      </c>
      <c r="DT331" s="582"/>
      <c r="DU331" s="583" t="e">
        <f>DAYS360(#REF!,#REF!)</f>
        <v>#REF!</v>
      </c>
      <c r="DV331" s="583"/>
      <c r="DW331" s="564" t="e">
        <f t="shared" si="2"/>
        <v>#REF!</v>
      </c>
      <c r="DX331" s="565"/>
      <c r="DY331" s="564" t="e">
        <f>DS331-DW331</f>
        <v>#REF!</v>
      </c>
      <c r="DZ331" s="565"/>
      <c r="EA331" s="565" t="e">
        <f t="shared" si="3"/>
        <v>#REF!</v>
      </c>
      <c r="EB331" s="565"/>
    </row>
    <row r="332" spans="38:132" x14ac:dyDescent="0.2">
      <c r="AL332" s="57"/>
      <c r="AM332" s="57"/>
      <c r="AN332" s="57"/>
      <c r="AO332" s="57"/>
      <c r="AP332" s="57"/>
      <c r="AQ332" s="57"/>
      <c r="AR332" s="57"/>
      <c r="AS332" s="57"/>
      <c r="AT332" s="57"/>
      <c r="AU332" s="57"/>
      <c r="AV332" s="57"/>
      <c r="AW332" s="57"/>
      <c r="DC332" s="5"/>
      <c r="DD332" s="5" t="s">
        <v>3291</v>
      </c>
      <c r="DE332" s="6" t="s">
        <v>3445</v>
      </c>
      <c r="DF332" s="7" t="s">
        <v>3292</v>
      </c>
      <c r="DG332" s="8"/>
      <c r="DH332" s="8"/>
      <c r="DS332" s="582" t="e">
        <f>DU332/30</f>
        <v>#REF!</v>
      </c>
      <c r="DT332" s="582"/>
      <c r="DU332" s="583" t="e">
        <f>DAYS360(#REF!,#REF!)</f>
        <v>#REF!</v>
      </c>
      <c r="DV332" s="583"/>
      <c r="DW332" s="564" t="e">
        <f t="shared" si="2"/>
        <v>#REF!</v>
      </c>
      <c r="DX332" s="565"/>
      <c r="DY332" s="564" t="e">
        <f>DS332-DW332</f>
        <v>#REF!</v>
      </c>
      <c r="DZ332" s="565"/>
      <c r="EA332" s="565" t="e">
        <f t="shared" si="3"/>
        <v>#REF!</v>
      </c>
      <c r="EB332" s="565"/>
    </row>
    <row r="333" spans="38:132" x14ac:dyDescent="0.2">
      <c r="AL333" s="57"/>
      <c r="AM333" s="57"/>
      <c r="AN333" s="57"/>
      <c r="AO333" s="57"/>
      <c r="AP333" s="57"/>
      <c r="AQ333" s="57"/>
      <c r="AR333" s="57"/>
      <c r="AS333" s="57"/>
      <c r="AT333" s="57"/>
      <c r="AU333" s="57"/>
      <c r="AV333" s="57"/>
      <c r="AW333" s="57"/>
      <c r="DC333" s="5"/>
      <c r="DD333" s="5" t="s">
        <v>3293</v>
      </c>
      <c r="DE333" s="6" t="s">
        <v>3441</v>
      </c>
      <c r="DF333" s="7" t="s">
        <v>3294</v>
      </c>
      <c r="DG333" s="8"/>
      <c r="DH333" s="8"/>
    </row>
    <row r="334" spans="38:132" x14ac:dyDescent="0.2">
      <c r="AL334" s="57"/>
      <c r="AM334" s="57"/>
      <c r="AN334" s="57"/>
      <c r="AO334" s="57"/>
      <c r="AP334" s="57"/>
      <c r="AQ334" s="57"/>
      <c r="AR334" s="57"/>
      <c r="AS334" s="57"/>
      <c r="AT334" s="57"/>
      <c r="AU334" s="57"/>
      <c r="AV334" s="57"/>
      <c r="AW334" s="57"/>
      <c r="DC334" s="5"/>
      <c r="DD334" s="5" t="s">
        <v>3295</v>
      </c>
      <c r="DE334" s="6" t="s">
        <v>3448</v>
      </c>
      <c r="DF334" s="7" t="s">
        <v>3296</v>
      </c>
      <c r="DG334" s="8"/>
      <c r="DH334" s="8"/>
    </row>
    <row r="335" spans="38:132" x14ac:dyDescent="0.2">
      <c r="AL335" s="57"/>
      <c r="AM335" s="57"/>
      <c r="AN335" s="57"/>
      <c r="AO335" s="57"/>
      <c r="AP335" s="57"/>
      <c r="AQ335" s="57"/>
      <c r="AR335" s="57"/>
      <c r="AS335" s="57"/>
      <c r="AT335" s="57"/>
      <c r="AU335" s="57"/>
      <c r="AV335" s="57"/>
      <c r="AW335" s="57"/>
      <c r="DC335" s="5"/>
      <c r="DD335" s="5" t="s">
        <v>3298</v>
      </c>
      <c r="DE335" s="6" t="s">
        <v>3449</v>
      </c>
      <c r="DF335" s="7" t="s">
        <v>3297</v>
      </c>
      <c r="DG335" s="8"/>
      <c r="DH335" s="8"/>
    </row>
    <row r="336" spans="38:132" x14ac:dyDescent="0.2">
      <c r="AL336" s="57"/>
      <c r="AM336" s="57"/>
      <c r="AN336" s="57"/>
      <c r="AO336" s="57"/>
      <c r="AP336" s="57"/>
      <c r="AQ336" s="57"/>
      <c r="AR336" s="57"/>
      <c r="AS336" s="57"/>
      <c r="AT336" s="57"/>
      <c r="AU336" s="57"/>
      <c r="AV336" s="57"/>
      <c r="AW336" s="57"/>
      <c r="DC336" s="5"/>
      <c r="DD336" s="5" t="s">
        <v>3300</v>
      </c>
      <c r="DE336" s="6" t="s">
        <v>3450</v>
      </c>
      <c r="DF336" s="7" t="s">
        <v>3299</v>
      </c>
      <c r="DG336" s="8"/>
      <c r="DH336" s="8"/>
    </row>
    <row r="337" spans="38:112" x14ac:dyDescent="0.2">
      <c r="AL337" s="57"/>
      <c r="AM337" s="57"/>
      <c r="AN337" s="57"/>
      <c r="AO337" s="57"/>
      <c r="AP337" s="57"/>
      <c r="AQ337" s="57"/>
      <c r="AR337" s="57"/>
      <c r="AS337" s="57"/>
      <c r="AT337" s="57"/>
      <c r="AU337" s="57"/>
      <c r="AV337" s="57"/>
      <c r="AW337" s="57"/>
      <c r="DC337" s="5"/>
      <c r="DD337" s="5" t="s">
        <v>3302</v>
      </c>
      <c r="DE337" s="6" t="s">
        <v>3446</v>
      </c>
      <c r="DF337" s="7" t="s">
        <v>3301</v>
      </c>
      <c r="DG337" s="8"/>
      <c r="DH337" s="8"/>
    </row>
    <row r="338" spans="38:112" x14ac:dyDescent="0.2">
      <c r="AL338" s="57"/>
      <c r="AM338" s="57"/>
      <c r="AN338" s="57"/>
      <c r="AO338" s="57"/>
      <c r="AP338" s="57"/>
      <c r="AQ338" s="57"/>
      <c r="AR338" s="57"/>
      <c r="AS338" s="57"/>
      <c r="AT338" s="57"/>
      <c r="AU338" s="57"/>
      <c r="AV338" s="57"/>
      <c r="AW338" s="57"/>
      <c r="DC338" s="5"/>
      <c r="DD338" s="5" t="s">
        <v>3304</v>
      </c>
      <c r="DE338" s="6" t="s">
        <v>3447</v>
      </c>
      <c r="DF338" s="7" t="s">
        <v>3303</v>
      </c>
      <c r="DG338" s="8"/>
      <c r="DH338" s="8"/>
    </row>
    <row r="339" spans="38:112" x14ac:dyDescent="0.2">
      <c r="AL339" s="57"/>
      <c r="AM339" s="57"/>
      <c r="AN339" s="57"/>
      <c r="AO339" s="57"/>
      <c r="AP339" s="57"/>
      <c r="AQ339" s="57"/>
      <c r="AR339" s="57"/>
      <c r="AS339" s="57"/>
      <c r="AT339" s="57"/>
      <c r="AU339" s="57"/>
      <c r="AV339" s="57"/>
      <c r="AW339" s="57"/>
      <c r="DC339" s="5"/>
      <c r="DD339" s="5" t="s">
        <v>3305</v>
      </c>
      <c r="DE339" s="6"/>
      <c r="DF339" s="8"/>
      <c r="DG339" s="8"/>
      <c r="DH339" s="8"/>
    </row>
    <row r="340" spans="38:112" x14ac:dyDescent="0.2">
      <c r="AL340" s="57"/>
      <c r="AM340" s="57"/>
      <c r="AN340" s="57"/>
      <c r="AO340" s="57"/>
      <c r="AP340" s="57"/>
      <c r="AQ340" s="57"/>
      <c r="AR340" s="57"/>
      <c r="AS340" s="57"/>
      <c r="AT340" s="57"/>
      <c r="AU340" s="57"/>
      <c r="AV340" s="57"/>
      <c r="AW340" s="57"/>
      <c r="DC340" s="5"/>
      <c r="DD340" s="5" t="s">
        <v>783</v>
      </c>
      <c r="DE340" s="8"/>
      <c r="DF340" s="8"/>
      <c r="DG340" s="8"/>
      <c r="DH340" s="8"/>
    </row>
    <row r="341" spans="38:112" x14ac:dyDescent="0.2">
      <c r="AL341" s="57"/>
      <c r="AM341" s="57"/>
      <c r="AN341" s="57"/>
      <c r="AO341" s="57"/>
      <c r="AP341" s="57"/>
      <c r="AQ341" s="57"/>
      <c r="AR341" s="57"/>
      <c r="AS341" s="57"/>
      <c r="AT341" s="57"/>
      <c r="AU341" s="57"/>
      <c r="AV341" s="57"/>
      <c r="AW341" s="57"/>
      <c r="DC341" s="5"/>
      <c r="DD341" s="5" t="s">
        <v>3306</v>
      </c>
      <c r="DE341" s="8"/>
      <c r="DF341" s="8"/>
      <c r="DG341" s="8"/>
      <c r="DH341" s="8"/>
    </row>
    <row r="342" spans="38:112" x14ac:dyDescent="0.2">
      <c r="AL342" s="57"/>
      <c r="AM342" s="57"/>
      <c r="AN342" s="57"/>
      <c r="AO342" s="57"/>
      <c r="AP342" s="57"/>
      <c r="AQ342" s="57"/>
      <c r="AR342" s="57"/>
      <c r="AS342" s="57"/>
      <c r="AT342" s="57"/>
      <c r="AU342" s="57"/>
      <c r="AV342" s="57"/>
      <c r="AW342" s="57"/>
      <c r="DC342" s="5"/>
      <c r="DD342" s="5" t="s">
        <v>3307</v>
      </c>
      <c r="DE342" s="8"/>
      <c r="DF342" s="8"/>
      <c r="DG342" s="8"/>
      <c r="DH342" s="8"/>
    </row>
    <row r="343" spans="38:112" x14ac:dyDescent="0.2">
      <c r="AL343" s="57"/>
      <c r="AM343" s="57"/>
      <c r="AN343" s="57"/>
      <c r="AO343" s="57"/>
      <c r="AP343" s="57"/>
      <c r="AQ343" s="57"/>
      <c r="AR343" s="57"/>
      <c r="AS343" s="57"/>
      <c r="AT343" s="57"/>
      <c r="AU343" s="57"/>
      <c r="AV343" s="57"/>
      <c r="AW343" s="57"/>
      <c r="DC343" s="5"/>
      <c r="DD343" s="5" t="s">
        <v>3308</v>
      </c>
      <c r="DE343" s="8"/>
      <c r="DF343" s="8"/>
      <c r="DG343" s="8"/>
      <c r="DH343" s="8"/>
    </row>
    <row r="344" spans="38:112" x14ac:dyDescent="0.2">
      <c r="AL344" s="57"/>
      <c r="AM344" s="57"/>
      <c r="AN344" s="57"/>
      <c r="AO344" s="57"/>
      <c r="AP344" s="57"/>
      <c r="AQ344" s="57"/>
      <c r="AR344" s="57"/>
      <c r="AS344" s="57"/>
      <c r="AT344" s="57"/>
      <c r="AU344" s="57"/>
      <c r="AV344" s="57"/>
      <c r="AW344" s="57"/>
      <c r="DC344" s="5"/>
      <c r="DD344" s="5" t="s">
        <v>3309</v>
      </c>
      <c r="DE344" s="8"/>
      <c r="DF344" s="8"/>
      <c r="DG344" s="8"/>
      <c r="DH344" s="8"/>
    </row>
    <row r="345" spans="38:112" x14ac:dyDescent="0.2">
      <c r="AL345" s="57"/>
      <c r="AM345" s="57"/>
      <c r="AN345" s="57"/>
      <c r="AO345" s="57"/>
      <c r="AP345" s="57"/>
      <c r="AQ345" s="57"/>
      <c r="AR345" s="57"/>
      <c r="AS345" s="57"/>
      <c r="AT345" s="57"/>
      <c r="AU345" s="57"/>
      <c r="AV345" s="57"/>
      <c r="AW345" s="57"/>
      <c r="DC345" s="5"/>
      <c r="DD345" s="5" t="s">
        <v>3310</v>
      </c>
      <c r="DE345" s="8"/>
      <c r="DF345" s="8"/>
      <c r="DG345" s="8"/>
      <c r="DH345" s="8"/>
    </row>
    <row r="346" spans="38:112" x14ac:dyDescent="0.2">
      <c r="AL346" s="57"/>
      <c r="AM346" s="57"/>
      <c r="AN346" s="57"/>
      <c r="AO346" s="57"/>
      <c r="AP346" s="57"/>
      <c r="AQ346" s="57"/>
      <c r="AR346" s="57"/>
      <c r="AS346" s="57"/>
      <c r="AT346" s="57"/>
      <c r="AU346" s="57"/>
      <c r="AV346" s="57"/>
      <c r="AW346" s="57"/>
      <c r="DC346" s="5"/>
      <c r="DD346" s="5" t="s">
        <v>3311</v>
      </c>
      <c r="DE346" s="8"/>
      <c r="DF346" s="8"/>
      <c r="DG346" s="8"/>
      <c r="DH346" s="8"/>
    </row>
    <row r="347" spans="38:112" x14ac:dyDescent="0.2">
      <c r="AL347" s="57"/>
      <c r="AM347" s="57"/>
      <c r="AN347" s="57"/>
      <c r="AO347" s="57"/>
      <c r="AP347" s="57"/>
      <c r="AQ347" s="57"/>
      <c r="AR347" s="57"/>
      <c r="AS347" s="57"/>
      <c r="AT347" s="57"/>
      <c r="AU347" s="57"/>
      <c r="AV347" s="57"/>
      <c r="AW347" s="57"/>
      <c r="DC347" s="5"/>
      <c r="DD347" s="5" t="s">
        <v>3312</v>
      </c>
      <c r="DE347" s="8"/>
      <c r="DF347" s="8"/>
      <c r="DG347" s="8"/>
      <c r="DH347" s="8"/>
    </row>
    <row r="348" spans="38:112" x14ac:dyDescent="0.2">
      <c r="AL348" s="57"/>
      <c r="AM348" s="57"/>
      <c r="AN348" s="57"/>
      <c r="AO348" s="57"/>
      <c r="AP348" s="57"/>
      <c r="AQ348" s="57"/>
      <c r="AR348" s="57"/>
      <c r="AS348" s="57"/>
      <c r="AT348" s="57"/>
      <c r="AU348" s="57"/>
      <c r="AV348" s="57"/>
      <c r="AW348" s="57"/>
      <c r="DC348" s="5"/>
      <c r="DD348" s="5" t="s">
        <v>3313</v>
      </c>
      <c r="DE348" s="8"/>
      <c r="DF348" s="8"/>
      <c r="DG348" s="8"/>
      <c r="DH348" s="8"/>
    </row>
    <row r="349" spans="38:112" x14ac:dyDescent="0.2">
      <c r="AL349" s="57"/>
      <c r="AM349" s="57"/>
      <c r="AN349" s="57"/>
      <c r="AO349" s="57"/>
      <c r="AP349" s="57"/>
      <c r="AQ349" s="57"/>
      <c r="AR349" s="57"/>
      <c r="AS349" s="57"/>
      <c r="AT349" s="57"/>
      <c r="AU349" s="57"/>
      <c r="AV349" s="57"/>
      <c r="AW349" s="57"/>
      <c r="DC349" s="5"/>
      <c r="DD349" s="5" t="s">
        <v>3314</v>
      </c>
      <c r="DE349" s="8"/>
      <c r="DF349" s="8"/>
      <c r="DG349" s="8"/>
      <c r="DH349" s="8"/>
    </row>
    <row r="350" spans="38:112" x14ac:dyDescent="0.2">
      <c r="AL350" s="57"/>
      <c r="AM350" s="57"/>
      <c r="AN350" s="57"/>
      <c r="AO350" s="57"/>
      <c r="AP350" s="57"/>
      <c r="AQ350" s="57"/>
      <c r="AR350" s="57"/>
      <c r="AS350" s="57"/>
      <c r="AT350" s="57"/>
      <c r="AU350" s="57"/>
      <c r="AV350" s="57"/>
      <c r="AW350" s="57"/>
      <c r="DC350" s="5"/>
      <c r="DD350" s="5" t="s">
        <v>3315</v>
      </c>
      <c r="DF350" s="8"/>
      <c r="DG350" s="8"/>
      <c r="DH350" s="8"/>
    </row>
    <row r="351" spans="38:112" x14ac:dyDescent="0.2">
      <c r="AL351" s="57"/>
      <c r="AM351" s="57"/>
      <c r="AN351" s="57"/>
      <c r="AO351" s="57"/>
      <c r="AP351" s="57"/>
      <c r="AQ351" s="57"/>
      <c r="AR351" s="57"/>
      <c r="AS351" s="57"/>
      <c r="AT351" s="57"/>
      <c r="AU351" s="57"/>
      <c r="AV351" s="57"/>
      <c r="AW351" s="57"/>
      <c r="DC351" s="5"/>
      <c r="DD351" s="5" t="s">
        <v>3316</v>
      </c>
      <c r="DF351" s="8"/>
      <c r="DG351" s="8"/>
      <c r="DH351" s="8"/>
    </row>
    <row r="352" spans="38:112" x14ac:dyDescent="0.2">
      <c r="AL352" s="57"/>
      <c r="AM352" s="57"/>
      <c r="AN352" s="57"/>
      <c r="AO352" s="57"/>
      <c r="AP352" s="57"/>
      <c r="AQ352" s="57"/>
      <c r="AR352" s="57"/>
      <c r="AS352" s="57"/>
      <c r="AT352" s="57"/>
      <c r="AU352" s="57"/>
      <c r="AV352" s="57"/>
      <c r="AW352" s="57"/>
      <c r="DC352" s="5"/>
      <c r="DD352" s="5" t="s">
        <v>3317</v>
      </c>
      <c r="DF352" s="8"/>
      <c r="DG352" s="8"/>
      <c r="DH352" s="8"/>
    </row>
    <row r="353" spans="38:112" x14ac:dyDescent="0.2">
      <c r="AL353" s="57"/>
      <c r="AM353" s="57"/>
      <c r="AN353" s="57"/>
      <c r="AO353" s="57"/>
      <c r="AP353" s="57"/>
      <c r="AQ353" s="57"/>
      <c r="AR353" s="57"/>
      <c r="AS353" s="57"/>
      <c r="AT353" s="57"/>
      <c r="AU353" s="57"/>
      <c r="AV353" s="57"/>
      <c r="AW353" s="57"/>
      <c r="DC353" s="5"/>
      <c r="DD353" s="5" t="s">
        <v>3318</v>
      </c>
      <c r="DF353" s="8"/>
      <c r="DG353" s="8"/>
      <c r="DH353" s="8"/>
    </row>
    <row r="354" spans="38:112" x14ac:dyDescent="0.2">
      <c r="AL354" s="57"/>
      <c r="AM354" s="57"/>
      <c r="AN354" s="57"/>
      <c r="AO354" s="57"/>
      <c r="AP354" s="57"/>
      <c r="AQ354" s="57"/>
      <c r="AR354" s="57"/>
      <c r="AS354" s="57"/>
      <c r="AT354" s="57"/>
      <c r="AU354" s="57"/>
      <c r="AV354" s="57"/>
      <c r="AW354" s="57"/>
      <c r="DC354" s="5"/>
      <c r="DD354" s="5" t="s">
        <v>3319</v>
      </c>
      <c r="DF354" s="8"/>
      <c r="DG354" s="8"/>
      <c r="DH354" s="8"/>
    </row>
    <row r="355" spans="38:112" x14ac:dyDescent="0.2">
      <c r="AL355" s="57"/>
      <c r="AM355" s="57"/>
      <c r="AN355" s="57"/>
      <c r="AO355" s="57"/>
      <c r="AP355" s="57"/>
      <c r="AQ355" s="57"/>
      <c r="AR355" s="57"/>
      <c r="AS355" s="57"/>
      <c r="AT355" s="57"/>
      <c r="AU355" s="57"/>
      <c r="AV355" s="57"/>
      <c r="AW355" s="57"/>
      <c r="DC355" s="5"/>
      <c r="DD355" s="5" t="s">
        <v>3320</v>
      </c>
      <c r="DF355" s="8"/>
      <c r="DG355" s="8"/>
      <c r="DH355" s="8"/>
    </row>
    <row r="356" spans="38:112" x14ac:dyDescent="0.2">
      <c r="AL356" s="57"/>
      <c r="AM356" s="57"/>
      <c r="AN356" s="57"/>
      <c r="AO356" s="57"/>
      <c r="AP356" s="57"/>
      <c r="AQ356" s="57"/>
      <c r="AR356" s="57"/>
      <c r="AS356" s="57"/>
      <c r="AT356" s="57"/>
      <c r="AU356" s="57"/>
      <c r="AV356" s="57"/>
      <c r="AW356" s="57"/>
      <c r="DC356" s="5"/>
      <c r="DD356" s="5" t="s">
        <v>3321</v>
      </c>
      <c r="DF356" s="8"/>
      <c r="DG356" s="8"/>
      <c r="DH356" s="8"/>
    </row>
    <row r="357" spans="38:112" x14ac:dyDescent="0.2">
      <c r="AL357" s="57"/>
      <c r="AM357" s="57"/>
      <c r="AN357" s="57"/>
      <c r="AO357" s="57"/>
      <c r="AP357" s="57"/>
      <c r="AQ357" s="57"/>
      <c r="AR357" s="57"/>
      <c r="AS357" s="57"/>
      <c r="AT357" s="57"/>
      <c r="AU357" s="57"/>
      <c r="AV357" s="57"/>
      <c r="AW357" s="57"/>
      <c r="DC357" s="5"/>
      <c r="DD357" s="5" t="s">
        <v>3322</v>
      </c>
      <c r="DE357" s="8"/>
      <c r="DF357" s="8"/>
      <c r="DG357" s="8"/>
      <c r="DH357" s="8"/>
    </row>
    <row r="358" spans="38:112" x14ac:dyDescent="0.2">
      <c r="AL358" s="57"/>
      <c r="AM358" s="57"/>
      <c r="AN358" s="57"/>
      <c r="AO358" s="57"/>
      <c r="AP358" s="57"/>
      <c r="AQ358" s="57"/>
      <c r="AR358" s="57"/>
      <c r="AS358" s="57"/>
      <c r="AT358" s="57"/>
      <c r="AU358" s="57"/>
      <c r="AV358" s="57"/>
      <c r="AW358" s="57"/>
      <c r="DC358" s="5"/>
      <c r="DD358" s="5" t="s">
        <v>3323</v>
      </c>
      <c r="DE358" s="8"/>
      <c r="DF358" s="8"/>
      <c r="DG358" s="8"/>
      <c r="DH358" s="8"/>
    </row>
    <row r="359" spans="38:112" x14ac:dyDescent="0.2">
      <c r="AL359" s="57"/>
      <c r="AM359" s="57"/>
      <c r="AN359" s="57"/>
      <c r="AO359" s="57"/>
      <c r="AP359" s="57"/>
      <c r="AQ359" s="57"/>
      <c r="AR359" s="57"/>
      <c r="AS359" s="57"/>
      <c r="AT359" s="57"/>
      <c r="AU359" s="57"/>
      <c r="AV359" s="57"/>
      <c r="AW359" s="57"/>
      <c r="DC359" s="5"/>
      <c r="DD359" s="5" t="s">
        <v>3324</v>
      </c>
      <c r="DE359" s="8"/>
      <c r="DF359" s="8"/>
      <c r="DG359" s="8"/>
      <c r="DH359" s="8"/>
    </row>
    <row r="360" spans="38:112" x14ac:dyDescent="0.2">
      <c r="AL360" s="57"/>
      <c r="AM360" s="57"/>
      <c r="AN360" s="57"/>
      <c r="AO360" s="57"/>
      <c r="AP360" s="57"/>
      <c r="AQ360" s="57"/>
      <c r="AR360" s="57"/>
      <c r="AS360" s="57"/>
      <c r="AT360" s="57"/>
      <c r="AU360" s="57"/>
      <c r="AV360" s="57"/>
      <c r="AW360" s="57"/>
      <c r="DC360" s="5"/>
      <c r="DD360" s="5" t="s">
        <v>3325</v>
      </c>
      <c r="DE360" s="8"/>
      <c r="DF360" s="8"/>
      <c r="DG360" s="8"/>
      <c r="DH360" s="8"/>
    </row>
    <row r="361" spans="38:112" x14ac:dyDescent="0.2">
      <c r="AL361" s="57"/>
      <c r="AM361" s="57"/>
      <c r="AN361" s="57"/>
      <c r="AO361" s="57"/>
      <c r="AP361" s="57"/>
      <c r="AQ361" s="57"/>
      <c r="AR361" s="57"/>
      <c r="AS361" s="57"/>
      <c r="AT361" s="57"/>
      <c r="AU361" s="57"/>
      <c r="AV361" s="57"/>
      <c r="AW361" s="57"/>
      <c r="DC361" s="5"/>
      <c r="DD361" s="5" t="s">
        <v>3326</v>
      </c>
      <c r="DE361" s="8"/>
      <c r="DF361" s="8"/>
      <c r="DG361" s="8"/>
      <c r="DH361" s="8"/>
    </row>
    <row r="362" spans="38:112" x14ac:dyDescent="0.2">
      <c r="AL362" s="57"/>
      <c r="AM362" s="57"/>
      <c r="AN362" s="57"/>
      <c r="AO362" s="57"/>
      <c r="AP362" s="57"/>
      <c r="AQ362" s="57"/>
      <c r="AR362" s="57"/>
      <c r="AS362" s="57"/>
      <c r="AT362" s="57"/>
      <c r="AU362" s="57"/>
      <c r="AV362" s="57"/>
      <c r="AW362" s="57"/>
      <c r="DC362" s="5"/>
      <c r="DD362" s="5" t="s">
        <v>3327</v>
      </c>
      <c r="DE362" s="8"/>
      <c r="DF362" s="8"/>
      <c r="DG362" s="8"/>
      <c r="DH362" s="8"/>
    </row>
    <row r="363" spans="38:112" x14ac:dyDescent="0.2">
      <c r="AL363" s="57"/>
      <c r="AM363" s="57"/>
      <c r="AN363" s="57"/>
      <c r="AO363" s="57"/>
      <c r="AP363" s="57"/>
      <c r="AQ363" s="57"/>
      <c r="AR363" s="57"/>
      <c r="AS363" s="57"/>
      <c r="AT363" s="57"/>
      <c r="AU363" s="57"/>
      <c r="AV363" s="57"/>
      <c r="AW363" s="57"/>
      <c r="DC363" s="5"/>
      <c r="DD363" s="5" t="s">
        <v>3328</v>
      </c>
      <c r="DE363" s="8"/>
      <c r="DF363" s="8"/>
      <c r="DG363" s="8"/>
      <c r="DH363" s="8"/>
    </row>
    <row r="364" spans="38:112" x14ac:dyDescent="0.2">
      <c r="AL364" s="57"/>
      <c r="AM364" s="57"/>
      <c r="AN364" s="57"/>
      <c r="AO364" s="57"/>
      <c r="AP364" s="57"/>
      <c r="AQ364" s="57"/>
      <c r="AR364" s="57"/>
      <c r="AS364" s="57"/>
      <c r="AT364" s="57"/>
      <c r="AU364" s="57"/>
      <c r="AV364" s="57"/>
      <c r="AW364" s="57"/>
      <c r="DC364" s="5"/>
      <c r="DD364" s="5" t="s">
        <v>3329</v>
      </c>
      <c r="DE364" s="8"/>
      <c r="DF364" s="8"/>
      <c r="DG364" s="8"/>
      <c r="DH364" s="8"/>
    </row>
    <row r="365" spans="38:112" x14ac:dyDescent="0.2">
      <c r="AL365" s="57"/>
      <c r="AM365" s="57"/>
      <c r="AN365" s="57"/>
      <c r="AO365" s="57"/>
      <c r="AP365" s="57"/>
      <c r="AQ365" s="57"/>
      <c r="AR365" s="57"/>
      <c r="AS365" s="57"/>
      <c r="AT365" s="57"/>
      <c r="AU365" s="57"/>
      <c r="AV365" s="57"/>
      <c r="AW365" s="57"/>
      <c r="DC365" s="5"/>
      <c r="DD365" s="5" t="s">
        <v>3330</v>
      </c>
      <c r="DE365" s="8"/>
      <c r="DF365" s="8"/>
      <c r="DG365" s="8"/>
      <c r="DH365" s="8"/>
    </row>
    <row r="366" spans="38:112" x14ac:dyDescent="0.2">
      <c r="AL366" s="57"/>
      <c r="AM366" s="57"/>
      <c r="AN366" s="57"/>
      <c r="AO366" s="57"/>
      <c r="AP366" s="57"/>
      <c r="AQ366" s="57"/>
      <c r="AR366" s="57"/>
      <c r="AS366" s="57"/>
      <c r="AT366" s="57"/>
      <c r="AU366" s="57"/>
      <c r="AV366" s="57"/>
      <c r="AW366" s="57"/>
      <c r="DC366" s="5"/>
      <c r="DD366" s="5" t="s">
        <v>3331</v>
      </c>
      <c r="DE366" s="8"/>
      <c r="DF366" s="8"/>
      <c r="DG366" s="8"/>
      <c r="DH366" s="8"/>
    </row>
    <row r="367" spans="38:112" x14ac:dyDescent="0.2">
      <c r="AL367" s="57"/>
      <c r="AM367" s="57"/>
      <c r="AN367" s="57"/>
      <c r="AO367" s="57"/>
      <c r="AP367" s="57"/>
      <c r="AQ367" s="57"/>
      <c r="AR367" s="57"/>
      <c r="AS367" s="57"/>
      <c r="AT367" s="57"/>
      <c r="AU367" s="57"/>
      <c r="AV367" s="57"/>
      <c r="AW367" s="57"/>
      <c r="DC367" s="5"/>
      <c r="DD367" s="5" t="s">
        <v>3332</v>
      </c>
      <c r="DE367" s="8"/>
      <c r="DF367" s="8"/>
      <c r="DG367" s="8"/>
      <c r="DH367" s="8"/>
    </row>
    <row r="368" spans="38:112" x14ac:dyDescent="0.2">
      <c r="AL368" s="57"/>
      <c r="AM368" s="57"/>
      <c r="AN368" s="57"/>
      <c r="AO368" s="57"/>
      <c r="AP368" s="57"/>
      <c r="AQ368" s="57"/>
      <c r="AR368" s="57"/>
      <c r="AS368" s="57"/>
      <c r="AT368" s="57"/>
      <c r="AU368" s="57"/>
      <c r="AV368" s="57"/>
      <c r="AW368" s="57"/>
      <c r="DC368" s="5"/>
      <c r="DD368" s="5" t="s">
        <v>3333</v>
      </c>
      <c r="DE368" s="8"/>
      <c r="DF368" s="8"/>
      <c r="DG368" s="8"/>
      <c r="DH368" s="8"/>
    </row>
    <row r="369" spans="38:112" x14ac:dyDescent="0.2">
      <c r="AL369" s="57"/>
      <c r="AM369" s="57"/>
      <c r="AN369" s="57"/>
      <c r="AO369" s="57"/>
      <c r="AP369" s="57"/>
      <c r="AQ369" s="57"/>
      <c r="AR369" s="57"/>
      <c r="AS369" s="57"/>
      <c r="AT369" s="57"/>
      <c r="AU369" s="57"/>
      <c r="AV369" s="57"/>
      <c r="AW369" s="57"/>
      <c r="DC369" s="5"/>
      <c r="DD369" s="5" t="s">
        <v>3334</v>
      </c>
      <c r="DE369" s="8"/>
      <c r="DF369" s="8"/>
      <c r="DG369" s="8"/>
      <c r="DH369" s="8"/>
    </row>
    <row r="370" spans="38:112" x14ac:dyDescent="0.2">
      <c r="AL370" s="57"/>
      <c r="AM370" s="57"/>
      <c r="AN370" s="57"/>
      <c r="AO370" s="57"/>
      <c r="AP370" s="57"/>
      <c r="AQ370" s="57"/>
      <c r="AR370" s="57"/>
      <c r="AS370" s="57"/>
      <c r="AT370" s="57"/>
      <c r="AU370" s="57"/>
      <c r="AV370" s="57"/>
      <c r="AW370" s="57"/>
      <c r="DC370" s="5"/>
      <c r="DD370" s="5" t="s">
        <v>3335</v>
      </c>
      <c r="DE370" s="8"/>
      <c r="DF370" s="8"/>
      <c r="DG370" s="8"/>
      <c r="DH370" s="8"/>
    </row>
    <row r="371" spans="38:112" x14ac:dyDescent="0.2">
      <c r="AL371" s="57"/>
      <c r="AM371" s="57"/>
      <c r="AN371" s="57"/>
      <c r="AO371" s="57"/>
      <c r="AP371" s="57"/>
      <c r="AQ371" s="57"/>
      <c r="AR371" s="57"/>
      <c r="AS371" s="57"/>
      <c r="AT371" s="57"/>
      <c r="AU371" s="57"/>
      <c r="AV371" s="57"/>
      <c r="AW371" s="57"/>
      <c r="DC371" s="5"/>
      <c r="DD371" s="5" t="s">
        <v>3336</v>
      </c>
      <c r="DE371" s="8"/>
      <c r="DF371" s="8"/>
      <c r="DG371" s="8"/>
      <c r="DH371" s="8"/>
    </row>
    <row r="372" spans="38:112" x14ac:dyDescent="0.2">
      <c r="AL372" s="57"/>
      <c r="AM372" s="57"/>
      <c r="AN372" s="57"/>
      <c r="AO372" s="57"/>
      <c r="AP372" s="57"/>
      <c r="AQ372" s="57"/>
      <c r="AR372" s="57"/>
      <c r="AS372" s="57"/>
      <c r="AT372" s="57"/>
      <c r="AU372" s="57"/>
      <c r="AV372" s="57"/>
      <c r="AW372" s="57"/>
      <c r="DC372" s="5"/>
      <c r="DD372" s="5" t="s">
        <v>3337</v>
      </c>
      <c r="DE372" s="8"/>
      <c r="DF372" s="8"/>
      <c r="DG372" s="8"/>
      <c r="DH372" s="8"/>
    </row>
    <row r="373" spans="38:112" x14ac:dyDescent="0.2">
      <c r="AL373" s="57"/>
      <c r="AM373" s="57"/>
      <c r="AN373" s="57"/>
      <c r="AO373" s="57"/>
      <c r="AP373" s="57"/>
      <c r="AQ373" s="57"/>
      <c r="AR373" s="57"/>
      <c r="AS373" s="57"/>
      <c r="AT373" s="57"/>
      <c r="AU373" s="57"/>
      <c r="AV373" s="57"/>
      <c r="AW373" s="57"/>
      <c r="DC373" s="5"/>
      <c r="DD373" s="5" t="s">
        <v>3338</v>
      </c>
      <c r="DE373" s="8"/>
      <c r="DF373" s="8"/>
      <c r="DG373" s="8"/>
      <c r="DH373" s="8"/>
    </row>
    <row r="374" spans="38:112" x14ac:dyDescent="0.2">
      <c r="AL374" s="57"/>
      <c r="AM374" s="57"/>
      <c r="AN374" s="57"/>
      <c r="AO374" s="57"/>
      <c r="AP374" s="57"/>
      <c r="AQ374" s="57"/>
      <c r="AR374" s="57"/>
      <c r="AS374" s="57"/>
      <c r="AT374" s="57"/>
      <c r="AU374" s="57"/>
      <c r="AV374" s="57"/>
      <c r="AW374" s="57"/>
      <c r="DC374" s="5"/>
      <c r="DD374" s="5" t="s">
        <v>3339</v>
      </c>
      <c r="DE374" s="8"/>
      <c r="DF374" s="8"/>
      <c r="DG374" s="8"/>
      <c r="DH374" s="8"/>
    </row>
    <row r="375" spans="38:112" x14ac:dyDescent="0.2">
      <c r="AL375" s="57"/>
      <c r="AM375" s="57"/>
      <c r="AN375" s="57"/>
      <c r="AO375" s="57"/>
      <c r="AP375" s="57"/>
      <c r="AQ375" s="57"/>
      <c r="AR375" s="57"/>
      <c r="AS375" s="57"/>
      <c r="AT375" s="57"/>
      <c r="AU375" s="57"/>
      <c r="AV375" s="57"/>
      <c r="AW375" s="57"/>
      <c r="DC375" s="5"/>
      <c r="DD375" s="5" t="s">
        <v>3340</v>
      </c>
      <c r="DE375" s="8"/>
      <c r="DF375" s="8"/>
      <c r="DG375" s="8"/>
      <c r="DH375" s="8"/>
    </row>
    <row r="376" spans="38:112" x14ac:dyDescent="0.2">
      <c r="AL376" s="57"/>
      <c r="AM376" s="57"/>
      <c r="AN376" s="57"/>
      <c r="AO376" s="57"/>
      <c r="AP376" s="57"/>
      <c r="AQ376" s="57"/>
      <c r="AR376" s="57"/>
      <c r="AS376" s="57"/>
      <c r="AT376" s="57"/>
      <c r="AU376" s="57"/>
      <c r="AV376" s="57"/>
      <c r="AW376" s="57"/>
      <c r="DC376" s="5"/>
      <c r="DD376" s="5" t="s">
        <v>3341</v>
      </c>
      <c r="DE376" s="8"/>
      <c r="DF376" s="8"/>
      <c r="DG376" s="8"/>
      <c r="DH376" s="8"/>
    </row>
    <row r="377" spans="38:112" x14ac:dyDescent="0.2">
      <c r="AL377" s="57"/>
      <c r="AM377" s="57"/>
      <c r="AN377" s="57"/>
      <c r="AO377" s="57"/>
      <c r="AP377" s="57"/>
      <c r="AQ377" s="57"/>
      <c r="AR377" s="57"/>
      <c r="AS377" s="57"/>
      <c r="AT377" s="57"/>
      <c r="AU377" s="57"/>
      <c r="AV377" s="57"/>
      <c r="AW377" s="57"/>
      <c r="DC377" s="5"/>
      <c r="DD377" s="5" t="s">
        <v>3342</v>
      </c>
      <c r="DE377" s="8"/>
      <c r="DF377" s="8"/>
      <c r="DG377" s="8"/>
      <c r="DH377" s="8"/>
    </row>
    <row r="378" spans="38:112" x14ac:dyDescent="0.2">
      <c r="AL378" s="57"/>
      <c r="AM378" s="57"/>
      <c r="AN378" s="57"/>
      <c r="AO378" s="57"/>
      <c r="AP378" s="57"/>
      <c r="AQ378" s="57"/>
      <c r="AR378" s="57"/>
      <c r="AS378" s="57"/>
      <c r="AT378" s="57"/>
      <c r="AU378" s="57"/>
      <c r="AV378" s="57"/>
      <c r="AW378" s="57"/>
      <c r="DC378" s="5"/>
      <c r="DD378" s="5" t="s">
        <v>3343</v>
      </c>
      <c r="DE378" s="8"/>
      <c r="DF378" s="8"/>
      <c r="DG378" s="8"/>
      <c r="DH378" s="8"/>
    </row>
    <row r="379" spans="38:112" x14ac:dyDescent="0.2">
      <c r="AL379" s="57"/>
      <c r="AM379" s="57"/>
      <c r="AN379" s="57"/>
      <c r="AO379" s="57"/>
      <c r="AP379" s="57"/>
      <c r="AQ379" s="57"/>
      <c r="AR379" s="57"/>
      <c r="AS379" s="57"/>
      <c r="AT379" s="57"/>
      <c r="AU379" s="57"/>
      <c r="AV379" s="57"/>
      <c r="AW379" s="57"/>
      <c r="DC379" s="5"/>
      <c r="DD379" s="5" t="s">
        <v>3344</v>
      </c>
      <c r="DE379" s="8"/>
      <c r="DF379" s="8"/>
      <c r="DG379" s="8"/>
      <c r="DH379" s="8"/>
    </row>
    <row r="380" spans="38:112" x14ac:dyDescent="0.2">
      <c r="AL380" s="57"/>
      <c r="AM380" s="57"/>
      <c r="AN380" s="57"/>
      <c r="AO380" s="57"/>
      <c r="AP380" s="57"/>
      <c r="AQ380" s="57"/>
      <c r="AR380" s="57"/>
      <c r="AS380" s="57"/>
      <c r="AT380" s="57"/>
      <c r="AU380" s="57"/>
      <c r="AV380" s="57"/>
      <c r="AW380" s="57"/>
      <c r="DC380" s="5"/>
      <c r="DD380" s="5" t="s">
        <v>3345</v>
      </c>
      <c r="DE380" s="8"/>
      <c r="DF380" s="8"/>
      <c r="DG380" s="8"/>
      <c r="DH380" s="8"/>
    </row>
    <row r="381" spans="38:112" x14ac:dyDescent="0.2">
      <c r="AL381" s="57"/>
      <c r="AM381" s="57"/>
      <c r="AN381" s="57"/>
      <c r="AO381" s="57"/>
      <c r="AP381" s="57"/>
      <c r="AQ381" s="57"/>
      <c r="AR381" s="57"/>
      <c r="AS381" s="57"/>
      <c r="AT381" s="57"/>
      <c r="AU381" s="57"/>
      <c r="AV381" s="57"/>
      <c r="AW381" s="57"/>
      <c r="DC381" s="5"/>
      <c r="DD381" s="5" t="s">
        <v>3346</v>
      </c>
      <c r="DE381" s="8"/>
      <c r="DF381" s="8"/>
      <c r="DG381" s="8"/>
      <c r="DH381" s="8"/>
    </row>
    <row r="382" spans="38:112" x14ac:dyDescent="0.2">
      <c r="AL382" s="57"/>
      <c r="AM382" s="57"/>
      <c r="AN382" s="57"/>
      <c r="AO382" s="57"/>
      <c r="AP382" s="57"/>
      <c r="AQ382" s="57"/>
      <c r="AR382" s="57"/>
      <c r="AS382" s="57"/>
      <c r="AT382" s="57"/>
      <c r="AU382" s="57"/>
      <c r="AV382" s="57"/>
      <c r="AW382" s="57"/>
      <c r="DC382" s="5"/>
      <c r="DD382" s="5" t="s">
        <v>3347</v>
      </c>
      <c r="DE382" s="8"/>
      <c r="DF382" s="8"/>
      <c r="DG382" s="8"/>
      <c r="DH382" s="8"/>
    </row>
    <row r="383" spans="38:112" x14ac:dyDescent="0.2">
      <c r="AL383" s="57"/>
      <c r="AM383" s="57"/>
      <c r="AN383" s="57"/>
      <c r="AO383" s="57"/>
      <c r="AP383" s="57"/>
      <c r="AQ383" s="57"/>
      <c r="AR383" s="57"/>
      <c r="AS383" s="57"/>
      <c r="AT383" s="57"/>
      <c r="AU383" s="57"/>
      <c r="AV383" s="57"/>
      <c r="AW383" s="57"/>
      <c r="DC383" s="5"/>
      <c r="DD383" s="5" t="s">
        <v>3348</v>
      </c>
      <c r="DE383" s="8"/>
      <c r="DF383" s="8"/>
      <c r="DG383" s="8"/>
      <c r="DH383" s="8"/>
    </row>
    <row r="384" spans="38:112" x14ac:dyDescent="0.2">
      <c r="AL384" s="57"/>
      <c r="AM384" s="57"/>
      <c r="AN384" s="57"/>
      <c r="AO384" s="57"/>
      <c r="AP384" s="57"/>
      <c r="AQ384" s="57"/>
      <c r="AR384" s="57"/>
      <c r="AS384" s="57"/>
      <c r="AT384" s="57"/>
      <c r="AU384" s="57"/>
      <c r="AV384" s="57"/>
      <c r="AW384" s="57"/>
      <c r="DC384" s="5"/>
      <c r="DD384" s="5" t="s">
        <v>3349</v>
      </c>
      <c r="DE384" s="8"/>
      <c r="DF384" s="8"/>
      <c r="DG384" s="8"/>
      <c r="DH384" s="8"/>
    </row>
    <row r="385" spans="38:112" x14ac:dyDescent="0.2">
      <c r="AL385" s="57"/>
      <c r="AM385" s="57"/>
      <c r="AN385" s="57"/>
      <c r="AO385" s="57"/>
      <c r="AP385" s="57"/>
      <c r="AQ385" s="57"/>
      <c r="AR385" s="57"/>
      <c r="AS385" s="57"/>
      <c r="AT385" s="57"/>
      <c r="AU385" s="57"/>
      <c r="AV385" s="57"/>
      <c r="AW385" s="57"/>
      <c r="DC385" s="5"/>
      <c r="DD385" s="5" t="s">
        <v>3350</v>
      </c>
      <c r="DE385" s="8"/>
      <c r="DF385" s="8"/>
      <c r="DG385" s="8"/>
      <c r="DH385" s="8"/>
    </row>
    <row r="386" spans="38:112" x14ac:dyDescent="0.2">
      <c r="AL386" s="57"/>
      <c r="AM386" s="57"/>
      <c r="AN386" s="57"/>
      <c r="AO386" s="57"/>
      <c r="AP386" s="57"/>
      <c r="AQ386" s="57"/>
      <c r="AR386" s="57"/>
      <c r="AS386" s="57"/>
      <c r="AT386" s="57"/>
      <c r="AU386" s="57"/>
      <c r="AV386" s="57"/>
      <c r="AW386" s="57"/>
      <c r="DC386" s="5"/>
      <c r="DD386" s="5" t="s">
        <v>3351</v>
      </c>
      <c r="DE386" s="8"/>
      <c r="DF386" s="8"/>
      <c r="DG386" s="8"/>
      <c r="DH386" s="8"/>
    </row>
    <row r="387" spans="38:112" x14ac:dyDescent="0.2">
      <c r="AL387" s="57"/>
      <c r="AM387" s="57"/>
      <c r="AN387" s="57"/>
      <c r="AO387" s="57"/>
      <c r="AP387" s="57"/>
      <c r="AQ387" s="57"/>
      <c r="AR387" s="57"/>
      <c r="AS387" s="57"/>
      <c r="AT387" s="57"/>
      <c r="AU387" s="57"/>
      <c r="AV387" s="57"/>
      <c r="AW387" s="57"/>
      <c r="DC387" s="5"/>
      <c r="DD387" s="5" t="s">
        <v>3352</v>
      </c>
      <c r="DE387" s="8"/>
      <c r="DF387" s="8"/>
      <c r="DG387" s="8"/>
      <c r="DH387" s="8"/>
    </row>
    <row r="388" spans="38:112" x14ac:dyDescent="0.2">
      <c r="AL388" s="57"/>
      <c r="AM388" s="57"/>
      <c r="AN388" s="57"/>
      <c r="AO388" s="57"/>
      <c r="AP388" s="57"/>
      <c r="AQ388" s="57"/>
      <c r="AR388" s="57"/>
      <c r="AS388" s="57"/>
      <c r="AT388" s="57"/>
      <c r="AU388" s="57"/>
      <c r="AV388" s="57"/>
      <c r="AW388" s="57"/>
      <c r="DC388" s="5"/>
      <c r="DD388" s="5" t="s">
        <v>3353</v>
      </c>
      <c r="DE388" s="8"/>
      <c r="DF388" s="8"/>
      <c r="DG388" s="8"/>
      <c r="DH388" s="8"/>
    </row>
    <row r="389" spans="38:112" x14ac:dyDescent="0.2">
      <c r="AL389" s="57"/>
      <c r="AM389" s="57"/>
      <c r="AN389" s="57"/>
      <c r="AO389" s="57"/>
      <c r="AP389" s="57"/>
      <c r="AQ389" s="57"/>
      <c r="AR389" s="57"/>
      <c r="AS389" s="57"/>
      <c r="AT389" s="57"/>
      <c r="AU389" s="57"/>
      <c r="AV389" s="57"/>
      <c r="AW389" s="57"/>
      <c r="DC389" s="5"/>
      <c r="DD389" s="5" t="s">
        <v>3354</v>
      </c>
      <c r="DE389" s="8"/>
      <c r="DF389" s="8"/>
      <c r="DG389" s="8"/>
      <c r="DH389" s="8"/>
    </row>
    <row r="390" spans="38:112" x14ac:dyDescent="0.2">
      <c r="AL390" s="57"/>
      <c r="AM390" s="57"/>
      <c r="AN390" s="57"/>
      <c r="AO390" s="57"/>
      <c r="AP390" s="57"/>
      <c r="AQ390" s="57"/>
      <c r="AR390" s="57"/>
      <c r="AS390" s="57"/>
      <c r="AT390" s="57"/>
      <c r="AU390" s="57"/>
      <c r="AV390" s="57"/>
      <c r="AW390" s="57"/>
      <c r="DC390" s="5"/>
      <c r="DD390" s="5" t="s">
        <v>3355</v>
      </c>
      <c r="DE390" s="8"/>
      <c r="DF390" s="8"/>
      <c r="DG390" s="8"/>
      <c r="DH390" s="8"/>
    </row>
    <row r="391" spans="38:112" x14ac:dyDescent="0.2">
      <c r="AL391" s="57"/>
      <c r="AM391" s="57"/>
      <c r="AN391" s="57"/>
      <c r="AO391" s="57"/>
      <c r="AP391" s="57"/>
      <c r="AQ391" s="57"/>
      <c r="AR391" s="57"/>
      <c r="AS391" s="57"/>
      <c r="AT391" s="57"/>
      <c r="AU391" s="57"/>
      <c r="AV391" s="57"/>
      <c r="AW391" s="57"/>
      <c r="DC391" s="5"/>
      <c r="DD391" s="5" t="s">
        <v>3356</v>
      </c>
      <c r="DE391" s="8"/>
      <c r="DF391" s="8"/>
      <c r="DG391" s="8"/>
      <c r="DH391" s="8"/>
    </row>
    <row r="392" spans="38:112" x14ac:dyDescent="0.2">
      <c r="AL392" s="57"/>
      <c r="AM392" s="57"/>
      <c r="AN392" s="57"/>
      <c r="AO392" s="57"/>
      <c r="AP392" s="57"/>
      <c r="AQ392" s="57"/>
      <c r="AR392" s="57"/>
      <c r="AS392" s="57"/>
      <c r="AT392" s="57"/>
      <c r="AU392" s="57"/>
      <c r="AV392" s="57"/>
      <c r="AW392" s="57"/>
      <c r="DC392" s="5"/>
      <c r="DD392" s="5" t="s">
        <v>3357</v>
      </c>
      <c r="DE392" s="8"/>
      <c r="DF392" s="8"/>
      <c r="DG392" s="8"/>
      <c r="DH392" s="8"/>
    </row>
    <row r="393" spans="38:112" x14ac:dyDescent="0.2">
      <c r="AL393" s="57"/>
      <c r="AM393" s="57"/>
      <c r="AN393" s="57"/>
      <c r="AO393" s="57"/>
      <c r="AP393" s="57"/>
      <c r="AQ393" s="57"/>
      <c r="AR393" s="57"/>
      <c r="AS393" s="57"/>
      <c r="AT393" s="57"/>
      <c r="AU393" s="57"/>
      <c r="AV393" s="57"/>
      <c r="AW393" s="57"/>
      <c r="DC393" s="5"/>
      <c r="DD393" s="5" t="s">
        <v>3358</v>
      </c>
      <c r="DE393" s="8"/>
      <c r="DF393" s="8"/>
      <c r="DG393" s="8"/>
      <c r="DH393" s="8"/>
    </row>
    <row r="394" spans="38:112" x14ac:dyDescent="0.2">
      <c r="AL394" s="57"/>
      <c r="AM394" s="57"/>
      <c r="AN394" s="57"/>
      <c r="AO394" s="57"/>
      <c r="AP394" s="57"/>
      <c r="AQ394" s="57"/>
      <c r="AR394" s="57"/>
      <c r="AS394" s="57"/>
      <c r="AT394" s="57"/>
      <c r="AU394" s="57"/>
      <c r="AV394" s="57"/>
      <c r="AW394" s="57"/>
      <c r="DC394" s="5"/>
      <c r="DD394" s="5" t="s">
        <v>3359</v>
      </c>
      <c r="DE394" s="8"/>
      <c r="DF394" s="8"/>
      <c r="DG394" s="8"/>
      <c r="DH394" s="8"/>
    </row>
    <row r="395" spans="38:112" x14ac:dyDescent="0.2">
      <c r="AL395" s="57"/>
      <c r="AM395" s="57"/>
      <c r="AN395" s="57"/>
      <c r="AO395" s="57"/>
      <c r="AP395" s="57"/>
      <c r="AQ395" s="57"/>
      <c r="AR395" s="57"/>
      <c r="AS395" s="57"/>
      <c r="AT395" s="57"/>
      <c r="AU395" s="57"/>
      <c r="AV395" s="57"/>
      <c r="AW395" s="57"/>
      <c r="DC395" s="5"/>
      <c r="DD395" s="5" t="s">
        <v>784</v>
      </c>
      <c r="DE395" s="8"/>
      <c r="DF395" s="8"/>
      <c r="DG395" s="8"/>
      <c r="DH395" s="8"/>
    </row>
    <row r="396" spans="38:112" x14ac:dyDescent="0.2">
      <c r="AL396" s="57"/>
      <c r="AM396" s="57"/>
      <c r="AN396" s="57"/>
      <c r="AO396" s="57"/>
      <c r="AP396" s="57"/>
      <c r="AQ396" s="57"/>
      <c r="AR396" s="57"/>
      <c r="AS396" s="57"/>
      <c r="AT396" s="57"/>
      <c r="AU396" s="57"/>
      <c r="AV396" s="57"/>
      <c r="AW396" s="57"/>
      <c r="DC396" s="5"/>
      <c r="DD396" s="5" t="s">
        <v>3360</v>
      </c>
      <c r="DE396" s="8"/>
      <c r="DF396" s="8"/>
      <c r="DG396" s="8"/>
      <c r="DH396" s="8"/>
    </row>
    <row r="397" spans="38:112" x14ac:dyDescent="0.2">
      <c r="AL397" s="57"/>
      <c r="AM397" s="57"/>
      <c r="AN397" s="57"/>
      <c r="AO397" s="57"/>
      <c r="AP397" s="57"/>
      <c r="AQ397" s="57"/>
      <c r="AR397" s="57"/>
      <c r="AS397" s="57"/>
      <c r="AT397" s="57"/>
      <c r="AU397" s="57"/>
      <c r="AV397" s="57"/>
      <c r="AW397" s="57"/>
      <c r="DC397" s="5"/>
      <c r="DD397" s="5" t="s">
        <v>3361</v>
      </c>
      <c r="DE397" s="8"/>
      <c r="DF397" s="8"/>
      <c r="DG397" s="8"/>
      <c r="DH397" s="8"/>
    </row>
    <row r="398" spans="38:112" x14ac:dyDescent="0.2">
      <c r="AL398" s="57"/>
      <c r="AM398" s="57"/>
      <c r="AN398" s="57"/>
      <c r="AO398" s="57"/>
      <c r="AP398" s="57"/>
      <c r="AQ398" s="57"/>
      <c r="AR398" s="57"/>
      <c r="AS398" s="57"/>
      <c r="AT398" s="57"/>
      <c r="AU398" s="57"/>
      <c r="AV398" s="57"/>
      <c r="AW398" s="57"/>
      <c r="DC398" s="5"/>
      <c r="DD398" s="5" t="s">
        <v>3362</v>
      </c>
      <c r="DE398" s="8"/>
      <c r="DF398" s="8"/>
      <c r="DG398" s="8"/>
      <c r="DH398" s="8"/>
    </row>
    <row r="399" spans="38:112" x14ac:dyDescent="0.2">
      <c r="AL399" s="57"/>
      <c r="AM399" s="57"/>
      <c r="AN399" s="57"/>
      <c r="AO399" s="57"/>
      <c r="AP399" s="57"/>
      <c r="AQ399" s="57"/>
      <c r="AR399" s="57"/>
      <c r="AS399" s="57"/>
      <c r="AT399" s="57"/>
      <c r="AU399" s="57"/>
      <c r="AV399" s="57"/>
      <c r="AW399" s="57"/>
      <c r="DC399" s="5"/>
      <c r="DD399" s="5" t="s">
        <v>3363</v>
      </c>
      <c r="DE399" s="8"/>
      <c r="DF399" s="8"/>
      <c r="DG399" s="8"/>
      <c r="DH399" s="8"/>
    </row>
    <row r="400" spans="38:112" x14ac:dyDescent="0.2">
      <c r="AL400" s="57"/>
      <c r="AM400" s="57"/>
      <c r="AN400" s="57"/>
      <c r="AO400" s="57"/>
      <c r="AP400" s="57"/>
      <c r="AQ400" s="57"/>
      <c r="AR400" s="57"/>
      <c r="AS400" s="57"/>
      <c r="AT400" s="57"/>
      <c r="AU400" s="57"/>
      <c r="AV400" s="57"/>
      <c r="AW400" s="57"/>
      <c r="DC400" s="5"/>
      <c r="DD400" s="5" t="s">
        <v>3364</v>
      </c>
      <c r="DE400" s="8"/>
      <c r="DF400" s="8"/>
      <c r="DG400" s="8"/>
      <c r="DH400" s="8"/>
    </row>
    <row r="401" spans="38:112" x14ac:dyDescent="0.2">
      <c r="AL401" s="57"/>
      <c r="AM401" s="57"/>
      <c r="AN401" s="57"/>
      <c r="AO401" s="57"/>
      <c r="AP401" s="57"/>
      <c r="AQ401" s="57"/>
      <c r="AR401" s="57"/>
      <c r="AS401" s="57"/>
      <c r="AT401" s="57"/>
      <c r="AU401" s="57"/>
      <c r="AV401" s="57"/>
      <c r="AW401" s="57"/>
      <c r="DC401" s="5"/>
      <c r="DD401" s="5" t="s">
        <v>3365</v>
      </c>
      <c r="DE401" s="8"/>
      <c r="DF401" s="8"/>
      <c r="DG401" s="8"/>
      <c r="DH401" s="8"/>
    </row>
    <row r="402" spans="38:112" x14ac:dyDescent="0.2">
      <c r="AL402" s="57"/>
      <c r="AM402" s="57"/>
      <c r="AN402" s="57"/>
      <c r="AO402" s="57"/>
      <c r="AP402" s="57"/>
      <c r="AQ402" s="57"/>
      <c r="AR402" s="57"/>
      <c r="AS402" s="57"/>
      <c r="AT402" s="57"/>
      <c r="AU402" s="57"/>
      <c r="AV402" s="57"/>
      <c r="AW402" s="57"/>
      <c r="DC402" s="5"/>
      <c r="DD402" s="5" t="s">
        <v>3366</v>
      </c>
      <c r="DE402" s="8"/>
      <c r="DF402" s="8"/>
      <c r="DG402" s="8"/>
      <c r="DH402" s="8"/>
    </row>
    <row r="403" spans="38:112" x14ac:dyDescent="0.2">
      <c r="AL403" s="57"/>
      <c r="AM403" s="57"/>
      <c r="AN403" s="57"/>
      <c r="AO403" s="57"/>
      <c r="AP403" s="57"/>
      <c r="AQ403" s="57"/>
      <c r="AR403" s="57"/>
      <c r="AS403" s="57"/>
      <c r="AT403" s="57"/>
      <c r="AU403" s="57"/>
      <c r="AV403" s="57"/>
      <c r="AW403" s="57"/>
      <c r="DC403" s="5"/>
      <c r="DD403" s="5" t="s">
        <v>3367</v>
      </c>
      <c r="DE403" s="8"/>
      <c r="DF403" s="8"/>
      <c r="DG403" s="8"/>
      <c r="DH403" s="8"/>
    </row>
    <row r="404" spans="38:112" x14ac:dyDescent="0.2">
      <c r="AL404" s="57"/>
      <c r="AM404" s="57"/>
      <c r="AN404" s="57"/>
      <c r="AO404" s="57"/>
      <c r="AP404" s="57"/>
      <c r="AQ404" s="57"/>
      <c r="AR404" s="57"/>
      <c r="AS404" s="57"/>
      <c r="AT404" s="57"/>
      <c r="AU404" s="57"/>
      <c r="AV404" s="57"/>
      <c r="AW404" s="57"/>
      <c r="DC404" s="5"/>
      <c r="DD404" s="5" t="s">
        <v>3368</v>
      </c>
      <c r="DE404" s="8"/>
      <c r="DF404" s="8"/>
      <c r="DG404" s="8"/>
      <c r="DH404" s="8"/>
    </row>
    <row r="405" spans="38:112" x14ac:dyDescent="0.2">
      <c r="AL405" s="57"/>
      <c r="AM405" s="57"/>
      <c r="AN405" s="57"/>
      <c r="AO405" s="57"/>
      <c r="AP405" s="57"/>
      <c r="AQ405" s="57"/>
      <c r="AR405" s="57"/>
      <c r="AS405" s="57"/>
      <c r="AT405" s="57"/>
      <c r="AU405" s="57"/>
      <c r="AV405" s="57"/>
      <c r="AW405" s="57"/>
      <c r="DC405" s="5"/>
      <c r="DD405" s="5" t="s">
        <v>3369</v>
      </c>
      <c r="DE405" s="8"/>
      <c r="DF405" s="8"/>
      <c r="DG405" s="8"/>
      <c r="DH405" s="8"/>
    </row>
    <row r="406" spans="38:112" x14ac:dyDescent="0.2">
      <c r="AL406" s="57"/>
      <c r="AM406" s="57"/>
      <c r="AN406" s="57"/>
      <c r="AO406" s="57"/>
      <c r="AP406" s="57"/>
      <c r="AQ406" s="57"/>
      <c r="AR406" s="57"/>
      <c r="AS406" s="57"/>
      <c r="AT406" s="57"/>
      <c r="AU406" s="57"/>
      <c r="AV406" s="57"/>
      <c r="AW406" s="57"/>
      <c r="DC406" s="5"/>
      <c r="DD406" s="5" t="s">
        <v>3370</v>
      </c>
      <c r="DE406" s="8"/>
      <c r="DF406" s="8"/>
      <c r="DG406" s="8"/>
      <c r="DH406" s="8"/>
    </row>
    <row r="407" spans="38:112" x14ac:dyDescent="0.2">
      <c r="AL407" s="57"/>
      <c r="AM407" s="57"/>
      <c r="AN407" s="57"/>
      <c r="AO407" s="57"/>
      <c r="AP407" s="57"/>
      <c r="AQ407" s="57"/>
      <c r="AR407" s="57"/>
      <c r="AS407" s="57"/>
      <c r="AT407" s="57"/>
      <c r="AU407" s="57"/>
      <c r="AV407" s="57"/>
      <c r="AW407" s="57"/>
      <c r="DC407" s="5"/>
      <c r="DD407" s="5" t="s">
        <v>3371</v>
      </c>
      <c r="DE407" s="8"/>
      <c r="DF407" s="8"/>
      <c r="DG407" s="8"/>
      <c r="DH407" s="8"/>
    </row>
    <row r="408" spans="38:112" x14ac:dyDescent="0.2">
      <c r="AL408" s="57"/>
      <c r="AM408" s="57"/>
      <c r="AN408" s="57"/>
      <c r="AO408" s="57"/>
      <c r="AP408" s="57"/>
      <c r="AQ408" s="57"/>
      <c r="AR408" s="57"/>
      <c r="AS408" s="57"/>
      <c r="AT408" s="57"/>
      <c r="AU408" s="57"/>
      <c r="AV408" s="57"/>
      <c r="AW408" s="57"/>
      <c r="DC408" s="5"/>
      <c r="DD408" s="5" t="s">
        <v>3372</v>
      </c>
      <c r="DE408" s="8"/>
      <c r="DF408" s="8"/>
      <c r="DG408" s="8"/>
      <c r="DH408" s="8"/>
    </row>
    <row r="409" spans="38:112" x14ac:dyDescent="0.2">
      <c r="AL409" s="57"/>
      <c r="AM409" s="57"/>
      <c r="AN409" s="57"/>
      <c r="AO409" s="57"/>
      <c r="AP409" s="57"/>
      <c r="AQ409" s="57"/>
      <c r="AR409" s="57"/>
      <c r="AS409" s="57"/>
      <c r="AT409" s="57"/>
      <c r="AU409" s="57"/>
      <c r="AV409" s="57"/>
      <c r="AW409" s="57"/>
      <c r="DC409" s="5"/>
      <c r="DD409" s="5" t="s">
        <v>3373</v>
      </c>
      <c r="DE409" s="8"/>
      <c r="DF409" s="8"/>
      <c r="DG409" s="8"/>
      <c r="DH409" s="8"/>
    </row>
    <row r="410" spans="38:112" x14ac:dyDescent="0.2">
      <c r="AL410" s="57"/>
      <c r="AM410" s="57"/>
      <c r="AN410" s="57"/>
      <c r="AO410" s="57"/>
      <c r="AP410" s="57"/>
      <c r="AQ410" s="57"/>
      <c r="AR410" s="57"/>
      <c r="AS410" s="57"/>
      <c r="AT410" s="57"/>
      <c r="AU410" s="57"/>
      <c r="AV410" s="57"/>
      <c r="AW410" s="57"/>
      <c r="DC410" s="5"/>
      <c r="DD410" s="5" t="s">
        <v>3374</v>
      </c>
      <c r="DE410" s="8"/>
      <c r="DF410" s="8"/>
      <c r="DG410" s="8"/>
      <c r="DH410" s="8"/>
    </row>
    <row r="411" spans="38:112" x14ac:dyDescent="0.2">
      <c r="AL411" s="57"/>
      <c r="AM411" s="57"/>
      <c r="AN411" s="57"/>
      <c r="AO411" s="57"/>
      <c r="AP411" s="57"/>
      <c r="AQ411" s="57"/>
      <c r="AR411" s="57"/>
      <c r="AS411" s="57"/>
      <c r="AT411" s="57"/>
      <c r="AU411" s="57"/>
      <c r="AV411" s="57"/>
      <c r="AW411" s="57"/>
      <c r="DC411" s="5"/>
      <c r="DD411" s="5" t="s">
        <v>3375</v>
      </c>
      <c r="DE411" s="8"/>
      <c r="DF411" s="8"/>
      <c r="DG411" s="8"/>
      <c r="DH411" s="8"/>
    </row>
    <row r="412" spans="38:112" x14ac:dyDescent="0.2">
      <c r="AL412" s="57"/>
      <c r="AM412" s="57"/>
      <c r="AN412" s="57"/>
      <c r="AO412" s="57"/>
      <c r="AP412" s="57"/>
      <c r="AQ412" s="57"/>
      <c r="AR412" s="57"/>
      <c r="AS412" s="57"/>
      <c r="AT412" s="57"/>
      <c r="AU412" s="57"/>
      <c r="AV412" s="57"/>
      <c r="AW412" s="57"/>
      <c r="DC412" s="5"/>
      <c r="DD412" s="5" t="s">
        <v>3376</v>
      </c>
      <c r="DE412" s="8"/>
      <c r="DF412" s="8"/>
      <c r="DG412" s="8"/>
      <c r="DH412" s="8"/>
    </row>
    <row r="413" spans="38:112" x14ac:dyDescent="0.2">
      <c r="AL413" s="57"/>
      <c r="AM413" s="57"/>
      <c r="AN413" s="57"/>
      <c r="AO413" s="57"/>
      <c r="AP413" s="57"/>
      <c r="AQ413" s="57"/>
      <c r="AR413" s="57"/>
      <c r="AS413" s="57"/>
      <c r="AT413" s="57"/>
      <c r="AU413" s="57"/>
      <c r="AV413" s="57"/>
      <c r="AW413" s="57"/>
      <c r="DC413" s="5"/>
      <c r="DD413" s="5" t="s">
        <v>3377</v>
      </c>
      <c r="DE413" s="8"/>
      <c r="DF413" s="8"/>
      <c r="DG413" s="8"/>
      <c r="DH413" s="8"/>
    </row>
    <row r="414" spans="38:112" x14ac:dyDescent="0.2">
      <c r="AL414" s="57"/>
      <c r="AM414" s="57"/>
      <c r="AN414" s="57"/>
      <c r="AO414" s="57"/>
      <c r="AP414" s="57"/>
      <c r="AQ414" s="57"/>
      <c r="AR414" s="57"/>
      <c r="AS414" s="57"/>
      <c r="AT414" s="57"/>
      <c r="AU414" s="57"/>
      <c r="AV414" s="57"/>
      <c r="AW414" s="57"/>
      <c r="DC414" s="5"/>
      <c r="DD414" s="5" t="s">
        <v>3378</v>
      </c>
      <c r="DE414" s="8"/>
      <c r="DF414" s="8"/>
      <c r="DG414" s="8"/>
      <c r="DH414" s="8"/>
    </row>
    <row r="415" spans="38:112" x14ac:dyDescent="0.2">
      <c r="AL415" s="57"/>
      <c r="AM415" s="57"/>
      <c r="AN415" s="57"/>
      <c r="AO415" s="57"/>
      <c r="AP415" s="57"/>
      <c r="AQ415" s="57"/>
      <c r="AR415" s="57"/>
      <c r="AS415" s="57"/>
      <c r="AT415" s="57"/>
      <c r="AU415" s="57"/>
      <c r="AV415" s="57"/>
      <c r="AW415" s="57"/>
      <c r="DC415" s="5"/>
      <c r="DD415" s="5" t="s">
        <v>3379</v>
      </c>
      <c r="DE415" s="8"/>
      <c r="DF415" s="8"/>
      <c r="DG415" s="8"/>
      <c r="DH415" s="8"/>
    </row>
    <row r="416" spans="38:112" x14ac:dyDescent="0.2">
      <c r="AL416" s="57"/>
      <c r="AM416" s="57"/>
      <c r="AN416" s="57"/>
      <c r="AO416" s="57"/>
      <c r="AP416" s="57"/>
      <c r="AQ416" s="57"/>
      <c r="AR416" s="57"/>
      <c r="AS416" s="57"/>
      <c r="AT416" s="57"/>
      <c r="AU416" s="57"/>
      <c r="AV416" s="57"/>
      <c r="AW416" s="57"/>
      <c r="DC416" s="5"/>
      <c r="DD416" s="5" t="s">
        <v>3380</v>
      </c>
      <c r="DE416" s="8"/>
      <c r="DF416" s="8"/>
      <c r="DG416" s="8"/>
      <c r="DH416" s="8"/>
    </row>
    <row r="417" spans="38:112" x14ac:dyDescent="0.2">
      <c r="AL417" s="57"/>
      <c r="AM417" s="57"/>
      <c r="AN417" s="57"/>
      <c r="AO417" s="57"/>
      <c r="AP417" s="57"/>
      <c r="AQ417" s="57"/>
      <c r="AR417" s="57"/>
      <c r="AS417" s="57"/>
      <c r="AT417" s="57"/>
      <c r="AU417" s="57"/>
      <c r="AV417" s="57"/>
      <c r="AW417" s="57"/>
      <c r="DC417" s="5"/>
      <c r="DD417" s="5" t="s">
        <v>3381</v>
      </c>
      <c r="DE417" s="8"/>
      <c r="DF417" s="8"/>
      <c r="DG417" s="8"/>
      <c r="DH417" s="8"/>
    </row>
    <row r="418" spans="38:112" x14ac:dyDescent="0.2">
      <c r="AL418" s="57"/>
      <c r="AM418" s="57"/>
      <c r="AN418" s="57"/>
      <c r="AO418" s="57"/>
      <c r="AP418" s="57"/>
      <c r="AQ418" s="57"/>
      <c r="AR418" s="57"/>
      <c r="AS418" s="57"/>
      <c r="AT418" s="57"/>
      <c r="AU418" s="57"/>
      <c r="AV418" s="57"/>
      <c r="AW418" s="57"/>
      <c r="DC418" s="5"/>
      <c r="DD418" s="5" t="s">
        <v>3382</v>
      </c>
      <c r="DE418" s="8"/>
      <c r="DF418" s="8"/>
      <c r="DG418" s="8"/>
      <c r="DH418" s="8"/>
    </row>
    <row r="419" spans="38:112" x14ac:dyDescent="0.2">
      <c r="AL419" s="57"/>
      <c r="AM419" s="57"/>
      <c r="AN419" s="57"/>
      <c r="AO419" s="57"/>
      <c r="AP419" s="57"/>
      <c r="AQ419" s="57"/>
      <c r="AR419" s="57"/>
      <c r="AS419" s="57"/>
      <c r="AT419" s="57"/>
      <c r="AU419" s="57"/>
      <c r="AV419" s="57"/>
      <c r="AW419" s="57"/>
      <c r="DC419" s="5"/>
      <c r="DD419" s="5" t="s">
        <v>3383</v>
      </c>
      <c r="DE419" s="8"/>
      <c r="DF419" s="8"/>
      <c r="DG419" s="8"/>
      <c r="DH419" s="8"/>
    </row>
    <row r="420" spans="38:112" x14ac:dyDescent="0.2">
      <c r="AL420" s="57"/>
      <c r="AM420" s="57"/>
      <c r="AN420" s="57"/>
      <c r="AO420" s="57"/>
      <c r="AP420" s="57"/>
      <c r="AQ420" s="57"/>
      <c r="AR420" s="57"/>
      <c r="AS420" s="57"/>
      <c r="AT420" s="57"/>
      <c r="AU420" s="57"/>
      <c r="AV420" s="57"/>
      <c r="AW420" s="57"/>
      <c r="DC420" s="5"/>
      <c r="DD420" s="5" t="s">
        <v>3384</v>
      </c>
      <c r="DE420" s="8"/>
      <c r="DF420" s="8"/>
      <c r="DG420" s="8"/>
      <c r="DH420" s="8"/>
    </row>
    <row r="421" spans="38:112" x14ac:dyDescent="0.2">
      <c r="AL421" s="57"/>
      <c r="AM421" s="57"/>
      <c r="AN421" s="57"/>
      <c r="AO421" s="57"/>
      <c r="AP421" s="57"/>
      <c r="AQ421" s="57"/>
      <c r="AR421" s="57"/>
      <c r="AS421" s="57"/>
      <c r="AT421" s="57"/>
      <c r="AU421" s="57"/>
      <c r="AV421" s="57"/>
      <c r="AW421" s="57"/>
      <c r="DC421" s="5"/>
      <c r="DD421" s="5" t="s">
        <v>3385</v>
      </c>
      <c r="DE421" s="8"/>
      <c r="DF421" s="8"/>
      <c r="DG421" s="8"/>
      <c r="DH421" s="8"/>
    </row>
    <row r="422" spans="38:112" x14ac:dyDescent="0.2">
      <c r="AL422" s="57"/>
      <c r="AM422" s="57"/>
      <c r="AN422" s="57"/>
      <c r="AO422" s="57"/>
      <c r="AP422" s="57"/>
      <c r="AQ422" s="57"/>
      <c r="AR422" s="57"/>
      <c r="AS422" s="57"/>
      <c r="AT422" s="57"/>
      <c r="AU422" s="57"/>
      <c r="AV422" s="57"/>
      <c r="AW422" s="57"/>
      <c r="DC422" s="5"/>
      <c r="DD422" s="5" t="s">
        <v>3386</v>
      </c>
      <c r="DE422" s="8"/>
      <c r="DF422" s="8"/>
      <c r="DG422" s="8"/>
      <c r="DH422" s="8"/>
    </row>
    <row r="423" spans="38:112" x14ac:dyDescent="0.2">
      <c r="AL423" s="57"/>
      <c r="AM423" s="57"/>
      <c r="AN423" s="57"/>
      <c r="AO423" s="57"/>
      <c r="AP423" s="57"/>
      <c r="AQ423" s="57"/>
      <c r="AR423" s="57"/>
      <c r="AS423" s="57"/>
      <c r="AT423" s="57"/>
      <c r="AU423" s="57"/>
      <c r="AV423" s="57"/>
      <c r="AW423" s="57"/>
      <c r="DC423" s="5"/>
      <c r="DD423" s="5" t="s">
        <v>3387</v>
      </c>
      <c r="DE423" s="8"/>
      <c r="DF423" s="8"/>
      <c r="DG423" s="8"/>
      <c r="DH423" s="8"/>
    </row>
    <row r="424" spans="38:112" x14ac:dyDescent="0.2">
      <c r="AL424" s="57"/>
      <c r="AM424" s="57"/>
      <c r="AN424" s="57"/>
      <c r="AO424" s="57"/>
      <c r="AP424" s="57"/>
      <c r="AQ424" s="57"/>
      <c r="AR424" s="57"/>
      <c r="AS424" s="57"/>
      <c r="AT424" s="57"/>
      <c r="AU424" s="57"/>
      <c r="AV424" s="57"/>
      <c r="AW424" s="57"/>
      <c r="DC424" s="5"/>
      <c r="DD424" s="8"/>
      <c r="DE424" s="8"/>
      <c r="DF424" s="8"/>
      <c r="DG424" s="8"/>
      <c r="DH424" s="8"/>
    </row>
    <row r="425" spans="38:112" x14ac:dyDescent="0.2">
      <c r="AL425" s="57"/>
      <c r="AM425" s="57"/>
      <c r="AN425" s="57"/>
      <c r="AO425" s="57"/>
      <c r="AP425" s="57"/>
      <c r="AQ425" s="57"/>
      <c r="AR425" s="57"/>
      <c r="AS425" s="57"/>
      <c r="AT425" s="57"/>
      <c r="AU425" s="57"/>
      <c r="AV425" s="57"/>
      <c r="AW425" s="57"/>
      <c r="DC425" s="5"/>
      <c r="DD425" s="8"/>
      <c r="DE425" s="8"/>
      <c r="DF425" s="8"/>
      <c r="DG425" s="8"/>
      <c r="DH425" s="8"/>
    </row>
    <row r="426" spans="38:112" x14ac:dyDescent="0.2">
      <c r="AL426" s="57"/>
      <c r="AM426" s="57"/>
      <c r="AN426" s="57"/>
      <c r="AO426" s="57"/>
      <c r="AP426" s="57"/>
      <c r="AQ426" s="57"/>
      <c r="AR426" s="57"/>
      <c r="AS426" s="57"/>
      <c r="AT426" s="57"/>
      <c r="AU426" s="57"/>
      <c r="AV426" s="57"/>
      <c r="AW426" s="57"/>
      <c r="DC426" s="5"/>
      <c r="DD426" s="8"/>
      <c r="DE426" s="8"/>
      <c r="DF426" s="8"/>
      <c r="DG426" s="8"/>
      <c r="DH426" s="8"/>
    </row>
    <row r="427" spans="38:112" x14ac:dyDescent="0.2">
      <c r="AL427" s="57"/>
      <c r="AM427" s="57"/>
      <c r="AN427" s="57"/>
      <c r="AO427" s="57"/>
      <c r="AP427" s="57"/>
      <c r="AQ427" s="57"/>
      <c r="AR427" s="57"/>
      <c r="AS427" s="57"/>
      <c r="AT427" s="57"/>
      <c r="AU427" s="57"/>
      <c r="AV427" s="57"/>
      <c r="AW427" s="57"/>
      <c r="DC427" s="5"/>
      <c r="DD427" s="8"/>
      <c r="DE427" s="8"/>
      <c r="DF427" s="8"/>
      <c r="DG427" s="8"/>
      <c r="DH427" s="8"/>
    </row>
    <row r="428" spans="38:112" x14ac:dyDescent="0.2">
      <c r="AL428" s="57"/>
      <c r="AM428" s="57"/>
      <c r="AN428" s="57"/>
      <c r="AO428" s="57"/>
      <c r="AP428" s="57"/>
      <c r="AQ428" s="57"/>
      <c r="AR428" s="57"/>
      <c r="AS428" s="57"/>
      <c r="AT428" s="57"/>
      <c r="AU428" s="57"/>
      <c r="AV428" s="57"/>
      <c r="AW428" s="57"/>
      <c r="DC428" s="8"/>
      <c r="DD428" s="8"/>
      <c r="DE428" s="8"/>
      <c r="DF428" s="8"/>
      <c r="DG428" s="8"/>
      <c r="DH428" s="8"/>
    </row>
    <row r="429" spans="38:112" x14ac:dyDescent="0.2">
      <c r="AL429" s="57"/>
      <c r="AM429" s="57"/>
      <c r="AN429" s="57"/>
      <c r="AO429" s="57"/>
      <c r="AP429" s="57"/>
      <c r="AQ429" s="57"/>
      <c r="AR429" s="57"/>
      <c r="AS429" s="57"/>
      <c r="AT429" s="57"/>
      <c r="AU429" s="57"/>
      <c r="AV429" s="57"/>
      <c r="AW429" s="57"/>
    </row>
    <row r="430" spans="38:112" x14ac:dyDescent="0.2">
      <c r="AL430" s="57"/>
      <c r="AM430" s="57"/>
      <c r="AN430" s="57"/>
      <c r="AO430" s="57"/>
      <c r="AP430" s="57"/>
      <c r="AQ430" s="57"/>
      <c r="AR430" s="57"/>
      <c r="AS430" s="57"/>
      <c r="AT430" s="57"/>
      <c r="AU430" s="57"/>
      <c r="AV430" s="57"/>
      <c r="AW430" s="57"/>
    </row>
    <row r="431" spans="38:112" x14ac:dyDescent="0.2">
      <c r="AL431" s="57"/>
      <c r="AM431" s="57"/>
      <c r="AN431" s="57"/>
      <c r="AO431" s="57"/>
      <c r="AP431" s="57"/>
      <c r="AQ431" s="57"/>
      <c r="AR431" s="57"/>
      <c r="AS431" s="57"/>
      <c r="AT431" s="57"/>
      <c r="AU431" s="57"/>
      <c r="AV431" s="57"/>
      <c r="AW431" s="57"/>
    </row>
    <row r="432" spans="38:112" x14ac:dyDescent="0.2">
      <c r="AL432" s="57"/>
      <c r="AM432" s="57"/>
      <c r="AN432" s="57"/>
      <c r="AO432" s="57"/>
      <c r="AP432" s="57"/>
      <c r="AQ432" s="57"/>
      <c r="AR432" s="57"/>
      <c r="AS432" s="57"/>
      <c r="AT432" s="57"/>
      <c r="AU432" s="57"/>
      <c r="AV432" s="57"/>
      <c r="AW432" s="57"/>
    </row>
    <row r="433" spans="38:49" x14ac:dyDescent="0.2">
      <c r="AL433" s="57"/>
      <c r="AM433" s="57"/>
      <c r="AN433" s="57"/>
      <c r="AO433" s="57"/>
      <c r="AP433" s="57"/>
      <c r="AQ433" s="57"/>
      <c r="AR433" s="57"/>
      <c r="AS433" s="57"/>
      <c r="AT433" s="57"/>
      <c r="AU433" s="57"/>
      <c r="AV433" s="57"/>
      <c r="AW433" s="57"/>
    </row>
    <row r="434" spans="38:49" x14ac:dyDescent="0.2">
      <c r="AL434" s="57"/>
      <c r="AM434" s="57"/>
      <c r="AN434" s="57"/>
      <c r="AO434" s="57"/>
      <c r="AP434" s="57"/>
      <c r="AQ434" s="57"/>
      <c r="AR434" s="57"/>
      <c r="AS434" s="57"/>
      <c r="AT434" s="57"/>
      <c r="AU434" s="57"/>
      <c r="AV434" s="57"/>
      <c r="AW434" s="57"/>
    </row>
    <row r="435" spans="38:49" x14ac:dyDescent="0.2">
      <c r="AL435" s="57"/>
      <c r="AM435" s="57"/>
      <c r="AN435" s="57"/>
      <c r="AO435" s="57"/>
      <c r="AP435" s="57"/>
      <c r="AQ435" s="57"/>
      <c r="AR435" s="57"/>
      <c r="AS435" s="57"/>
      <c r="AT435" s="57"/>
      <c r="AU435" s="57"/>
      <c r="AV435" s="57"/>
      <c r="AW435" s="57"/>
    </row>
    <row r="436" spans="38:49" x14ac:dyDescent="0.2">
      <c r="AL436" s="57"/>
      <c r="AM436" s="57"/>
      <c r="AN436" s="57"/>
      <c r="AO436" s="57"/>
      <c r="AP436" s="57"/>
      <c r="AQ436" s="57"/>
      <c r="AR436" s="57"/>
      <c r="AS436" s="57"/>
      <c r="AT436" s="57"/>
      <c r="AU436" s="57"/>
      <c r="AV436" s="57"/>
      <c r="AW436" s="57"/>
    </row>
    <row r="437" spans="38:49" x14ac:dyDescent="0.2">
      <c r="AL437" s="57"/>
      <c r="AM437" s="57"/>
      <c r="AN437" s="57"/>
      <c r="AO437" s="57"/>
      <c r="AP437" s="57"/>
      <c r="AQ437" s="57"/>
      <c r="AR437" s="57"/>
      <c r="AS437" s="57"/>
      <c r="AT437" s="57"/>
      <c r="AU437" s="57"/>
      <c r="AV437" s="57"/>
      <c r="AW437" s="57"/>
    </row>
    <row r="438" spans="38:49" x14ac:dyDescent="0.2">
      <c r="AL438" s="57"/>
      <c r="AM438" s="57"/>
      <c r="AN438" s="57"/>
      <c r="AO438" s="57"/>
      <c r="AP438" s="57"/>
      <c r="AQ438" s="57"/>
      <c r="AR438" s="57"/>
      <c r="AS438" s="57"/>
      <c r="AT438" s="57"/>
      <c r="AU438" s="57"/>
      <c r="AV438" s="57"/>
      <c r="AW438" s="57"/>
    </row>
    <row r="439" spans="38:49" x14ac:dyDescent="0.2">
      <c r="AL439" s="57"/>
      <c r="AM439" s="57"/>
      <c r="AN439" s="57"/>
      <c r="AO439" s="57"/>
      <c r="AP439" s="57"/>
      <c r="AQ439" s="57"/>
      <c r="AR439" s="57"/>
      <c r="AS439" s="57"/>
      <c r="AT439" s="57"/>
      <c r="AU439" s="57"/>
      <c r="AV439" s="57"/>
      <c r="AW439" s="57"/>
    </row>
    <row r="440" spans="38:49" x14ac:dyDescent="0.2">
      <c r="AL440" s="57"/>
      <c r="AM440" s="57"/>
      <c r="AN440" s="57"/>
      <c r="AO440" s="57"/>
      <c r="AP440" s="57"/>
      <c r="AQ440" s="57"/>
      <c r="AR440" s="57"/>
      <c r="AS440" s="57"/>
      <c r="AT440" s="57"/>
      <c r="AU440" s="57"/>
      <c r="AV440" s="57"/>
      <c r="AW440" s="57"/>
    </row>
    <row r="441" spans="38:49" x14ac:dyDescent="0.2">
      <c r="AL441" s="57"/>
      <c r="AM441" s="57"/>
      <c r="AN441" s="57"/>
      <c r="AO441" s="57"/>
      <c r="AP441" s="57"/>
      <c r="AQ441" s="57"/>
      <c r="AR441" s="57"/>
      <c r="AS441" s="57"/>
      <c r="AT441" s="57"/>
      <c r="AU441" s="57"/>
      <c r="AV441" s="57"/>
      <c r="AW441" s="57"/>
    </row>
    <row r="442" spans="38:49" x14ac:dyDescent="0.2">
      <c r="AL442" s="57"/>
      <c r="AM442" s="57"/>
      <c r="AN442" s="57"/>
      <c r="AO442" s="57"/>
      <c r="AP442" s="57"/>
      <c r="AQ442" s="57"/>
      <c r="AR442" s="57"/>
      <c r="AS442" s="57"/>
      <c r="AT442" s="57"/>
      <c r="AU442" s="57"/>
      <c r="AV442" s="57"/>
      <c r="AW442" s="57"/>
    </row>
    <row r="443" spans="38:49" x14ac:dyDescent="0.2">
      <c r="AL443" s="57"/>
      <c r="AM443" s="57"/>
      <c r="AN443" s="57"/>
      <c r="AO443" s="57"/>
      <c r="AP443" s="57"/>
      <c r="AQ443" s="57"/>
      <c r="AR443" s="57"/>
      <c r="AS443" s="57"/>
      <c r="AT443" s="57"/>
      <c r="AU443" s="57"/>
      <c r="AV443" s="57"/>
      <c r="AW443" s="57"/>
    </row>
    <row r="444" spans="38:49" x14ac:dyDescent="0.2">
      <c r="AL444" s="57"/>
      <c r="AM444" s="57"/>
      <c r="AN444" s="57"/>
      <c r="AO444" s="57"/>
      <c r="AP444" s="57"/>
      <c r="AQ444" s="57"/>
      <c r="AR444" s="57"/>
      <c r="AS444" s="57"/>
      <c r="AT444" s="57"/>
      <c r="AU444" s="57"/>
      <c r="AV444" s="57"/>
      <c r="AW444" s="57"/>
    </row>
    <row r="445" spans="38:49" x14ac:dyDescent="0.2">
      <c r="AL445" s="57"/>
      <c r="AM445" s="57"/>
      <c r="AN445" s="57"/>
      <c r="AO445" s="57"/>
      <c r="AP445" s="57"/>
      <c r="AQ445" s="57"/>
      <c r="AR445" s="57"/>
      <c r="AS445" s="57"/>
      <c r="AT445" s="57"/>
      <c r="AU445" s="57"/>
      <c r="AV445" s="57"/>
      <c r="AW445" s="57"/>
    </row>
    <row r="446" spans="38:49" x14ac:dyDescent="0.2">
      <c r="AL446" s="57"/>
      <c r="AM446" s="57"/>
      <c r="AN446" s="57"/>
      <c r="AO446" s="57"/>
      <c r="AP446" s="57"/>
      <c r="AQ446" s="57"/>
      <c r="AR446" s="57"/>
      <c r="AS446" s="57"/>
      <c r="AT446" s="57"/>
      <c r="AU446" s="57"/>
      <c r="AV446" s="57"/>
      <c r="AW446" s="57"/>
    </row>
    <row r="447" spans="38:49" x14ac:dyDescent="0.2">
      <c r="AL447" s="57"/>
      <c r="AM447" s="57"/>
      <c r="AN447" s="57"/>
      <c r="AO447" s="57"/>
      <c r="AP447" s="57"/>
      <c r="AQ447" s="57"/>
      <c r="AR447" s="57"/>
      <c r="AS447" s="57"/>
      <c r="AT447" s="57"/>
      <c r="AU447" s="57"/>
      <c r="AV447" s="57"/>
      <c r="AW447" s="57"/>
    </row>
    <row r="448" spans="38:49" x14ac:dyDescent="0.2">
      <c r="AL448" s="57"/>
      <c r="AM448" s="57"/>
      <c r="AN448" s="57"/>
      <c r="AO448" s="57"/>
      <c r="AP448" s="57"/>
      <c r="AQ448" s="57"/>
      <c r="AR448" s="57"/>
      <c r="AS448" s="57"/>
      <c r="AT448" s="57"/>
      <c r="AU448" s="57"/>
      <c r="AV448" s="57"/>
      <c r="AW448" s="57"/>
    </row>
    <row r="449" spans="38:49" x14ac:dyDescent="0.2">
      <c r="AL449" s="57"/>
      <c r="AM449" s="57"/>
      <c r="AN449" s="57"/>
      <c r="AO449" s="57"/>
      <c r="AP449" s="57"/>
      <c r="AQ449" s="57"/>
      <c r="AR449" s="57"/>
      <c r="AS449" s="57"/>
      <c r="AT449" s="57"/>
      <c r="AU449" s="57"/>
      <c r="AV449" s="57"/>
      <c r="AW449" s="57"/>
    </row>
    <row r="450" spans="38:49" x14ac:dyDescent="0.2">
      <c r="AL450" s="57"/>
      <c r="AM450" s="57"/>
      <c r="AN450" s="57"/>
      <c r="AO450" s="57"/>
      <c r="AP450" s="57"/>
      <c r="AQ450" s="57"/>
      <c r="AR450" s="57"/>
      <c r="AS450" s="57"/>
      <c r="AT450" s="57"/>
      <c r="AU450" s="57"/>
      <c r="AV450" s="57"/>
      <c r="AW450" s="57"/>
    </row>
    <row r="451" spans="38:49" x14ac:dyDescent="0.2">
      <c r="AL451" s="57"/>
      <c r="AM451" s="57"/>
      <c r="AN451" s="57"/>
      <c r="AO451" s="57"/>
      <c r="AP451" s="57"/>
      <c r="AQ451" s="57"/>
      <c r="AR451" s="57"/>
      <c r="AS451" s="57"/>
      <c r="AT451" s="57"/>
      <c r="AU451" s="57"/>
      <c r="AV451" s="57"/>
      <c r="AW451" s="57"/>
    </row>
    <row r="452" spans="38:49" x14ac:dyDescent="0.2">
      <c r="AL452" s="57"/>
      <c r="AM452" s="57"/>
      <c r="AN452" s="57"/>
      <c r="AO452" s="57"/>
      <c r="AP452" s="57"/>
      <c r="AQ452" s="57"/>
      <c r="AR452" s="57"/>
      <c r="AS452" s="57"/>
      <c r="AT452" s="57"/>
      <c r="AU452" s="57"/>
      <c r="AV452" s="57"/>
      <c r="AW452" s="57"/>
    </row>
    <row r="453" spans="38:49" x14ac:dyDescent="0.2">
      <c r="AL453" s="57"/>
      <c r="AM453" s="57"/>
      <c r="AN453" s="57"/>
      <c r="AO453" s="57"/>
      <c r="AP453" s="57"/>
      <c r="AQ453" s="57"/>
      <c r="AR453" s="57"/>
      <c r="AS453" s="57"/>
      <c r="AT453" s="57"/>
      <c r="AU453" s="57"/>
      <c r="AV453" s="57"/>
      <c r="AW453" s="57"/>
    </row>
    <row r="454" spans="38:49" x14ac:dyDescent="0.2">
      <c r="AL454" s="57"/>
      <c r="AM454" s="57"/>
      <c r="AN454" s="57"/>
      <c r="AO454" s="57"/>
      <c r="AP454" s="57"/>
      <c r="AQ454" s="57"/>
      <c r="AR454" s="57"/>
      <c r="AS454" s="57"/>
      <c r="AT454" s="57"/>
      <c r="AU454" s="57"/>
      <c r="AV454" s="57"/>
      <c r="AW454" s="57"/>
    </row>
    <row r="455" spans="38:49" x14ac:dyDescent="0.2">
      <c r="AL455" s="57"/>
      <c r="AM455" s="57"/>
      <c r="AN455" s="57"/>
      <c r="AO455" s="57"/>
      <c r="AP455" s="57"/>
      <c r="AQ455" s="57"/>
      <c r="AR455" s="57"/>
      <c r="AS455" s="57"/>
      <c r="AT455" s="57"/>
      <c r="AU455" s="57"/>
      <c r="AV455" s="57"/>
      <c r="AW455" s="57"/>
    </row>
    <row r="456" spans="38:49" x14ac:dyDescent="0.2">
      <c r="AL456" s="57"/>
      <c r="AM456" s="57"/>
      <c r="AN456" s="57"/>
      <c r="AO456" s="57"/>
      <c r="AP456" s="57"/>
      <c r="AQ456" s="57"/>
      <c r="AR456" s="57"/>
      <c r="AS456" s="57"/>
      <c r="AT456" s="57"/>
      <c r="AU456" s="57"/>
      <c r="AV456" s="57"/>
      <c r="AW456" s="57"/>
    </row>
    <row r="457" spans="38:49" x14ac:dyDescent="0.2">
      <c r="AL457" s="57"/>
      <c r="AM457" s="57"/>
      <c r="AN457" s="57"/>
      <c r="AO457" s="57"/>
      <c r="AP457" s="57"/>
      <c r="AQ457" s="57"/>
      <c r="AR457" s="57"/>
      <c r="AS457" s="57"/>
      <c r="AT457" s="57"/>
      <c r="AU457" s="57"/>
      <c r="AV457" s="57"/>
      <c r="AW457" s="57"/>
    </row>
    <row r="458" spans="38:49" x14ac:dyDescent="0.2">
      <c r="AL458" s="57"/>
      <c r="AM458" s="57"/>
      <c r="AN458" s="57"/>
      <c r="AO458" s="57"/>
      <c r="AP458" s="57"/>
      <c r="AQ458" s="57"/>
      <c r="AR458" s="57"/>
      <c r="AS458" s="57"/>
      <c r="AT458" s="57"/>
      <c r="AU458" s="57"/>
      <c r="AV458" s="57"/>
      <c r="AW458" s="57"/>
    </row>
    <row r="459" spans="38:49" x14ac:dyDescent="0.2">
      <c r="AL459" s="57"/>
      <c r="AM459" s="57"/>
      <c r="AN459" s="57"/>
      <c r="AO459" s="57"/>
      <c r="AP459" s="57"/>
      <c r="AQ459" s="57"/>
      <c r="AR459" s="57"/>
      <c r="AS459" s="57"/>
      <c r="AT459" s="57"/>
      <c r="AU459" s="57"/>
      <c r="AV459" s="57"/>
      <c r="AW459" s="57"/>
    </row>
    <row r="460" spans="38:49" x14ac:dyDescent="0.2">
      <c r="AL460" s="57"/>
      <c r="AM460" s="57"/>
      <c r="AN460" s="57"/>
      <c r="AO460" s="57"/>
      <c r="AP460" s="57"/>
      <c r="AQ460" s="57"/>
      <c r="AR460" s="57"/>
      <c r="AS460" s="57"/>
      <c r="AT460" s="57"/>
      <c r="AU460" s="57"/>
      <c r="AV460" s="57"/>
      <c r="AW460" s="57"/>
    </row>
    <row r="461" spans="38:49" x14ac:dyDescent="0.2">
      <c r="AL461" s="57"/>
      <c r="AM461" s="57"/>
      <c r="AN461" s="57"/>
      <c r="AO461" s="57"/>
      <c r="AP461" s="57"/>
      <c r="AQ461" s="57"/>
      <c r="AR461" s="57"/>
      <c r="AS461" s="57"/>
      <c r="AT461" s="57"/>
      <c r="AU461" s="57"/>
      <c r="AV461" s="57"/>
      <c r="AW461" s="57"/>
    </row>
    <row r="462" spans="38:49" x14ac:dyDescent="0.2">
      <c r="AL462" s="57"/>
      <c r="AM462" s="57"/>
      <c r="AN462" s="57"/>
      <c r="AO462" s="57"/>
      <c r="AP462" s="57"/>
      <c r="AQ462" s="57"/>
      <c r="AR462" s="57"/>
      <c r="AS462" s="57"/>
      <c r="AT462" s="57"/>
      <c r="AU462" s="57"/>
      <c r="AV462" s="57"/>
      <c r="AW462" s="57"/>
    </row>
    <row r="463" spans="38:49" x14ac:dyDescent="0.2">
      <c r="AL463" s="57"/>
      <c r="AM463" s="57"/>
      <c r="AN463" s="57"/>
      <c r="AO463" s="57"/>
      <c r="AP463" s="57"/>
      <c r="AQ463" s="57"/>
      <c r="AR463" s="57"/>
      <c r="AS463" s="57"/>
      <c r="AT463" s="57"/>
      <c r="AU463" s="57"/>
      <c r="AV463" s="57"/>
      <c r="AW463" s="57"/>
    </row>
    <row r="464" spans="38:49" x14ac:dyDescent="0.2">
      <c r="AL464" s="57"/>
      <c r="AM464" s="57"/>
      <c r="AN464" s="57"/>
      <c r="AO464" s="57"/>
      <c r="AP464" s="57"/>
      <c r="AQ464" s="57"/>
      <c r="AR464" s="57"/>
      <c r="AS464" s="57"/>
      <c r="AT464" s="57"/>
      <c r="AU464" s="57"/>
      <c r="AV464" s="57"/>
      <c r="AW464" s="57"/>
    </row>
    <row r="465" spans="38:49" x14ac:dyDescent="0.2">
      <c r="AL465" s="57"/>
      <c r="AM465" s="57"/>
      <c r="AN465" s="57"/>
      <c r="AO465" s="57"/>
      <c r="AP465" s="57"/>
      <c r="AQ465" s="57"/>
      <c r="AR465" s="57"/>
      <c r="AS465" s="57"/>
      <c r="AT465" s="57"/>
      <c r="AU465" s="57"/>
      <c r="AV465" s="57"/>
      <c r="AW465" s="57"/>
    </row>
    <row r="466" spans="38:49" x14ac:dyDescent="0.2">
      <c r="AL466" s="57"/>
      <c r="AM466" s="57"/>
      <c r="AN466" s="57"/>
      <c r="AO466" s="57"/>
      <c r="AP466" s="57"/>
      <c r="AQ466" s="57"/>
      <c r="AR466" s="57"/>
      <c r="AS466" s="57"/>
      <c r="AT466" s="57"/>
      <c r="AU466" s="57"/>
      <c r="AV466" s="57"/>
      <c r="AW466" s="57"/>
    </row>
    <row r="467" spans="38:49" x14ac:dyDescent="0.2">
      <c r="AL467" s="57"/>
      <c r="AM467" s="57"/>
      <c r="AN467" s="57"/>
      <c r="AO467" s="57"/>
      <c r="AP467" s="57"/>
      <c r="AQ467" s="57"/>
      <c r="AR467" s="57"/>
      <c r="AS467" s="57"/>
      <c r="AT467" s="57"/>
      <c r="AU467" s="57"/>
      <c r="AV467" s="57"/>
      <c r="AW467" s="57"/>
    </row>
    <row r="468" spans="38:49" x14ac:dyDescent="0.2">
      <c r="AL468" s="57"/>
      <c r="AM468" s="57"/>
      <c r="AN468" s="57"/>
      <c r="AO468" s="57"/>
      <c r="AP468" s="57"/>
      <c r="AQ468" s="57"/>
      <c r="AR468" s="57"/>
      <c r="AS468" s="57"/>
      <c r="AT468" s="57"/>
      <c r="AU468" s="57"/>
      <c r="AV468" s="57"/>
      <c r="AW468" s="57"/>
    </row>
    <row r="469" spans="38:49" x14ac:dyDescent="0.2">
      <c r="AL469" s="57"/>
      <c r="AM469" s="57"/>
      <c r="AN469" s="57"/>
      <c r="AO469" s="57"/>
      <c r="AP469" s="57"/>
      <c r="AQ469" s="57"/>
      <c r="AR469" s="57"/>
      <c r="AS469" s="57"/>
      <c r="AT469" s="57"/>
      <c r="AU469" s="57"/>
      <c r="AV469" s="57"/>
      <c r="AW469" s="57"/>
    </row>
    <row r="470" spans="38:49" x14ac:dyDescent="0.2">
      <c r="AL470" s="57"/>
      <c r="AM470" s="57"/>
      <c r="AN470" s="57"/>
      <c r="AO470" s="57"/>
      <c r="AP470" s="57"/>
      <c r="AQ470" s="57"/>
      <c r="AR470" s="57"/>
      <c r="AS470" s="57"/>
      <c r="AT470" s="57"/>
      <c r="AU470" s="57"/>
      <c r="AV470" s="57"/>
      <c r="AW470" s="57"/>
    </row>
    <row r="471" spans="38:49" x14ac:dyDescent="0.2">
      <c r="AL471" s="57"/>
      <c r="AM471" s="57"/>
      <c r="AN471" s="57"/>
      <c r="AO471" s="57"/>
      <c r="AP471" s="57"/>
      <c r="AQ471" s="57"/>
      <c r="AR471" s="57"/>
      <c r="AS471" s="57"/>
      <c r="AT471" s="57"/>
      <c r="AU471" s="57"/>
      <c r="AV471" s="57"/>
      <c r="AW471" s="57"/>
    </row>
    <row r="472" spans="38:49" x14ac:dyDescent="0.2">
      <c r="AL472" s="57"/>
      <c r="AM472" s="57"/>
      <c r="AN472" s="57"/>
      <c r="AO472" s="57"/>
      <c r="AP472" s="57"/>
      <c r="AQ472" s="57"/>
      <c r="AR472" s="57"/>
      <c r="AS472" s="57"/>
      <c r="AT472" s="57"/>
      <c r="AU472" s="57"/>
      <c r="AV472" s="57"/>
      <c r="AW472" s="57"/>
    </row>
    <row r="473" spans="38:49" x14ac:dyDescent="0.2">
      <c r="AL473" s="57"/>
      <c r="AM473" s="57"/>
      <c r="AN473" s="57"/>
      <c r="AO473" s="57"/>
      <c r="AP473" s="57"/>
      <c r="AQ473" s="57"/>
      <c r="AR473" s="57"/>
      <c r="AS473" s="57"/>
      <c r="AT473" s="57"/>
      <c r="AU473" s="57"/>
      <c r="AV473" s="57"/>
      <c r="AW473" s="57"/>
    </row>
    <row r="474" spans="38:49" x14ac:dyDescent="0.2">
      <c r="AL474" s="57"/>
      <c r="AM474" s="57"/>
      <c r="AN474" s="57"/>
      <c r="AO474" s="57"/>
      <c r="AP474" s="57"/>
      <c r="AQ474" s="57"/>
      <c r="AR474" s="57"/>
      <c r="AS474" s="57"/>
      <c r="AT474" s="57"/>
      <c r="AU474" s="57"/>
      <c r="AV474" s="57"/>
      <c r="AW474" s="57"/>
    </row>
    <row r="475" spans="38:49" x14ac:dyDescent="0.2">
      <c r="AL475" s="57"/>
      <c r="AM475" s="57"/>
      <c r="AN475" s="57"/>
      <c r="AO475" s="57"/>
      <c r="AP475" s="57"/>
      <c r="AQ475" s="57"/>
      <c r="AR475" s="57"/>
      <c r="AS475" s="57"/>
      <c r="AT475" s="57"/>
      <c r="AU475" s="57"/>
      <c r="AV475" s="57"/>
      <c r="AW475" s="57"/>
    </row>
    <row r="476" spans="38:49" x14ac:dyDescent="0.2">
      <c r="AL476" s="57"/>
      <c r="AM476" s="57"/>
      <c r="AN476" s="57"/>
      <c r="AO476" s="57"/>
      <c r="AP476" s="57"/>
      <c r="AQ476" s="57"/>
      <c r="AR476" s="57"/>
      <c r="AS476" s="57"/>
      <c r="AT476" s="57"/>
      <c r="AU476" s="57"/>
      <c r="AV476" s="57"/>
      <c r="AW476" s="57"/>
    </row>
    <row r="477" spans="38:49" x14ac:dyDescent="0.2">
      <c r="AL477" s="57"/>
      <c r="AM477" s="57"/>
      <c r="AN477" s="57"/>
      <c r="AO477" s="57"/>
      <c r="AP477" s="57"/>
      <c r="AQ477" s="57"/>
      <c r="AR477" s="57"/>
      <c r="AS477" s="57"/>
      <c r="AT477" s="57"/>
      <c r="AU477" s="57"/>
      <c r="AV477" s="57"/>
      <c r="AW477" s="57"/>
    </row>
    <row r="478" spans="38:49" x14ac:dyDescent="0.2">
      <c r="AL478" s="57"/>
      <c r="AM478" s="57"/>
      <c r="AN478" s="57"/>
      <c r="AO478" s="57"/>
      <c r="AP478" s="57"/>
      <c r="AQ478" s="57"/>
      <c r="AR478" s="57"/>
      <c r="AS478" s="57"/>
      <c r="AT478" s="57"/>
      <c r="AU478" s="57"/>
      <c r="AV478" s="57"/>
      <c r="AW478" s="57"/>
    </row>
    <row r="479" spans="38:49" x14ac:dyDescent="0.2">
      <c r="AL479" s="57"/>
      <c r="AM479" s="57"/>
      <c r="AN479" s="57"/>
      <c r="AO479" s="57"/>
      <c r="AP479" s="57"/>
      <c r="AQ479" s="57"/>
      <c r="AR479" s="57"/>
      <c r="AS479" s="57"/>
      <c r="AT479" s="57"/>
      <c r="AU479" s="57"/>
      <c r="AV479" s="57"/>
      <c r="AW479" s="57"/>
    </row>
    <row r="480" spans="38:49" x14ac:dyDescent="0.2">
      <c r="AL480" s="57"/>
      <c r="AM480" s="57"/>
      <c r="AN480" s="57"/>
      <c r="AO480" s="57"/>
      <c r="AP480" s="57"/>
      <c r="AQ480" s="57"/>
      <c r="AR480" s="57"/>
      <c r="AS480" s="57"/>
      <c r="AT480" s="57"/>
      <c r="AU480" s="57"/>
      <c r="AV480" s="57"/>
      <c r="AW480" s="57"/>
    </row>
    <row r="481" spans="38:49" x14ac:dyDescent="0.2">
      <c r="AL481" s="57"/>
      <c r="AM481" s="57"/>
      <c r="AN481" s="57"/>
      <c r="AO481" s="57"/>
      <c r="AP481" s="57"/>
      <c r="AQ481" s="57"/>
      <c r="AR481" s="57"/>
      <c r="AS481" s="57"/>
      <c r="AT481" s="57"/>
      <c r="AU481" s="57"/>
      <c r="AV481" s="57"/>
      <c r="AW481" s="57"/>
    </row>
    <row r="482" spans="38:49" x14ac:dyDescent="0.2">
      <c r="AL482" s="57"/>
      <c r="AM482" s="57"/>
      <c r="AN482" s="57"/>
      <c r="AO482" s="57"/>
      <c r="AP482" s="57"/>
      <c r="AQ482" s="57"/>
      <c r="AR482" s="57"/>
      <c r="AS482" s="57"/>
      <c r="AT482" s="57"/>
      <c r="AU482" s="57"/>
      <c r="AV482" s="57"/>
      <c r="AW482" s="57"/>
    </row>
  </sheetData>
  <sheetProtection password="C404" sheet="1"/>
  <mergeCells count="1107">
    <mergeCell ref="AI48:AK48"/>
    <mergeCell ref="L60:O60"/>
    <mergeCell ref="B64:AK65"/>
    <mergeCell ref="AJ73:AK73"/>
    <mergeCell ref="H68:R68"/>
    <mergeCell ref="N89:R89"/>
    <mergeCell ref="B85:H85"/>
    <mergeCell ref="AL75:AT75"/>
    <mergeCell ref="AJ75:AK75"/>
    <mergeCell ref="N86:R86"/>
    <mergeCell ref="B82:H83"/>
    <mergeCell ref="I82:M83"/>
    <mergeCell ref="B76:J76"/>
    <mergeCell ref="K76:L76"/>
    <mergeCell ref="K79:L79"/>
    <mergeCell ref="AL74:AT74"/>
    <mergeCell ref="AL73:AT73"/>
    <mergeCell ref="M79:O79"/>
    <mergeCell ref="AE78:AI78"/>
    <mergeCell ref="P73:T73"/>
    <mergeCell ref="AB73:AD73"/>
    <mergeCell ref="AE73:AI73"/>
    <mergeCell ref="M76:O76"/>
    <mergeCell ref="P76:T76"/>
    <mergeCell ref="AJ74:AK74"/>
    <mergeCell ref="AJ89:AK89"/>
    <mergeCell ref="AL60:AV60"/>
    <mergeCell ref="AL66:AT66"/>
    <mergeCell ref="AL63:AV63"/>
    <mergeCell ref="AL71:AU71"/>
    <mergeCell ref="AL69:AT69"/>
    <mergeCell ref="N84:R84"/>
    <mergeCell ref="N150:AK151"/>
    <mergeCell ref="AJ93:AK93"/>
    <mergeCell ref="AE94:AI94"/>
    <mergeCell ref="AJ88:AK88"/>
    <mergeCell ref="AE92:AI92"/>
    <mergeCell ref="AE98:AK99"/>
    <mergeCell ref="AJ95:AK95"/>
    <mergeCell ref="N91:R91"/>
    <mergeCell ref="N93:R93"/>
    <mergeCell ref="W116:Z116"/>
    <mergeCell ref="B68:G68"/>
    <mergeCell ref="B70:J71"/>
    <mergeCell ref="K73:L73"/>
    <mergeCell ref="Y73:AA73"/>
    <mergeCell ref="AB74:AD74"/>
    <mergeCell ref="W109:Z109"/>
    <mergeCell ref="I90:M90"/>
    <mergeCell ref="I91:M91"/>
    <mergeCell ref="B95:H95"/>
    <mergeCell ref="B94:H94"/>
    <mergeCell ref="S91:U91"/>
    <mergeCell ref="S92:U92"/>
    <mergeCell ref="B86:H86"/>
    <mergeCell ref="B84:H84"/>
    <mergeCell ref="B87:H87"/>
    <mergeCell ref="B88:H88"/>
    <mergeCell ref="B90:H90"/>
    <mergeCell ref="B89:H89"/>
    <mergeCell ref="I85:M85"/>
    <mergeCell ref="I86:M86"/>
    <mergeCell ref="AA98:AD99"/>
    <mergeCell ref="V91:AA91"/>
    <mergeCell ref="X128:Y128"/>
    <mergeCell ref="X125:Y125"/>
    <mergeCell ref="Z123:AB123"/>
    <mergeCell ref="U128:W128"/>
    <mergeCell ref="B146:M147"/>
    <mergeCell ref="U123:W123"/>
    <mergeCell ref="U133:W133"/>
    <mergeCell ref="M70:O71"/>
    <mergeCell ref="P75:T75"/>
    <mergeCell ref="V93:AA93"/>
    <mergeCell ref="I89:M89"/>
    <mergeCell ref="N87:R87"/>
    <mergeCell ref="N88:R88"/>
    <mergeCell ref="N92:R92"/>
    <mergeCell ref="I87:M87"/>
    <mergeCell ref="I88:M88"/>
    <mergeCell ref="S93:U93"/>
    <mergeCell ref="B92:H92"/>
    <mergeCell ref="N90:R90"/>
    <mergeCell ref="I92:M92"/>
    <mergeCell ref="U78:X78"/>
    <mergeCell ref="U75:X75"/>
    <mergeCell ref="AA100:AD100"/>
    <mergeCell ref="W101:Z101"/>
    <mergeCell ref="W98:Z99"/>
    <mergeCell ref="A97:AK97"/>
    <mergeCell ref="B91:H91"/>
    <mergeCell ref="I93:M93"/>
    <mergeCell ref="AA101:AD101"/>
    <mergeCell ref="B93:H93"/>
    <mergeCell ref="V95:AA95"/>
    <mergeCell ref="N95:R95"/>
    <mergeCell ref="B57:L57"/>
    <mergeCell ref="M57:R57"/>
    <mergeCell ref="AG60:AK60"/>
    <mergeCell ref="B60:E60"/>
    <mergeCell ref="T61:W61"/>
    <mergeCell ref="B61:E61"/>
    <mergeCell ref="R106:V106"/>
    <mergeCell ref="F60:G60"/>
    <mergeCell ref="H60:K60"/>
    <mergeCell ref="T60:W60"/>
    <mergeCell ref="S58:W58"/>
    <mergeCell ref="L61:O61"/>
    <mergeCell ref="B63:AG63"/>
    <mergeCell ref="K70:L71"/>
    <mergeCell ref="AE89:AI89"/>
    <mergeCell ref="AE88:AI88"/>
    <mergeCell ref="X119:Y120"/>
    <mergeCell ref="AH57:AK57"/>
    <mergeCell ref="AC61:AF61"/>
    <mergeCell ref="A118:AK118"/>
    <mergeCell ref="L115:Q115"/>
    <mergeCell ref="AJ94:AK94"/>
    <mergeCell ref="S95:U95"/>
    <mergeCell ref="N85:R85"/>
    <mergeCell ref="AE74:AI74"/>
    <mergeCell ref="P74:T74"/>
    <mergeCell ref="U74:X74"/>
    <mergeCell ref="K74:L74"/>
    <mergeCell ref="V92:AA92"/>
    <mergeCell ref="N94:R94"/>
    <mergeCell ref="I84:M84"/>
    <mergeCell ref="K77:L77"/>
    <mergeCell ref="A45:A46"/>
    <mergeCell ref="S45:U46"/>
    <mergeCell ref="V45:X46"/>
    <mergeCell ref="F34:H34"/>
    <mergeCell ref="I34:J34"/>
    <mergeCell ref="B34:E34"/>
    <mergeCell ref="Q34:T34"/>
    <mergeCell ref="A44:AK44"/>
    <mergeCell ref="B43:AK43"/>
    <mergeCell ref="AE45:AH46"/>
    <mergeCell ref="AB30:AC30"/>
    <mergeCell ref="X30:AA30"/>
    <mergeCell ref="V42:X42"/>
    <mergeCell ref="Y42:AD42"/>
    <mergeCell ref="K31:L31"/>
    <mergeCell ref="AC32:AK32"/>
    <mergeCell ref="AI33:AK33"/>
    <mergeCell ref="Y33:AA33"/>
    <mergeCell ref="K32:S32"/>
    <mergeCell ref="T32:AB32"/>
    <mergeCell ref="AI45:AK46"/>
    <mergeCell ref="B42:L42"/>
    <mergeCell ref="M42:R42"/>
    <mergeCell ref="DS329:DT329"/>
    <mergeCell ref="EA327:EB327"/>
    <mergeCell ref="AL72:AT72"/>
    <mergeCell ref="DY326:DZ326"/>
    <mergeCell ref="DS325:DT325"/>
    <mergeCell ref="DU325:DV325"/>
    <mergeCell ref="DW321:DX321"/>
    <mergeCell ref="EA326:EB326"/>
    <mergeCell ref="DU329:DV329"/>
    <mergeCell ref="DW329:DX329"/>
    <mergeCell ref="DS330:DT330"/>
    <mergeCell ref="DU330:DV330"/>
    <mergeCell ref="DY327:DZ327"/>
    <mergeCell ref="DW327:DX327"/>
    <mergeCell ref="H67:R67"/>
    <mergeCell ref="AE72:AI72"/>
    <mergeCell ref="S68:AK68"/>
    <mergeCell ref="AB70:AD71"/>
    <mergeCell ref="S67:AA67"/>
    <mergeCell ref="P70:T71"/>
    <mergeCell ref="DS326:DT326"/>
    <mergeCell ref="DU326:DV326"/>
    <mergeCell ref="DW326:DX326"/>
    <mergeCell ref="B167:AG167"/>
    <mergeCell ref="B168:AK169"/>
    <mergeCell ref="A184:AK184"/>
    <mergeCell ref="B185:C185"/>
    <mergeCell ref="V185:AB185"/>
    <mergeCell ref="AC185:AK185"/>
    <mergeCell ref="D185:U185"/>
    <mergeCell ref="A70:A71"/>
    <mergeCell ref="A82:A83"/>
    <mergeCell ref="DY328:DZ328"/>
    <mergeCell ref="DY330:DZ330"/>
    <mergeCell ref="DY329:DZ329"/>
    <mergeCell ref="EA321:EB321"/>
    <mergeCell ref="DS322:DT322"/>
    <mergeCell ref="DU322:DV322"/>
    <mergeCell ref="DW322:DX322"/>
    <mergeCell ref="DY322:DZ322"/>
    <mergeCell ref="EA322:EB322"/>
    <mergeCell ref="DS321:DT321"/>
    <mergeCell ref="DW325:DX325"/>
    <mergeCell ref="DY325:DZ325"/>
    <mergeCell ref="EA325:EB325"/>
    <mergeCell ref="EA332:EB332"/>
    <mergeCell ref="EA331:EB331"/>
    <mergeCell ref="EA329:EB329"/>
    <mergeCell ref="EA330:EB330"/>
    <mergeCell ref="DW328:DX328"/>
    <mergeCell ref="DW330:DX330"/>
    <mergeCell ref="EA328:EB328"/>
    <mergeCell ref="DW332:DX332"/>
    <mergeCell ref="DY332:DZ332"/>
    <mergeCell ref="DS331:DT331"/>
    <mergeCell ref="DU331:DV331"/>
    <mergeCell ref="DW331:DX331"/>
    <mergeCell ref="DY331:DZ331"/>
    <mergeCell ref="DS327:DT327"/>
    <mergeCell ref="DU327:DV327"/>
    <mergeCell ref="DS328:DT328"/>
    <mergeCell ref="DU328:DV328"/>
    <mergeCell ref="DS332:DT332"/>
    <mergeCell ref="DU332:DV332"/>
    <mergeCell ref="DY323:DZ323"/>
    <mergeCell ref="DU323:DV323"/>
    <mergeCell ref="DW317:DX317"/>
    <mergeCell ref="DY317:DZ317"/>
    <mergeCell ref="EA317:EB317"/>
    <mergeCell ref="DS318:DT318"/>
    <mergeCell ref="DU318:DV318"/>
    <mergeCell ref="DW318:DX318"/>
    <mergeCell ref="DY318:DZ318"/>
    <mergeCell ref="EA318:EB318"/>
    <mergeCell ref="DU321:DV321"/>
    <mergeCell ref="DY321:DZ321"/>
    <mergeCell ref="DS323:DT323"/>
    <mergeCell ref="EA323:EB323"/>
    <mergeCell ref="DS324:DT324"/>
    <mergeCell ref="DU324:DV324"/>
    <mergeCell ref="DW324:DX324"/>
    <mergeCell ref="DY324:DZ324"/>
    <mergeCell ref="EA324:EB324"/>
    <mergeCell ref="DW323:DX323"/>
    <mergeCell ref="DS319:DT319"/>
    <mergeCell ref="DU319:DV319"/>
    <mergeCell ref="EA313:EB313"/>
    <mergeCell ref="DS314:DT314"/>
    <mergeCell ref="DU314:DV314"/>
    <mergeCell ref="DW314:DX314"/>
    <mergeCell ref="DY314:DZ314"/>
    <mergeCell ref="EA314:EB314"/>
    <mergeCell ref="DW313:DX313"/>
    <mergeCell ref="DY313:DZ313"/>
    <mergeCell ref="DS317:DT317"/>
    <mergeCell ref="DU317:DV317"/>
    <mergeCell ref="DW319:DX319"/>
    <mergeCell ref="DY319:DZ319"/>
    <mergeCell ref="EA319:EB319"/>
    <mergeCell ref="DS320:DT320"/>
    <mergeCell ref="DU320:DV320"/>
    <mergeCell ref="DW320:DX320"/>
    <mergeCell ref="DY320:DZ320"/>
    <mergeCell ref="EA320:EB320"/>
    <mergeCell ref="DS315:DT315"/>
    <mergeCell ref="DU315:DV315"/>
    <mergeCell ref="B228:AK231"/>
    <mergeCell ref="DS311:DT311"/>
    <mergeCell ref="DU311:DV311"/>
    <mergeCell ref="DY308:DZ308"/>
    <mergeCell ref="DS309:DT309"/>
    <mergeCell ref="DU309:DV309"/>
    <mergeCell ref="DU308:DV308"/>
    <mergeCell ref="DW308:DX308"/>
    <mergeCell ref="DW315:DX315"/>
    <mergeCell ref="DY315:DZ315"/>
    <mergeCell ref="DS313:DT313"/>
    <mergeCell ref="DU313:DV313"/>
    <mergeCell ref="EA315:EB315"/>
    <mergeCell ref="DS316:DT316"/>
    <mergeCell ref="DU316:DV316"/>
    <mergeCell ref="DW316:DX316"/>
    <mergeCell ref="DY316:DZ316"/>
    <mergeCell ref="EA316:EB316"/>
    <mergeCell ref="EA311:EB311"/>
    <mergeCell ref="DS312:DT312"/>
    <mergeCell ref="DU312:DV312"/>
    <mergeCell ref="DW312:DX312"/>
    <mergeCell ref="DY312:DZ312"/>
    <mergeCell ref="EA312:EB312"/>
    <mergeCell ref="DY311:DZ311"/>
    <mergeCell ref="DS308:DT308"/>
    <mergeCell ref="DW309:DX309"/>
    <mergeCell ref="DY309:DZ309"/>
    <mergeCell ref="EA308:EB308"/>
    <mergeCell ref="EA309:EB309"/>
    <mergeCell ref="DS310:DT310"/>
    <mergeCell ref="DU310:DV310"/>
    <mergeCell ref="DW310:DX310"/>
    <mergeCell ref="DY310:DZ310"/>
    <mergeCell ref="EA310:EB310"/>
    <mergeCell ref="AL186:AT186"/>
    <mergeCell ref="AC188:AK189"/>
    <mergeCell ref="AC186:AK187"/>
    <mergeCell ref="V186:AB187"/>
    <mergeCell ref="V188:AB189"/>
    <mergeCell ref="AL196:AV196"/>
    <mergeCell ref="B196:AC196"/>
    <mergeCell ref="B193:AK193"/>
    <mergeCell ref="D188:U189"/>
    <mergeCell ref="D186:U187"/>
    <mergeCell ref="AL191:AT191"/>
    <mergeCell ref="AL188:AT188"/>
    <mergeCell ref="B188:C189"/>
    <mergeCell ref="DW311:DX311"/>
    <mergeCell ref="T207:AK208"/>
    <mergeCell ref="S213:AK213"/>
    <mergeCell ref="S212:AK212"/>
    <mergeCell ref="B213:R213"/>
    <mergeCell ref="B221:R221"/>
    <mergeCell ref="S220:AK220"/>
    <mergeCell ref="B199:AK199"/>
    <mergeCell ref="B219:R219"/>
    <mergeCell ref="B209:AK209"/>
    <mergeCell ref="T204:AK205"/>
    <mergeCell ref="B217:R217"/>
    <mergeCell ref="B206:AK206"/>
    <mergeCell ref="B207:C208"/>
    <mergeCell ref="D207:H208"/>
    <mergeCell ref="I207:S208"/>
    <mergeCell ref="B215:R215"/>
    <mergeCell ref="AG225:AK226"/>
    <mergeCell ref="B223:H223"/>
    <mergeCell ref="I223:S223"/>
    <mergeCell ref="T223:AC223"/>
    <mergeCell ref="AD223:AK223"/>
    <mergeCell ref="I225:AC226"/>
    <mergeCell ref="AD225:AF226"/>
    <mergeCell ref="B224:AK224"/>
    <mergeCell ref="U130:W130"/>
    <mergeCell ref="B227:AK227"/>
    <mergeCell ref="A194:AK194"/>
    <mergeCell ref="B191:AK191"/>
    <mergeCell ref="B190:AK190"/>
    <mergeCell ref="B225:H226"/>
    <mergeCell ref="B192:AK192"/>
    <mergeCell ref="B220:R220"/>
    <mergeCell ref="B216:R216"/>
    <mergeCell ref="B218:R218"/>
    <mergeCell ref="S215:AK215"/>
    <mergeCell ref="B222:AK222"/>
    <mergeCell ref="B195:AK195"/>
    <mergeCell ref="A186:A187"/>
    <mergeCell ref="B197:AK198"/>
    <mergeCell ref="B204:C205"/>
    <mergeCell ref="D204:H205"/>
    <mergeCell ref="I204:S205"/>
    <mergeCell ref="B200:AK200"/>
    <mergeCell ref="B201:AK203"/>
    <mergeCell ref="B186:C187"/>
    <mergeCell ref="B142:AK142"/>
    <mergeCell ref="N148:AK149"/>
    <mergeCell ref="A153:AK153"/>
    <mergeCell ref="AL9:AX9"/>
    <mergeCell ref="AB2:AK10"/>
    <mergeCell ref="AL12:AY13"/>
    <mergeCell ref="AM2:BC3"/>
    <mergeCell ref="AM4:BC5"/>
    <mergeCell ref="M29:P29"/>
    <mergeCell ref="T33:X33"/>
    <mergeCell ref="AF33:AH33"/>
    <mergeCell ref="I124:J124"/>
    <mergeCell ref="K124:L124"/>
    <mergeCell ref="AL14:AX14"/>
    <mergeCell ref="S14:Y14"/>
    <mergeCell ref="AM16:AW16"/>
    <mergeCell ref="W115:Z115"/>
    <mergeCell ref="AA115:AD115"/>
    <mergeCell ref="W114:Z114"/>
    <mergeCell ref="R110:V110"/>
    <mergeCell ref="AA109:AD109"/>
    <mergeCell ref="W111:Z111"/>
    <mergeCell ref="W113:Z113"/>
    <mergeCell ref="L111:Q111"/>
    <mergeCell ref="L113:Q113"/>
    <mergeCell ref="B114:K114"/>
    <mergeCell ref="R112:V112"/>
    <mergeCell ref="B111:K111"/>
    <mergeCell ref="B116:K116"/>
    <mergeCell ref="B119:F120"/>
    <mergeCell ref="AE116:AK116"/>
    <mergeCell ref="L116:Q116"/>
    <mergeCell ref="S122:T122"/>
    <mergeCell ref="P122:R122"/>
    <mergeCell ref="X121:Y121"/>
    <mergeCell ref="A10:AA10"/>
    <mergeCell ref="H25:O25"/>
    <mergeCell ref="K28:S28"/>
    <mergeCell ref="B27:AK27"/>
    <mergeCell ref="AF29:AH29"/>
    <mergeCell ref="B28:J29"/>
    <mergeCell ref="M26:R26"/>
    <mergeCell ref="K29:L29"/>
    <mergeCell ref="AL11:AY11"/>
    <mergeCell ref="B31:J33"/>
    <mergeCell ref="U30:W30"/>
    <mergeCell ref="K33:L33"/>
    <mergeCell ref="M33:P33"/>
    <mergeCell ref="B30:E30"/>
    <mergeCell ref="AB33:AE33"/>
    <mergeCell ref="AB29:AE29"/>
    <mergeCell ref="AE25:AK25"/>
    <mergeCell ref="A24:AK24"/>
    <mergeCell ref="T29:X29"/>
    <mergeCell ref="Q29:S29"/>
    <mergeCell ref="B23:AK23"/>
    <mergeCell ref="S26:Z26"/>
    <mergeCell ref="H26:L26"/>
    <mergeCell ref="B25:E25"/>
    <mergeCell ref="F25:G25"/>
    <mergeCell ref="B26:G26"/>
    <mergeCell ref="AA26:AD26"/>
    <mergeCell ref="AE26:AK26"/>
    <mergeCell ref="B14:H14"/>
    <mergeCell ref="R12:U13"/>
    <mergeCell ref="V12:AA13"/>
    <mergeCell ref="B16:AG16"/>
    <mergeCell ref="AB12:AE13"/>
    <mergeCell ref="AF12:AK13"/>
    <mergeCell ref="B15:AK15"/>
    <mergeCell ref="AM25:AX26"/>
    <mergeCell ref="AA25:AD25"/>
    <mergeCell ref="B17:AK18"/>
    <mergeCell ref="B20:AG20"/>
    <mergeCell ref="B19:AK19"/>
    <mergeCell ref="AM20:AW20"/>
    <mergeCell ref="P25:R25"/>
    <mergeCell ref="S25:Z25"/>
    <mergeCell ref="B21:AK22"/>
    <mergeCell ref="F30:H30"/>
    <mergeCell ref="A12:O13"/>
    <mergeCell ref="A53:A54"/>
    <mergeCell ref="B56:L56"/>
    <mergeCell ref="M53:R54"/>
    <mergeCell ref="M49:R49"/>
    <mergeCell ref="A52:AK52"/>
    <mergeCell ref="S56:W56"/>
    <mergeCell ref="S55:W55"/>
    <mergeCell ref="Y49:AD49"/>
    <mergeCell ref="AI49:AK49"/>
    <mergeCell ref="Y50:AD50"/>
    <mergeCell ref="B51:AK51"/>
    <mergeCell ref="AI50:AK50"/>
    <mergeCell ref="B50:L50"/>
    <mergeCell ref="M50:R50"/>
    <mergeCell ref="M47:R47"/>
    <mergeCell ref="AE49:AH49"/>
    <mergeCell ref="B48:L48"/>
    <mergeCell ref="AE50:AH50"/>
    <mergeCell ref="AE47:AH47"/>
    <mergeCell ref="AE48:AH48"/>
    <mergeCell ref="AH53:AK54"/>
    <mergeCell ref="AB55:AG55"/>
    <mergeCell ref="X53:AA54"/>
    <mergeCell ref="Y48:AD48"/>
    <mergeCell ref="V50:X50"/>
    <mergeCell ref="B55:L55"/>
    <mergeCell ref="B49:L49"/>
    <mergeCell ref="B53:L54"/>
    <mergeCell ref="Y47:AD47"/>
    <mergeCell ref="S47:U47"/>
    <mergeCell ref="V48:X48"/>
    <mergeCell ref="S53:W54"/>
    <mergeCell ref="I30:J30"/>
    <mergeCell ref="AC28:AK28"/>
    <mergeCell ref="AI29:AK29"/>
    <mergeCell ref="Y29:AA29"/>
    <mergeCell ref="N31:AK31"/>
    <mergeCell ref="AD30:AK30"/>
    <mergeCell ref="Q30:T30"/>
    <mergeCell ref="O30:P30"/>
    <mergeCell ref="T28:AB28"/>
    <mergeCell ref="K30:N30"/>
    <mergeCell ref="AJ72:AK72"/>
    <mergeCell ref="AE70:AI71"/>
    <mergeCell ref="K78:L78"/>
    <mergeCell ref="Y78:AA78"/>
    <mergeCell ref="AB72:AD72"/>
    <mergeCell ref="Y75:AA75"/>
    <mergeCell ref="AE77:AI77"/>
    <mergeCell ref="AB77:AD77"/>
    <mergeCell ref="M77:O77"/>
    <mergeCell ref="U77:X77"/>
    <mergeCell ref="B66:AK66"/>
    <mergeCell ref="M72:O72"/>
    <mergeCell ref="B75:J75"/>
    <mergeCell ref="K75:L75"/>
    <mergeCell ref="M75:O75"/>
    <mergeCell ref="B77:J77"/>
    <mergeCell ref="B73:J73"/>
    <mergeCell ref="M74:O74"/>
    <mergeCell ref="M78:O78"/>
    <mergeCell ref="S57:W57"/>
    <mergeCell ref="AH59:AK59"/>
    <mergeCell ref="X61:AB61"/>
    <mergeCell ref="AL111:AV111"/>
    <mergeCell ref="AL113:AV113"/>
    <mergeCell ref="AL112:AV112"/>
    <mergeCell ref="AL100:AV100"/>
    <mergeCell ref="AL104:AV104"/>
    <mergeCell ref="AL95:AU95"/>
    <mergeCell ref="R113:V113"/>
    <mergeCell ref="W106:Z106"/>
    <mergeCell ref="R109:V109"/>
    <mergeCell ref="W110:Z110"/>
    <mergeCell ref="AA113:AD113"/>
    <mergeCell ref="R104:V104"/>
    <mergeCell ref="W103:Z103"/>
    <mergeCell ref="AB87:AD87"/>
    <mergeCell ref="AF131:AG131"/>
    <mergeCell ref="AC129:AE129"/>
    <mergeCell ref="AH126:AK126"/>
    <mergeCell ref="AA111:AD111"/>
    <mergeCell ref="AC122:AE122"/>
    <mergeCell ref="AA103:AD103"/>
    <mergeCell ref="AA108:AD108"/>
    <mergeCell ref="Z122:AB122"/>
    <mergeCell ref="W105:Z105"/>
    <mergeCell ref="R100:V100"/>
    <mergeCell ref="AE95:AI95"/>
    <mergeCell ref="R98:V99"/>
    <mergeCell ref="B96:AK96"/>
    <mergeCell ref="W102:Z102"/>
    <mergeCell ref="L102:Q102"/>
    <mergeCell ref="R102:V102"/>
    <mergeCell ref="L98:Q99"/>
    <mergeCell ref="AA110:AD110"/>
    <mergeCell ref="AL47:AV47"/>
    <mergeCell ref="AL180:AV180"/>
    <mergeCell ref="B183:AK183"/>
    <mergeCell ref="AL176:AV176"/>
    <mergeCell ref="B177:AK178"/>
    <mergeCell ref="B179:AK179"/>
    <mergeCell ref="B180:AG180"/>
    <mergeCell ref="B176:AG176"/>
    <mergeCell ref="AL105:AV105"/>
    <mergeCell ref="AL101:AV101"/>
    <mergeCell ref="R114:V114"/>
    <mergeCell ref="R116:V116"/>
    <mergeCell ref="R115:V115"/>
    <mergeCell ref="AL85:AU85"/>
    <mergeCell ref="AJ86:AK86"/>
    <mergeCell ref="EE9:EK10"/>
    <mergeCell ref="AG61:AK61"/>
    <mergeCell ref="DJ8:DT9"/>
    <mergeCell ref="AM55:AX55"/>
    <mergeCell ref="AH58:AK58"/>
    <mergeCell ref="AC132:AE132"/>
    <mergeCell ref="AE101:AK101"/>
    <mergeCell ref="AL114:AV114"/>
    <mergeCell ref="AE106:AK106"/>
    <mergeCell ref="AE103:AK103"/>
    <mergeCell ref="AE105:AK105"/>
    <mergeCell ref="AE102:AK102"/>
    <mergeCell ref="AL103:AV103"/>
    <mergeCell ref="AE107:AK107"/>
    <mergeCell ref="AL102:AV102"/>
    <mergeCell ref="AL107:AV107"/>
    <mergeCell ref="AL167:AV167"/>
    <mergeCell ref="AL171:AV171"/>
    <mergeCell ref="AL108:AV108"/>
    <mergeCell ref="AE112:AK112"/>
    <mergeCell ref="AE109:AK109"/>
    <mergeCell ref="AE110:AK110"/>
    <mergeCell ref="AL109:AV109"/>
    <mergeCell ref="AF119:AG120"/>
    <mergeCell ref="AL116:AV116"/>
    <mergeCell ref="AH132:AK132"/>
    <mergeCell ref="K123:L123"/>
    <mergeCell ref="AL84:AU84"/>
    <mergeCell ref="B171:AG171"/>
    <mergeCell ref="B170:AK170"/>
    <mergeCell ref="R101:V101"/>
    <mergeCell ref="AJ92:AK92"/>
    <mergeCell ref="AL159:AV159"/>
    <mergeCell ref="AR142:BJ142"/>
    <mergeCell ref="AL115:AV115"/>
    <mergeCell ref="A158:AK158"/>
    <mergeCell ref="AL106:AV106"/>
    <mergeCell ref="I155:M155"/>
    <mergeCell ref="U156:AE156"/>
    <mergeCell ref="P119:R120"/>
    <mergeCell ref="B150:M150"/>
    <mergeCell ref="B143:AK143"/>
    <mergeCell ref="A145:AK145"/>
    <mergeCell ref="Z125:AB125"/>
    <mergeCell ref="S125:T125"/>
    <mergeCell ref="U125:W125"/>
    <mergeCell ref="AL163:AV163"/>
    <mergeCell ref="AL110:AV110"/>
    <mergeCell ref="AL121:AV121"/>
    <mergeCell ref="A188:A189"/>
    <mergeCell ref="AD154:AK154"/>
    <mergeCell ref="AF156:AK156"/>
    <mergeCell ref="B155:H155"/>
    <mergeCell ref="B181:AK182"/>
    <mergeCell ref="B166:AK166"/>
    <mergeCell ref="AD155:AK155"/>
    <mergeCell ref="U155:AC155"/>
    <mergeCell ref="B164:AK165"/>
    <mergeCell ref="B160:AK161"/>
    <mergeCell ref="AH124:AK124"/>
    <mergeCell ref="AH127:AK127"/>
    <mergeCell ref="AC125:AE125"/>
    <mergeCell ref="B58:L58"/>
    <mergeCell ref="B59:L59"/>
    <mergeCell ref="Y72:AA72"/>
    <mergeCell ref="X58:AA58"/>
    <mergeCell ref="M58:R58"/>
    <mergeCell ref="B81:AK81"/>
    <mergeCell ref="B156:T156"/>
    <mergeCell ref="AJ70:AK71"/>
    <mergeCell ref="AB58:AG58"/>
    <mergeCell ref="B62:AK62"/>
    <mergeCell ref="F61:G61"/>
    <mergeCell ref="AB67:AK67"/>
    <mergeCell ref="A98:A99"/>
    <mergeCell ref="B102:K102"/>
    <mergeCell ref="B121:F121"/>
    <mergeCell ref="A119:A120"/>
    <mergeCell ref="P121:R121"/>
    <mergeCell ref="S121:T121"/>
    <mergeCell ref="I121:J121"/>
    <mergeCell ref="B172:AK173"/>
    <mergeCell ref="B113:K113"/>
    <mergeCell ref="R105:V105"/>
    <mergeCell ref="L101:Q101"/>
    <mergeCell ref="L106:Q106"/>
    <mergeCell ref="B106:K106"/>
    <mergeCell ref="R103:V103"/>
    <mergeCell ref="L103:Q103"/>
    <mergeCell ref="L105:Q105"/>
    <mergeCell ref="B103:K103"/>
    <mergeCell ref="L104:Q104"/>
    <mergeCell ref="B159:AG159"/>
    <mergeCell ref="A175:AK175"/>
    <mergeCell ref="B162:AK162"/>
    <mergeCell ref="L114:Q114"/>
    <mergeCell ref="B112:K112"/>
    <mergeCell ref="L112:Q112"/>
    <mergeCell ref="N155:T155"/>
    <mergeCell ref="B148:M149"/>
    <mergeCell ref="N154:T154"/>
    <mergeCell ref="AA114:AD114"/>
    <mergeCell ref="I119:J120"/>
    <mergeCell ref="B109:K109"/>
    <mergeCell ref="X123:Y123"/>
    <mergeCell ref="P125:R125"/>
    <mergeCell ref="U127:W127"/>
    <mergeCell ref="M121:O121"/>
    <mergeCell ref="U122:W122"/>
    <mergeCell ref="U124:W124"/>
    <mergeCell ref="U126:W126"/>
    <mergeCell ref="I123:J123"/>
    <mergeCell ref="B124:F124"/>
    <mergeCell ref="W104:Z104"/>
    <mergeCell ref="AA105:AD105"/>
    <mergeCell ref="AA106:AD106"/>
    <mergeCell ref="AE93:AI93"/>
    <mergeCell ref="AA107:AD107"/>
    <mergeCell ref="AE100:AK100"/>
    <mergeCell ref="AE91:AI91"/>
    <mergeCell ref="AE104:AK104"/>
    <mergeCell ref="S221:AK221"/>
    <mergeCell ref="S216:AK216"/>
    <mergeCell ref="S217:AK217"/>
    <mergeCell ref="S218:AK218"/>
    <mergeCell ref="S219:AK219"/>
    <mergeCell ref="W107:Z107"/>
    <mergeCell ref="B163:AG163"/>
    <mergeCell ref="N146:AK147"/>
    <mergeCell ref="U119:W120"/>
    <mergeCell ref="U121:W121"/>
    <mergeCell ref="B174:AK174"/>
    <mergeCell ref="B211:R211"/>
    <mergeCell ref="B212:R212"/>
    <mergeCell ref="S211:AK211"/>
    <mergeCell ref="S214:AK214"/>
    <mergeCell ref="B214:R214"/>
    <mergeCell ref="B101:K101"/>
    <mergeCell ref="B210:AK210"/>
    <mergeCell ref="AE115:AK115"/>
    <mergeCell ref="B117:AK117"/>
    <mergeCell ref="W108:Z108"/>
    <mergeCell ref="B115:K115"/>
    <mergeCell ref="AD196:AK196"/>
    <mergeCell ref="AA116:AD116"/>
    <mergeCell ref="B104:K104"/>
    <mergeCell ref="B105:K105"/>
    <mergeCell ref="I94:M94"/>
    <mergeCell ref="I95:M95"/>
    <mergeCell ref="L100:Q100"/>
    <mergeCell ref="B100:K100"/>
    <mergeCell ref="B98:K99"/>
    <mergeCell ref="AE113:AK113"/>
    <mergeCell ref="AE114:AK114"/>
    <mergeCell ref="X122:Y122"/>
    <mergeCell ref="B154:H154"/>
    <mergeCell ref="B151:M151"/>
    <mergeCell ref="U154:AC154"/>
    <mergeCell ref="AC131:AE131"/>
    <mergeCell ref="AC133:AE133"/>
    <mergeCell ref="AF135:AG135"/>
    <mergeCell ref="AH125:AK125"/>
    <mergeCell ref="M119:O120"/>
    <mergeCell ref="AH119:AK120"/>
    <mergeCell ref="AH122:AK122"/>
    <mergeCell ref="AF133:AG133"/>
    <mergeCell ref="AF132:AG132"/>
    <mergeCell ref="AH123:AK123"/>
    <mergeCell ref="AH133:AK133"/>
    <mergeCell ref="P130:R130"/>
    <mergeCell ref="S131:T131"/>
    <mergeCell ref="X130:Y130"/>
    <mergeCell ref="AC121:AE121"/>
    <mergeCell ref="AH121:AK121"/>
    <mergeCell ref="Z121:AB121"/>
    <mergeCell ref="AC119:AE120"/>
    <mergeCell ref="Z119:AB120"/>
    <mergeCell ref="AM39:AV39"/>
    <mergeCell ref="Y39:AD39"/>
    <mergeCell ref="U34:W34"/>
    <mergeCell ref="S37:U38"/>
    <mergeCell ref="V37:X38"/>
    <mergeCell ref="AI37:AK38"/>
    <mergeCell ref="Y37:AD38"/>
    <mergeCell ref="AE37:AH38"/>
    <mergeCell ref="AD34:AK34"/>
    <mergeCell ref="AB34:AC34"/>
    <mergeCell ref="B107:K107"/>
    <mergeCell ref="L107:Q107"/>
    <mergeCell ref="L108:Q108"/>
    <mergeCell ref="R111:V111"/>
    <mergeCell ref="B110:K110"/>
    <mergeCell ref="L109:Q109"/>
    <mergeCell ref="B108:K108"/>
    <mergeCell ref="R107:V107"/>
    <mergeCell ref="R108:V108"/>
    <mergeCell ref="L110:Q110"/>
    <mergeCell ref="AJ78:AK78"/>
    <mergeCell ref="AJ84:AK84"/>
    <mergeCell ref="AJ76:AK76"/>
    <mergeCell ref="AE76:AI76"/>
    <mergeCell ref="B80:AK80"/>
    <mergeCell ref="B78:J78"/>
    <mergeCell ref="B79:J79"/>
    <mergeCell ref="AJ82:AK83"/>
    <mergeCell ref="AB79:AD79"/>
    <mergeCell ref="U79:X79"/>
    <mergeCell ref="AB75:AD75"/>
    <mergeCell ref="AE75:AI75"/>
    <mergeCell ref="S94:U94"/>
    <mergeCell ref="V94:AA94"/>
    <mergeCell ref="AB94:AD94"/>
    <mergeCell ref="M40:R40"/>
    <mergeCell ref="S40:U40"/>
    <mergeCell ref="AI41:AK41"/>
    <mergeCell ref="B41:L41"/>
    <mergeCell ref="M41:R41"/>
    <mergeCell ref="AE40:AH40"/>
    <mergeCell ref="V40:X40"/>
    <mergeCell ref="Y40:AD40"/>
    <mergeCell ref="AI40:AK40"/>
    <mergeCell ref="B40:L40"/>
    <mergeCell ref="AC60:AF60"/>
    <mergeCell ref="AJ85:AK85"/>
    <mergeCell ref="AE86:AI86"/>
    <mergeCell ref="AE85:AI85"/>
    <mergeCell ref="AJ91:AK91"/>
    <mergeCell ref="AE90:AI90"/>
    <mergeCell ref="AJ77:AK77"/>
    <mergeCell ref="AB78:AD78"/>
    <mergeCell ref="AE84:AI84"/>
    <mergeCell ref="AB76:AD76"/>
    <mergeCell ref="AE79:AI79"/>
    <mergeCell ref="AJ87:AK87"/>
    <mergeCell ref="AE82:AI83"/>
    <mergeCell ref="AB82:AD83"/>
    <mergeCell ref="AE87:AI87"/>
    <mergeCell ref="AJ90:AK90"/>
    <mergeCell ref="AJ79:AK79"/>
    <mergeCell ref="B45:L46"/>
    <mergeCell ref="M45:R46"/>
    <mergeCell ref="AA112:AD112"/>
    <mergeCell ref="AE111:AK111"/>
    <mergeCell ref="AF121:AG121"/>
    <mergeCell ref="AF126:AG126"/>
    <mergeCell ref="X127:Y127"/>
    <mergeCell ref="AF127:AG127"/>
    <mergeCell ref="AF130:AG130"/>
    <mergeCell ref="Z130:AB130"/>
    <mergeCell ref="AH134:AK134"/>
    <mergeCell ref="AH131:AK131"/>
    <mergeCell ref="AF128:AG128"/>
    <mergeCell ref="AH128:AK128"/>
    <mergeCell ref="AH130:AK130"/>
    <mergeCell ref="AF129:AG129"/>
    <mergeCell ref="AH129:AK129"/>
    <mergeCell ref="AE41:AH41"/>
    <mergeCell ref="AF122:AG122"/>
    <mergeCell ref="AC124:AE124"/>
    <mergeCell ref="AF124:AG124"/>
    <mergeCell ref="AF123:AG123"/>
    <mergeCell ref="AC123:AE123"/>
    <mergeCell ref="AB91:AD91"/>
    <mergeCell ref="AB92:AD92"/>
    <mergeCell ref="AB95:AD95"/>
    <mergeCell ref="AB93:AD93"/>
    <mergeCell ref="AA104:AD104"/>
    <mergeCell ref="AA102:AD102"/>
    <mergeCell ref="W100:Z100"/>
    <mergeCell ref="X57:AA57"/>
    <mergeCell ref="X55:AA55"/>
    <mergeCell ref="W112:Z112"/>
    <mergeCell ref="AE108:AK108"/>
    <mergeCell ref="AC138:AE138"/>
    <mergeCell ref="AF139:AG139"/>
    <mergeCell ref="U140:W140"/>
    <mergeCell ref="B141:F141"/>
    <mergeCell ref="G141:H141"/>
    <mergeCell ref="I141:J141"/>
    <mergeCell ref="K141:L141"/>
    <mergeCell ref="M141:O141"/>
    <mergeCell ref="M135:O135"/>
    <mergeCell ref="I137:J137"/>
    <mergeCell ref="K137:L137"/>
    <mergeCell ref="B138:F138"/>
    <mergeCell ref="G138:H138"/>
    <mergeCell ref="U134:W134"/>
    <mergeCell ref="X134:Y134"/>
    <mergeCell ref="AH137:AK137"/>
    <mergeCell ref="Z137:AB137"/>
    <mergeCell ref="AC137:AE137"/>
    <mergeCell ref="AF134:AG134"/>
    <mergeCell ref="Z134:AB134"/>
    <mergeCell ref="AC134:AE134"/>
    <mergeCell ref="U136:W136"/>
    <mergeCell ref="AH136:AK136"/>
    <mergeCell ref="U135:W135"/>
    <mergeCell ref="X135:Y135"/>
    <mergeCell ref="AH138:AK138"/>
    <mergeCell ref="AC141:AE141"/>
    <mergeCell ref="AF141:AG141"/>
    <mergeCell ref="AH141:AK141"/>
    <mergeCell ref="AH140:AK140"/>
    <mergeCell ref="AF140:AG140"/>
    <mergeCell ref="X133:Y133"/>
    <mergeCell ref="X141:Y141"/>
    <mergeCell ref="X137:Y137"/>
    <mergeCell ref="AF137:AG137"/>
    <mergeCell ref="AC136:AE136"/>
    <mergeCell ref="S140:T140"/>
    <mergeCell ref="U141:W141"/>
    <mergeCell ref="AF138:AG138"/>
    <mergeCell ref="K139:L139"/>
    <mergeCell ref="M139:O139"/>
    <mergeCell ref="U138:W138"/>
    <mergeCell ref="X138:Y138"/>
    <mergeCell ref="P139:R139"/>
    <mergeCell ref="S139:T139"/>
    <mergeCell ref="Z138:AB138"/>
    <mergeCell ref="X140:Y140"/>
    <mergeCell ref="Z139:AB139"/>
    <mergeCell ref="AC139:AE139"/>
    <mergeCell ref="Z140:AB140"/>
    <mergeCell ref="AC140:AE140"/>
    <mergeCell ref="U139:W139"/>
    <mergeCell ref="X139:Y139"/>
    <mergeCell ref="AH135:AK135"/>
    <mergeCell ref="Z141:AB141"/>
    <mergeCell ref="AH139:AK139"/>
    <mergeCell ref="AC135:AE135"/>
    <mergeCell ref="Z135:AB135"/>
    <mergeCell ref="U137:W137"/>
    <mergeCell ref="X124:Y124"/>
    <mergeCell ref="Z124:AB124"/>
    <mergeCell ref="AC127:AE127"/>
    <mergeCell ref="AC128:AE128"/>
    <mergeCell ref="AC126:AE126"/>
    <mergeCell ref="X126:Y126"/>
    <mergeCell ref="Z126:AB126"/>
    <mergeCell ref="Z127:AB127"/>
    <mergeCell ref="Z133:AB133"/>
    <mergeCell ref="P141:R141"/>
    <mergeCell ref="S141:T141"/>
    <mergeCell ref="M137:O137"/>
    <mergeCell ref="P137:R137"/>
    <mergeCell ref="S137:T137"/>
    <mergeCell ref="M140:O140"/>
    <mergeCell ref="P140:R140"/>
    <mergeCell ref="S138:T138"/>
    <mergeCell ref="M125:O125"/>
    <mergeCell ref="P126:R126"/>
    <mergeCell ref="S126:T126"/>
    <mergeCell ref="M131:O131"/>
    <mergeCell ref="S128:T128"/>
    <mergeCell ref="M127:O127"/>
    <mergeCell ref="P127:R127"/>
    <mergeCell ref="S127:T127"/>
    <mergeCell ref="M126:O126"/>
    <mergeCell ref="M129:O129"/>
    <mergeCell ref="X129:Y129"/>
    <mergeCell ref="U129:W129"/>
    <mergeCell ref="S133:T133"/>
    <mergeCell ref="S130:T130"/>
    <mergeCell ref="AF136:AG136"/>
    <mergeCell ref="Z136:AB136"/>
    <mergeCell ref="X136:Y136"/>
    <mergeCell ref="B122:F122"/>
    <mergeCell ref="M124:O124"/>
    <mergeCell ref="P124:R124"/>
    <mergeCell ref="S124:T124"/>
    <mergeCell ref="M123:O123"/>
    <mergeCell ref="P123:R123"/>
    <mergeCell ref="S123:T123"/>
    <mergeCell ref="I130:J130"/>
    <mergeCell ref="K132:L132"/>
    <mergeCell ref="S136:T136"/>
    <mergeCell ref="M136:O136"/>
    <mergeCell ref="P136:R136"/>
    <mergeCell ref="B132:F132"/>
    <mergeCell ref="S134:T134"/>
    <mergeCell ref="P135:R135"/>
    <mergeCell ref="S135:T135"/>
    <mergeCell ref="B131:F131"/>
    <mergeCell ref="AC130:AE130"/>
    <mergeCell ref="AF125:AG125"/>
    <mergeCell ref="Z129:AB129"/>
    <mergeCell ref="Z128:AB128"/>
    <mergeCell ref="Z131:AB131"/>
    <mergeCell ref="Z132:AB132"/>
    <mergeCell ref="U131:W131"/>
    <mergeCell ref="X132:Y132"/>
    <mergeCell ref="X131:Y131"/>
    <mergeCell ref="S132:T132"/>
    <mergeCell ref="U132:W132"/>
    <mergeCell ref="G124:H124"/>
    <mergeCell ref="I125:J125"/>
    <mergeCell ref="K125:L125"/>
    <mergeCell ref="B126:F126"/>
    <mergeCell ref="G126:H126"/>
    <mergeCell ref="I126:J126"/>
    <mergeCell ref="S119:T120"/>
    <mergeCell ref="S129:T129"/>
    <mergeCell ref="B130:F130"/>
    <mergeCell ref="G130:H130"/>
    <mergeCell ref="K130:L130"/>
    <mergeCell ref="B129:F129"/>
    <mergeCell ref="G129:H129"/>
    <mergeCell ref="I129:J129"/>
    <mergeCell ref="K129:L129"/>
    <mergeCell ref="B127:F127"/>
    <mergeCell ref="G119:H120"/>
    <mergeCell ref="G122:H122"/>
    <mergeCell ref="I122:J122"/>
    <mergeCell ref="K122:L122"/>
    <mergeCell ref="K121:L121"/>
    <mergeCell ref="K119:L120"/>
    <mergeCell ref="G121:H121"/>
    <mergeCell ref="M122:O122"/>
    <mergeCell ref="B123:F123"/>
    <mergeCell ref="G123:H123"/>
    <mergeCell ref="M128:O128"/>
    <mergeCell ref="P128:R128"/>
    <mergeCell ref="M130:O130"/>
    <mergeCell ref="G127:H127"/>
    <mergeCell ref="I127:J127"/>
    <mergeCell ref="K127:L127"/>
    <mergeCell ref="B128:F128"/>
    <mergeCell ref="B139:F139"/>
    <mergeCell ref="B140:F140"/>
    <mergeCell ref="G140:H140"/>
    <mergeCell ref="I140:J140"/>
    <mergeCell ref="K140:L140"/>
    <mergeCell ref="G139:H139"/>
    <mergeCell ref="I139:J139"/>
    <mergeCell ref="G131:H131"/>
    <mergeCell ref="I131:J131"/>
    <mergeCell ref="P129:R129"/>
    <mergeCell ref="B137:F137"/>
    <mergeCell ref="G137:H137"/>
    <mergeCell ref="AB85:AD85"/>
    <mergeCell ref="B133:F133"/>
    <mergeCell ref="G133:H133"/>
    <mergeCell ref="B136:F136"/>
    <mergeCell ref="G136:H136"/>
    <mergeCell ref="K126:L126"/>
    <mergeCell ref="M132:O132"/>
    <mergeCell ref="P132:R132"/>
    <mergeCell ref="I133:J133"/>
    <mergeCell ref="K133:L133"/>
    <mergeCell ref="M133:O133"/>
    <mergeCell ref="P133:R133"/>
    <mergeCell ref="I132:J132"/>
    <mergeCell ref="K131:L131"/>
    <mergeCell ref="P131:R131"/>
    <mergeCell ref="G128:H128"/>
    <mergeCell ref="I128:J128"/>
    <mergeCell ref="K128:L128"/>
    <mergeCell ref="B125:F125"/>
    <mergeCell ref="G125:H125"/>
    <mergeCell ref="B134:F134"/>
    <mergeCell ref="G134:H134"/>
    <mergeCell ref="I134:J134"/>
    <mergeCell ref="K134:L134"/>
    <mergeCell ref="M134:O134"/>
    <mergeCell ref="P134:R134"/>
    <mergeCell ref="I138:J138"/>
    <mergeCell ref="K138:L138"/>
    <mergeCell ref="I136:J136"/>
    <mergeCell ref="K136:L136"/>
    <mergeCell ref="B135:F135"/>
    <mergeCell ref="G135:H135"/>
    <mergeCell ref="I135:J135"/>
    <mergeCell ref="K135:L135"/>
    <mergeCell ref="G132:H132"/>
    <mergeCell ref="M138:O138"/>
    <mergeCell ref="P138:R138"/>
    <mergeCell ref="S90:U90"/>
    <mergeCell ref="U70:X71"/>
    <mergeCell ref="U76:X76"/>
    <mergeCell ref="B72:J72"/>
    <mergeCell ref="S88:U88"/>
    <mergeCell ref="P79:T79"/>
    <mergeCell ref="U73:X73"/>
    <mergeCell ref="V90:AA90"/>
    <mergeCell ref="AB90:AD90"/>
    <mergeCell ref="S86:U86"/>
    <mergeCell ref="V86:AA86"/>
    <mergeCell ref="AB86:AD86"/>
    <mergeCell ref="S87:U87"/>
    <mergeCell ref="V87:AA87"/>
    <mergeCell ref="AB88:AD88"/>
    <mergeCell ref="S89:U89"/>
    <mergeCell ref="V89:AA89"/>
    <mergeCell ref="S82:U83"/>
    <mergeCell ref="N82:R83"/>
    <mergeCell ref="Y79:AA79"/>
    <mergeCell ref="Y76:AA76"/>
    <mergeCell ref="P77:T77"/>
    <mergeCell ref="Y70:AA71"/>
    <mergeCell ref="Y74:AA74"/>
    <mergeCell ref="M73:O73"/>
    <mergeCell ref="K72:L72"/>
    <mergeCell ref="B74:J74"/>
    <mergeCell ref="A2:AA7"/>
    <mergeCell ref="AB89:AD89"/>
    <mergeCell ref="U72:X72"/>
    <mergeCell ref="Y77:AA77"/>
    <mergeCell ref="K34:N34"/>
    <mergeCell ref="O34:P34"/>
    <mergeCell ref="B35:AK35"/>
    <mergeCell ref="AI39:AK39"/>
    <mergeCell ref="AE39:AH39"/>
    <mergeCell ref="M39:R39"/>
    <mergeCell ref="V39:X39"/>
    <mergeCell ref="A36:AK36"/>
    <mergeCell ref="B39:L39"/>
    <mergeCell ref="A37:A38"/>
    <mergeCell ref="B37:L38"/>
    <mergeCell ref="M37:R38"/>
    <mergeCell ref="M59:R59"/>
    <mergeCell ref="H61:K61"/>
    <mergeCell ref="P60:S60"/>
    <mergeCell ref="M55:R55"/>
    <mergeCell ref="B47:L47"/>
    <mergeCell ref="AB56:AG56"/>
    <mergeCell ref="AB53:AG54"/>
    <mergeCell ref="AB57:AG57"/>
    <mergeCell ref="AH56:AK56"/>
    <mergeCell ref="X56:AA56"/>
    <mergeCell ref="M56:R56"/>
    <mergeCell ref="AE42:AH42"/>
    <mergeCell ref="AI47:AK47"/>
    <mergeCell ref="AH55:AK55"/>
    <mergeCell ref="S48:U48"/>
    <mergeCell ref="AI42:AK42"/>
    <mergeCell ref="Q33:S33"/>
    <mergeCell ref="V47:X47"/>
    <mergeCell ref="V88:AA88"/>
    <mergeCell ref="S84:U84"/>
    <mergeCell ref="S39:U39"/>
    <mergeCell ref="X34:AA34"/>
    <mergeCell ref="Y41:AD41"/>
    <mergeCell ref="P78:T78"/>
    <mergeCell ref="V82:AA83"/>
    <mergeCell ref="AB84:AD84"/>
    <mergeCell ref="V84:AA84"/>
    <mergeCell ref="S85:U85"/>
    <mergeCell ref="V85:AA85"/>
    <mergeCell ref="S41:U41"/>
    <mergeCell ref="V41:X41"/>
    <mergeCell ref="X59:AA59"/>
    <mergeCell ref="P72:T72"/>
    <mergeCell ref="P61:S61"/>
    <mergeCell ref="S59:W59"/>
    <mergeCell ref="Y45:AD46"/>
    <mergeCell ref="S42:U42"/>
    <mergeCell ref="AB59:AG59"/>
    <mergeCell ref="V49:X49"/>
    <mergeCell ref="M48:R48"/>
    <mergeCell ref="S49:U49"/>
    <mergeCell ref="S50:U50"/>
    <mergeCell ref="X60:AB60"/>
    <mergeCell ref="B69:AK69"/>
    <mergeCell ref="B67:G67"/>
  </mergeCells>
  <phoneticPr fontId="2" type="noConversion"/>
  <dataValidations count="24">
    <dataValidation type="textLength" operator="lessThanOrEqual" allowBlank="1" showInputMessage="1" showErrorMessage="1" errorTitle="New Applicant" error="Maximum data length exceeds" sqref="B21:AK22 B17:AK18 Y47:AD50 Y39:AD42 I225:AC226 B39:O42 AD34:AK34 B47:O50 AL121 AD30:AK30 B121:F141">
      <formula1>50</formula1>
    </dataValidation>
    <dataValidation type="date" allowBlank="1" showInputMessage="1" showErrorMessage="1" errorTitle="New Applicant" error="Enter a date between 1-Jan-1907 and 1-Jan-2100" sqref="AG225:AK226 S84:U95 AB84:AD95 AG60:AK61 X121:X141 AC121:AC141 D204:H205 Z121:Z141 D207:H208 AH55:AK59 X55:AA59 M72:O79 Y72:AD79 AL55 S39:X42 S47:X50 W100:AD116 X60:AB61 N84:R95">
      <formula1>2558</formula1>
      <formula2>73051</formula2>
    </dataValidation>
    <dataValidation type="textLength" operator="lessThanOrEqual" allowBlank="1" showInputMessage="1" showErrorMessage="1" errorTitle="New Applicant" error="Maximum data length exceeds" sqref="B228:AK231 N146:AK151 B197:AK198 B181:AK182 B177:AK178 B160:AK161 B164:AK165 B168:AK169 B172:AK173 B64:AK65 B191:AK192">
      <formula1>254</formula1>
    </dataValidation>
    <dataValidation type="textLength" operator="lessThanOrEqual" allowBlank="1" showInputMessage="1" showErrorMessage="1" errorTitle="New Applicant" error="Maximum data length exceeds" sqref="T204:AK205 U121:U141 R100:V116 I84:M95 T207:AK208">
      <formula1>40</formula1>
    </dataValidation>
    <dataValidation type="textLength" operator="lessThanOrEqual" allowBlank="1" showInputMessage="1" showErrorMessage="1" errorTitle="New Applicant" error="Maximum data length exceeds" sqref="AC186:AK189 AF121:AF141 AI33:AK33 AI29:AL29 AE72:AI79 H67:R68 AB67:AL67">
      <formula1>15</formula1>
    </dataValidation>
    <dataValidation type="textLength" operator="lessThanOrEqual" allowBlank="1" showInputMessage="1" showErrorMessage="1" errorTitle="New Applicant" error="Maximum data length exceeds" sqref="D186:AB189 P47:R50 P70:T79 Q34:T34 P39:R42 Q30:T30">
      <formula1>30</formula1>
    </dataValidation>
    <dataValidation type="textLength" operator="lessThanOrEqual" allowBlank="1" showInputMessage="1" showErrorMessage="1" errorTitle="New Applicant" error="Maximum data length exceeds" sqref="L100:Q116 AE25:AK25 S25:Z26 H25:O25 X30:AA30 X34:AA34 K34:N34 K30:N30">
      <formula1>25</formula1>
    </dataValidation>
    <dataValidation type="textLength" operator="lessThanOrEqual" allowBlank="1" showInputMessage="1" showErrorMessage="1" errorTitle="New Applicant" error="Maximum data length exceeds" sqref="B186:C189 P121:P141 K121:M141 F30:H30 F34:H34 S121:T141">
      <formula1>10</formula1>
    </dataValidation>
    <dataValidation type="textLength" operator="lessThanOrEqual" allowBlank="1" showInputMessage="1" showErrorMessage="1" errorTitle="New Applicant" error="Maximum data length exceeds" sqref="K28:AK28 T33:X33 T29:X29 AH33 K32:AK32">
      <formula1>60</formula1>
    </dataValidation>
    <dataValidation type="textLength" operator="lessThanOrEqual" allowBlank="1" showInputMessage="1" showErrorMessage="1" errorTitle="New Applicant" error="Maximum data length exceeds" sqref="H60:H61">
      <formula1>5</formula1>
    </dataValidation>
    <dataValidation type="textLength" operator="lessThanOrEqual" allowBlank="1" showInputMessage="1" showErrorMessage="1" errorTitle="New Applicant" error="Maximum data length exceeds" sqref="B72:J79 M29:P29 M33:P33">
      <formula1>35</formula1>
    </dataValidation>
    <dataValidation type="textLength" operator="lessThanOrEqual" allowBlank="1" showInputMessage="1" showErrorMessage="1" errorTitle="New Applicant" error="Maximum data length exceeds" sqref="U72:X79 AH121:AH141 P60:P61">
      <formula1>20</formula1>
    </dataValidation>
    <dataValidation operator="lessThanOrEqual" allowBlank="1" showInputMessage="1" showErrorMessage="1" errorTitle="New Applicant" error="Maximum data length exceeds" sqref="AB29:AE29 AB33:AE33"/>
    <dataValidation type="date" allowBlank="1" showInputMessage="1" showErrorMessage="1" errorTitle="New Applicant" error="Minimun age should be 15;_x000a_Valid date range:- 01-01-1907 to 01-01-2100" sqref="H26:L26">
      <formula1>2558</formula1>
      <formula2>DATE(YEAR(NOW())-15, MONTH(NOW()), DAY(NOW()))</formula2>
    </dataValidation>
    <dataValidation type="textLength" operator="greaterThanOrEqual" allowBlank="1" showInputMessage="1" showErrorMessage="1" errorTitle="New Applicant" error="Maximum data length exceeds" sqref="B156:T156 AR142:BJ142">
      <formula1>254</formula1>
    </dataValidation>
    <dataValidation operator="greaterThanOrEqual" allowBlank="1" showInputMessage="1" showErrorMessage="1" errorTitle="New Applicant" error="Maximum data length exceeds" sqref="B155:AK155"/>
    <dataValidation type="textLength" operator="lessThanOrEqual" allowBlank="1" showInputMessage="1" showErrorMessage="1" errorTitle="New Applicant" error="Maximum data length exceeds" sqref="AI39:AK42 AI47:AK50">
      <formula1>1</formula1>
    </dataValidation>
    <dataValidation type="decimal" allowBlank="1" showInputMessage="1" showErrorMessage="1" errorTitle="New Applicant" error="Maximum data length exceeds" sqref="U156">
      <formula1>1</formula1>
      <formula2>9999999.99</formula2>
    </dataValidation>
    <dataValidation type="decimal" allowBlank="1" showInputMessage="1" showErrorMessage="1" errorTitle="New Applicant" error="Amount should not be greater than 9999999.99" sqref="AF156:AK156">
      <formula1>0</formula1>
      <formula2>9999999.99</formula2>
    </dataValidation>
    <dataValidation type="decimal" allowBlank="1" showInputMessage="1" showErrorMessage="1" errorTitle="New Applicant" error="Enter a value between 1 and 999.99" sqref="I223:S223">
      <formula1>1</formula1>
      <formula2>999.99</formula2>
    </dataValidation>
    <dataValidation type="decimal" allowBlank="1" showInputMessage="1" showErrorMessage="1" errorTitle="New Applicant" error="Enter a value between 1 and 99" sqref="AD223:AK223">
      <formula1>1</formula1>
      <formula2>99</formula2>
    </dataValidation>
    <dataValidation type="decimal" allowBlank="1" showInputMessage="1" showErrorMessage="1" errorTitle="New Applicant" error="Enter the value between 1 and 100" sqref="AE39:AH42 AE47:AH50">
      <formula1>1</formula1>
      <formula2>100</formula2>
    </dataValidation>
    <dataValidation type="whole" allowBlank="1" showInputMessage="1" showErrorMessage="1" errorTitle="New Applicant" error="Enter Vessel Age between 1 and 1000" sqref="I121:J141">
      <formula1>1</formula1>
      <formula2>1000</formula2>
    </dataValidation>
    <dataValidation type="textLength" operator="lessThanOrEqual" allowBlank="1" showInputMessage="1" showErrorMessage="1" errorTitle="New Applicant" error="Maximum data length exceeds" sqref="V84:AA95">
      <formula1>30</formula1>
    </dataValidation>
  </dataValidations>
  <pageMargins left="0.33" right="0.3" top="0.57291666666666663" bottom="0.5" header="0.25" footer="0.22"/>
  <pageSetup orientation="portrait" horizontalDpi="300" verticalDpi="300" r:id="rId1"/>
  <headerFooter alignWithMargins="0">
    <oddFooter>&amp;L&amp;C&amp;D&amp;R</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0"/>
  </sheetPr>
  <dimension ref="A1:CQ1351"/>
  <sheetViews>
    <sheetView showGridLines="0" showZeros="0" workbookViewId="0">
      <selection activeCell="A5" sqref="A5:AJ5"/>
    </sheetView>
  </sheetViews>
  <sheetFormatPr defaultColWidth="9.140625" defaultRowHeight="12.75" x14ac:dyDescent="0.2"/>
  <cols>
    <col min="1" max="36" width="2.7109375" style="1" customWidth="1"/>
    <col min="37" max="89" width="2.7109375" style="69" customWidth="1"/>
    <col min="90" max="90" width="9.140625" style="69"/>
    <col min="91" max="16384" width="9.140625" style="1"/>
  </cols>
  <sheetData>
    <row r="1" spans="1:95" ht="15.75" thickBot="1" x14ac:dyDescent="0.3">
      <c r="A1" s="639" t="s">
        <v>3457</v>
      </c>
      <c r="B1" s="640"/>
      <c r="C1" s="640"/>
      <c r="D1" s="640"/>
      <c r="E1" s="640"/>
      <c r="F1" s="640"/>
      <c r="G1" s="640"/>
      <c r="H1" s="640"/>
      <c r="I1" s="640"/>
      <c r="J1" s="640"/>
      <c r="K1" s="640"/>
      <c r="L1" s="640"/>
      <c r="M1" s="640"/>
      <c r="N1" s="640"/>
      <c r="O1" s="640"/>
      <c r="P1" s="640"/>
      <c r="Q1" s="640"/>
      <c r="R1" s="640"/>
      <c r="S1" s="640"/>
      <c r="T1" s="640"/>
      <c r="U1" s="640"/>
      <c r="V1" s="640"/>
      <c r="W1" s="640"/>
      <c r="X1" s="640"/>
      <c r="Y1" s="640"/>
      <c r="Z1" s="640"/>
      <c r="AA1" s="640"/>
      <c r="AB1" s="640"/>
      <c r="AC1" s="640"/>
      <c r="AD1" s="640"/>
      <c r="AE1" s="640"/>
      <c r="AF1" s="640"/>
      <c r="AG1" s="640"/>
      <c r="AH1" s="640"/>
      <c r="AI1" s="640"/>
      <c r="AJ1" s="641"/>
      <c r="CM1" s="9"/>
      <c r="CN1" s="9"/>
      <c r="CO1" s="9"/>
      <c r="CP1" s="9"/>
      <c r="CQ1" s="9"/>
    </row>
    <row r="2" spans="1:95" ht="21.75" customHeight="1" x14ac:dyDescent="0.2">
      <c r="A2" s="642" t="s">
        <v>3207</v>
      </c>
      <c r="B2" s="643"/>
      <c r="C2" s="643"/>
      <c r="D2" s="643"/>
      <c r="E2" s="643"/>
      <c r="F2" s="643"/>
      <c r="G2" s="643"/>
      <c r="H2" s="643"/>
      <c r="I2" s="643"/>
      <c r="J2" s="643"/>
      <c r="K2" s="643"/>
      <c r="L2" s="643"/>
      <c r="M2" s="643"/>
      <c r="N2" s="643"/>
      <c r="O2" s="643"/>
      <c r="P2" s="643"/>
      <c r="Q2" s="643"/>
      <c r="R2" s="643"/>
      <c r="S2" s="643"/>
      <c r="T2" s="643"/>
      <c r="U2" s="643"/>
      <c r="V2" s="643"/>
      <c r="W2" s="643"/>
      <c r="X2" s="643"/>
      <c r="Y2" s="643"/>
      <c r="Z2" s="643"/>
      <c r="AA2" s="643"/>
      <c r="AB2" s="643"/>
      <c r="AC2" s="643"/>
      <c r="AD2" s="643"/>
      <c r="AE2" s="643"/>
      <c r="AF2" s="643"/>
      <c r="AG2" s="643"/>
      <c r="AH2" s="643"/>
      <c r="AI2" s="643"/>
      <c r="AJ2" s="644"/>
      <c r="CM2" s="9"/>
      <c r="CN2" s="9"/>
      <c r="CO2" s="9"/>
      <c r="CP2" s="9"/>
      <c r="CQ2" s="9"/>
    </row>
    <row r="3" spans="1:95" ht="12.75" customHeight="1" x14ac:dyDescent="0.2">
      <c r="A3" s="642"/>
      <c r="B3" s="643"/>
      <c r="C3" s="643"/>
      <c r="D3" s="643"/>
      <c r="E3" s="643"/>
      <c r="F3" s="643"/>
      <c r="G3" s="643"/>
      <c r="H3" s="643"/>
      <c r="I3" s="643"/>
      <c r="J3" s="643"/>
      <c r="K3" s="643"/>
      <c r="L3" s="643"/>
      <c r="M3" s="643"/>
      <c r="N3" s="643"/>
      <c r="O3" s="643"/>
      <c r="P3" s="643"/>
      <c r="Q3" s="643"/>
      <c r="R3" s="643"/>
      <c r="S3" s="643"/>
      <c r="T3" s="643"/>
      <c r="U3" s="643"/>
      <c r="V3" s="643"/>
      <c r="W3" s="643"/>
      <c r="X3" s="643"/>
      <c r="Y3" s="643"/>
      <c r="Z3" s="643"/>
      <c r="AA3" s="643"/>
      <c r="AB3" s="643"/>
      <c r="AC3" s="643"/>
      <c r="AD3" s="643"/>
      <c r="AE3" s="643"/>
      <c r="AF3" s="643"/>
      <c r="AG3" s="643"/>
      <c r="AH3" s="643"/>
      <c r="AI3" s="643"/>
      <c r="AJ3" s="644"/>
      <c r="CM3" s="9"/>
      <c r="CN3" s="9"/>
      <c r="CO3" s="9"/>
      <c r="CP3" s="9"/>
      <c r="CQ3" s="9"/>
    </row>
    <row r="4" spans="1:95" ht="17.25" customHeight="1" x14ac:dyDescent="0.2">
      <c r="A4" s="645"/>
      <c r="B4" s="646"/>
      <c r="C4" s="646"/>
      <c r="D4" s="646"/>
      <c r="E4" s="646"/>
      <c r="F4" s="646"/>
      <c r="G4" s="646"/>
      <c r="H4" s="646"/>
      <c r="I4" s="646"/>
      <c r="J4" s="646"/>
      <c r="K4" s="646"/>
      <c r="L4" s="646"/>
      <c r="M4" s="646"/>
      <c r="N4" s="646"/>
      <c r="O4" s="646"/>
      <c r="P4" s="646"/>
      <c r="Q4" s="646"/>
      <c r="R4" s="646"/>
      <c r="S4" s="646"/>
      <c r="T4" s="646"/>
      <c r="U4" s="646"/>
      <c r="V4" s="646"/>
      <c r="W4" s="646"/>
      <c r="X4" s="646"/>
      <c r="Y4" s="646"/>
      <c r="Z4" s="646"/>
      <c r="AA4" s="646"/>
      <c r="AB4" s="646"/>
      <c r="AC4" s="646"/>
      <c r="AD4" s="646"/>
      <c r="AE4" s="646"/>
      <c r="AF4" s="646"/>
      <c r="AG4" s="646"/>
      <c r="AH4" s="646"/>
      <c r="AI4" s="646"/>
      <c r="AJ4" s="647"/>
      <c r="CM4" s="9"/>
      <c r="CN4" s="9"/>
      <c r="CO4" s="9"/>
      <c r="CP4" s="9"/>
      <c r="CQ4" s="9"/>
    </row>
    <row r="5" spans="1:95" x14ac:dyDescent="0.2">
      <c r="A5" s="648"/>
      <c r="B5" s="649"/>
      <c r="C5" s="649"/>
      <c r="D5" s="649"/>
      <c r="E5" s="649"/>
      <c r="F5" s="649"/>
      <c r="G5" s="649"/>
      <c r="H5" s="649"/>
      <c r="I5" s="649"/>
      <c r="J5" s="649"/>
      <c r="K5" s="649"/>
      <c r="L5" s="649"/>
      <c r="M5" s="649"/>
      <c r="N5" s="649"/>
      <c r="O5" s="649"/>
      <c r="P5" s="649"/>
      <c r="Q5" s="649"/>
      <c r="R5" s="649"/>
      <c r="S5" s="649"/>
      <c r="T5" s="649"/>
      <c r="U5" s="649"/>
      <c r="V5" s="649"/>
      <c r="W5" s="649"/>
      <c r="X5" s="649"/>
      <c r="Y5" s="649"/>
      <c r="Z5" s="649"/>
      <c r="AA5" s="649"/>
      <c r="AB5" s="649"/>
      <c r="AC5" s="649"/>
      <c r="AD5" s="649"/>
      <c r="AE5" s="649"/>
      <c r="AF5" s="649"/>
      <c r="AG5" s="649"/>
      <c r="AH5" s="649"/>
      <c r="AI5" s="649"/>
      <c r="AJ5" s="650"/>
      <c r="CM5" s="9"/>
      <c r="CN5" s="9"/>
      <c r="CO5" s="9"/>
      <c r="CP5" s="9"/>
      <c r="CQ5" s="9"/>
    </row>
    <row r="6" spans="1:95" x14ac:dyDescent="0.2">
      <c r="A6" s="633"/>
      <c r="B6" s="634"/>
      <c r="C6" s="634"/>
      <c r="D6" s="634"/>
      <c r="E6" s="634"/>
      <c r="F6" s="634"/>
      <c r="G6" s="634"/>
      <c r="H6" s="634"/>
      <c r="I6" s="634"/>
      <c r="J6" s="634"/>
      <c r="K6" s="634"/>
      <c r="L6" s="634"/>
      <c r="M6" s="634"/>
      <c r="N6" s="634"/>
      <c r="O6" s="634"/>
      <c r="P6" s="634"/>
      <c r="Q6" s="634"/>
      <c r="R6" s="634"/>
      <c r="S6" s="634"/>
      <c r="T6" s="634"/>
      <c r="U6" s="634"/>
      <c r="V6" s="634"/>
      <c r="W6" s="634"/>
      <c r="X6" s="634"/>
      <c r="Y6" s="634"/>
      <c r="Z6" s="634"/>
      <c r="AA6" s="634"/>
      <c r="AB6" s="634"/>
      <c r="AC6" s="634"/>
      <c r="AD6" s="634"/>
      <c r="AE6" s="634"/>
      <c r="AF6" s="634"/>
      <c r="AG6" s="634"/>
      <c r="AH6" s="634"/>
      <c r="AI6" s="634"/>
      <c r="AJ6" s="635"/>
      <c r="CM6" s="9"/>
      <c r="CN6" s="9"/>
      <c r="CO6" s="9"/>
      <c r="CP6" s="9"/>
      <c r="CQ6" s="9"/>
    </row>
    <row r="7" spans="1:95" x14ac:dyDescent="0.2">
      <c r="A7" s="633"/>
      <c r="B7" s="634"/>
      <c r="C7" s="634"/>
      <c r="D7" s="634"/>
      <c r="E7" s="634"/>
      <c r="F7" s="634"/>
      <c r="G7" s="634"/>
      <c r="H7" s="634"/>
      <c r="I7" s="634"/>
      <c r="J7" s="634"/>
      <c r="K7" s="634"/>
      <c r="L7" s="634"/>
      <c r="M7" s="634"/>
      <c r="N7" s="634"/>
      <c r="O7" s="634"/>
      <c r="P7" s="634"/>
      <c r="Q7" s="634"/>
      <c r="R7" s="634"/>
      <c r="S7" s="634"/>
      <c r="T7" s="634"/>
      <c r="U7" s="634"/>
      <c r="V7" s="634"/>
      <c r="W7" s="634"/>
      <c r="X7" s="634"/>
      <c r="Y7" s="634"/>
      <c r="Z7" s="634"/>
      <c r="AA7" s="634"/>
      <c r="AB7" s="634"/>
      <c r="AC7" s="634"/>
      <c r="AD7" s="634"/>
      <c r="AE7" s="634"/>
      <c r="AF7" s="634"/>
      <c r="AG7" s="634"/>
      <c r="AH7" s="634"/>
      <c r="AI7" s="634"/>
      <c r="AJ7" s="635"/>
      <c r="CM7" s="9"/>
      <c r="CN7" s="9"/>
      <c r="CO7" s="9"/>
      <c r="CP7" s="9"/>
      <c r="CQ7" s="9"/>
    </row>
    <row r="8" spans="1:95" x14ac:dyDescent="0.2">
      <c r="A8" s="633"/>
      <c r="B8" s="634"/>
      <c r="C8" s="634"/>
      <c r="D8" s="634"/>
      <c r="E8" s="634"/>
      <c r="F8" s="634"/>
      <c r="G8" s="634"/>
      <c r="H8" s="634"/>
      <c r="I8" s="634"/>
      <c r="J8" s="634"/>
      <c r="K8" s="634"/>
      <c r="L8" s="634"/>
      <c r="M8" s="634"/>
      <c r="N8" s="634"/>
      <c r="O8" s="634"/>
      <c r="P8" s="634"/>
      <c r="Q8" s="634"/>
      <c r="R8" s="634"/>
      <c r="S8" s="634"/>
      <c r="T8" s="634"/>
      <c r="U8" s="634"/>
      <c r="V8" s="634"/>
      <c r="W8" s="634"/>
      <c r="X8" s="634"/>
      <c r="Y8" s="634"/>
      <c r="Z8" s="634"/>
      <c r="AA8" s="634"/>
      <c r="AB8" s="634"/>
      <c r="AC8" s="634"/>
      <c r="AD8" s="634"/>
      <c r="AE8" s="634"/>
      <c r="AF8" s="634"/>
      <c r="AG8" s="634"/>
      <c r="AH8" s="634"/>
      <c r="AI8" s="634"/>
      <c r="AJ8" s="635"/>
      <c r="CM8" s="9"/>
      <c r="CN8" s="9"/>
      <c r="CO8" s="9"/>
      <c r="CP8" s="9"/>
      <c r="CQ8" s="9"/>
    </row>
    <row r="9" spans="1:95" x14ac:dyDescent="0.2">
      <c r="A9" s="633"/>
      <c r="B9" s="634"/>
      <c r="C9" s="634"/>
      <c r="D9" s="634"/>
      <c r="E9" s="634"/>
      <c r="F9" s="634"/>
      <c r="G9" s="634"/>
      <c r="H9" s="634"/>
      <c r="I9" s="634"/>
      <c r="J9" s="634"/>
      <c r="K9" s="634"/>
      <c r="L9" s="634"/>
      <c r="M9" s="634"/>
      <c r="N9" s="634"/>
      <c r="O9" s="634"/>
      <c r="P9" s="634"/>
      <c r="Q9" s="634"/>
      <c r="R9" s="634"/>
      <c r="S9" s="634"/>
      <c r="T9" s="634"/>
      <c r="U9" s="634"/>
      <c r="V9" s="634"/>
      <c r="W9" s="634"/>
      <c r="X9" s="634"/>
      <c r="Y9" s="634"/>
      <c r="Z9" s="634"/>
      <c r="AA9" s="634"/>
      <c r="AB9" s="634"/>
      <c r="AC9" s="634"/>
      <c r="AD9" s="634"/>
      <c r="AE9" s="634"/>
      <c r="AF9" s="634"/>
      <c r="AG9" s="634"/>
      <c r="AH9" s="634"/>
      <c r="AI9" s="634"/>
      <c r="AJ9" s="635"/>
      <c r="CM9" s="9"/>
      <c r="CN9" s="9"/>
      <c r="CO9" s="9"/>
      <c r="CP9" s="9"/>
      <c r="CQ9" s="9"/>
    </row>
    <row r="10" spans="1:95" x14ac:dyDescent="0.2">
      <c r="A10" s="633"/>
      <c r="B10" s="634"/>
      <c r="C10" s="634"/>
      <c r="D10" s="634"/>
      <c r="E10" s="634"/>
      <c r="F10" s="634"/>
      <c r="G10" s="634"/>
      <c r="H10" s="634"/>
      <c r="I10" s="634"/>
      <c r="J10" s="634"/>
      <c r="K10" s="634"/>
      <c r="L10" s="634"/>
      <c r="M10" s="634"/>
      <c r="N10" s="634"/>
      <c r="O10" s="634"/>
      <c r="P10" s="634"/>
      <c r="Q10" s="634"/>
      <c r="R10" s="634"/>
      <c r="S10" s="634"/>
      <c r="T10" s="634"/>
      <c r="U10" s="634"/>
      <c r="V10" s="634"/>
      <c r="W10" s="634"/>
      <c r="X10" s="634"/>
      <c r="Y10" s="634"/>
      <c r="Z10" s="634"/>
      <c r="AA10" s="634"/>
      <c r="AB10" s="634"/>
      <c r="AC10" s="634"/>
      <c r="AD10" s="634"/>
      <c r="AE10" s="634"/>
      <c r="AF10" s="634"/>
      <c r="AG10" s="634"/>
      <c r="AH10" s="634"/>
      <c r="AI10" s="634"/>
      <c r="AJ10" s="635"/>
      <c r="CM10" s="9"/>
      <c r="CN10" s="9"/>
      <c r="CO10" s="9"/>
      <c r="CP10" s="9"/>
      <c r="CQ10" s="9"/>
    </row>
    <row r="11" spans="1:95" x14ac:dyDescent="0.2">
      <c r="A11" s="633"/>
      <c r="B11" s="634"/>
      <c r="C11" s="634"/>
      <c r="D11" s="634"/>
      <c r="E11" s="634"/>
      <c r="F11" s="634"/>
      <c r="G11" s="634"/>
      <c r="H11" s="634"/>
      <c r="I11" s="634"/>
      <c r="J11" s="634"/>
      <c r="K11" s="634"/>
      <c r="L11" s="634"/>
      <c r="M11" s="634"/>
      <c r="N11" s="634"/>
      <c r="O11" s="634"/>
      <c r="P11" s="634"/>
      <c r="Q11" s="634"/>
      <c r="R11" s="634"/>
      <c r="S11" s="634"/>
      <c r="T11" s="634"/>
      <c r="U11" s="634"/>
      <c r="V11" s="634"/>
      <c r="W11" s="634"/>
      <c r="X11" s="634"/>
      <c r="Y11" s="634"/>
      <c r="Z11" s="634"/>
      <c r="AA11" s="634"/>
      <c r="AB11" s="634"/>
      <c r="AC11" s="634"/>
      <c r="AD11" s="634"/>
      <c r="AE11" s="634"/>
      <c r="AF11" s="634"/>
      <c r="AG11" s="634"/>
      <c r="AH11" s="634"/>
      <c r="AI11" s="634"/>
      <c r="AJ11" s="635"/>
      <c r="CM11" s="9"/>
      <c r="CN11" s="9"/>
      <c r="CO11" s="9"/>
      <c r="CP11" s="9"/>
      <c r="CQ11" s="9"/>
    </row>
    <row r="12" spans="1:95" x14ac:dyDescent="0.2">
      <c r="A12" s="633"/>
      <c r="B12" s="634"/>
      <c r="C12" s="634"/>
      <c r="D12" s="634"/>
      <c r="E12" s="634"/>
      <c r="F12" s="634"/>
      <c r="G12" s="634"/>
      <c r="H12" s="634"/>
      <c r="I12" s="634"/>
      <c r="J12" s="634"/>
      <c r="K12" s="634"/>
      <c r="L12" s="634"/>
      <c r="M12" s="634"/>
      <c r="N12" s="634"/>
      <c r="O12" s="634"/>
      <c r="P12" s="634"/>
      <c r="Q12" s="634"/>
      <c r="R12" s="634"/>
      <c r="S12" s="634"/>
      <c r="T12" s="634"/>
      <c r="U12" s="634"/>
      <c r="V12" s="634"/>
      <c r="W12" s="634"/>
      <c r="X12" s="634"/>
      <c r="Y12" s="634"/>
      <c r="Z12" s="634"/>
      <c r="AA12" s="634"/>
      <c r="AB12" s="634"/>
      <c r="AC12" s="634"/>
      <c r="AD12" s="634"/>
      <c r="AE12" s="634"/>
      <c r="AF12" s="634"/>
      <c r="AG12" s="634"/>
      <c r="AH12" s="634"/>
      <c r="AI12" s="634"/>
      <c r="AJ12" s="635"/>
      <c r="CM12" s="9"/>
      <c r="CN12" s="9"/>
      <c r="CO12" s="9"/>
      <c r="CP12" s="9"/>
      <c r="CQ12" s="9"/>
    </row>
    <row r="13" spans="1:95" x14ac:dyDescent="0.2">
      <c r="A13" s="633"/>
      <c r="B13" s="634"/>
      <c r="C13" s="634"/>
      <c r="D13" s="634"/>
      <c r="E13" s="634"/>
      <c r="F13" s="634"/>
      <c r="G13" s="634"/>
      <c r="H13" s="634"/>
      <c r="I13" s="634"/>
      <c r="J13" s="634"/>
      <c r="K13" s="634"/>
      <c r="L13" s="634"/>
      <c r="M13" s="634"/>
      <c r="N13" s="634"/>
      <c r="O13" s="634"/>
      <c r="P13" s="634"/>
      <c r="Q13" s="634"/>
      <c r="R13" s="634"/>
      <c r="S13" s="634"/>
      <c r="T13" s="634"/>
      <c r="U13" s="634"/>
      <c r="V13" s="634"/>
      <c r="W13" s="634"/>
      <c r="X13" s="634"/>
      <c r="Y13" s="634"/>
      <c r="Z13" s="634"/>
      <c r="AA13" s="634"/>
      <c r="AB13" s="634"/>
      <c r="AC13" s="634"/>
      <c r="AD13" s="634"/>
      <c r="AE13" s="634"/>
      <c r="AF13" s="634"/>
      <c r="AG13" s="634"/>
      <c r="AH13" s="634"/>
      <c r="AI13" s="634"/>
      <c r="AJ13" s="635"/>
      <c r="CM13" s="9"/>
      <c r="CN13" s="9"/>
      <c r="CO13" s="9"/>
      <c r="CP13" s="9"/>
      <c r="CQ13" s="9"/>
    </row>
    <row r="14" spans="1:95" x14ac:dyDescent="0.2">
      <c r="A14" s="633"/>
      <c r="B14" s="634"/>
      <c r="C14" s="634"/>
      <c r="D14" s="634"/>
      <c r="E14" s="634"/>
      <c r="F14" s="634"/>
      <c r="G14" s="634"/>
      <c r="H14" s="634"/>
      <c r="I14" s="634"/>
      <c r="J14" s="634"/>
      <c r="K14" s="634"/>
      <c r="L14" s="634"/>
      <c r="M14" s="634"/>
      <c r="N14" s="634"/>
      <c r="O14" s="634"/>
      <c r="P14" s="634"/>
      <c r="Q14" s="634"/>
      <c r="R14" s="634"/>
      <c r="S14" s="634"/>
      <c r="T14" s="634"/>
      <c r="U14" s="634"/>
      <c r="V14" s="634"/>
      <c r="W14" s="634"/>
      <c r="X14" s="634"/>
      <c r="Y14" s="634"/>
      <c r="Z14" s="634"/>
      <c r="AA14" s="634"/>
      <c r="AB14" s="634"/>
      <c r="AC14" s="634"/>
      <c r="AD14" s="634"/>
      <c r="AE14" s="634"/>
      <c r="AF14" s="634"/>
      <c r="AG14" s="634"/>
      <c r="AH14" s="634"/>
      <c r="AI14" s="634"/>
      <c r="AJ14" s="635"/>
      <c r="CM14" s="9"/>
      <c r="CN14" s="9"/>
      <c r="CO14" s="9"/>
      <c r="CP14" s="9"/>
      <c r="CQ14" s="9"/>
    </row>
    <row r="15" spans="1:95" x14ac:dyDescent="0.2">
      <c r="A15" s="633"/>
      <c r="B15" s="634"/>
      <c r="C15" s="634"/>
      <c r="D15" s="634"/>
      <c r="E15" s="634"/>
      <c r="F15" s="634"/>
      <c r="G15" s="634"/>
      <c r="H15" s="634"/>
      <c r="I15" s="634"/>
      <c r="J15" s="634"/>
      <c r="K15" s="634"/>
      <c r="L15" s="634"/>
      <c r="M15" s="634"/>
      <c r="N15" s="634"/>
      <c r="O15" s="634"/>
      <c r="P15" s="634"/>
      <c r="Q15" s="634"/>
      <c r="R15" s="634"/>
      <c r="S15" s="634"/>
      <c r="T15" s="634"/>
      <c r="U15" s="634"/>
      <c r="V15" s="634"/>
      <c r="W15" s="634"/>
      <c r="X15" s="634"/>
      <c r="Y15" s="634"/>
      <c r="Z15" s="634"/>
      <c r="AA15" s="634"/>
      <c r="AB15" s="634"/>
      <c r="AC15" s="634"/>
      <c r="AD15" s="634"/>
      <c r="AE15" s="634"/>
      <c r="AF15" s="634"/>
      <c r="AG15" s="634"/>
      <c r="AH15" s="634"/>
      <c r="AI15" s="634"/>
      <c r="AJ15" s="635"/>
      <c r="CM15" s="9"/>
      <c r="CN15" s="9"/>
      <c r="CO15" s="9"/>
      <c r="CP15" s="9"/>
      <c r="CQ15" s="9"/>
    </row>
    <row r="16" spans="1:95" x14ac:dyDescent="0.2">
      <c r="A16" s="633"/>
      <c r="B16" s="634"/>
      <c r="C16" s="634"/>
      <c r="D16" s="634"/>
      <c r="E16" s="634"/>
      <c r="F16" s="634"/>
      <c r="G16" s="634"/>
      <c r="H16" s="634"/>
      <c r="I16" s="634"/>
      <c r="J16" s="634"/>
      <c r="K16" s="634"/>
      <c r="L16" s="634"/>
      <c r="M16" s="634"/>
      <c r="N16" s="634"/>
      <c r="O16" s="634"/>
      <c r="P16" s="634"/>
      <c r="Q16" s="634"/>
      <c r="R16" s="634"/>
      <c r="S16" s="634"/>
      <c r="T16" s="634"/>
      <c r="U16" s="634"/>
      <c r="V16" s="634"/>
      <c r="W16" s="634"/>
      <c r="X16" s="634"/>
      <c r="Y16" s="634"/>
      <c r="Z16" s="634"/>
      <c r="AA16" s="634"/>
      <c r="AB16" s="634"/>
      <c r="AC16" s="634"/>
      <c r="AD16" s="634"/>
      <c r="AE16" s="634"/>
      <c r="AF16" s="634"/>
      <c r="AG16" s="634"/>
      <c r="AH16" s="634"/>
      <c r="AI16" s="634"/>
      <c r="AJ16" s="635"/>
      <c r="CM16" s="9"/>
      <c r="CN16" s="9"/>
      <c r="CO16" s="9"/>
      <c r="CP16" s="9"/>
      <c r="CQ16" s="9"/>
    </row>
    <row r="17" spans="1:95" x14ac:dyDescent="0.2">
      <c r="A17" s="633"/>
      <c r="B17" s="634"/>
      <c r="C17" s="634"/>
      <c r="D17" s="634"/>
      <c r="E17" s="634"/>
      <c r="F17" s="634"/>
      <c r="G17" s="634"/>
      <c r="H17" s="634"/>
      <c r="I17" s="634"/>
      <c r="J17" s="634"/>
      <c r="K17" s="634"/>
      <c r="L17" s="634"/>
      <c r="M17" s="634"/>
      <c r="N17" s="634"/>
      <c r="O17" s="634"/>
      <c r="P17" s="634"/>
      <c r="Q17" s="634"/>
      <c r="R17" s="634"/>
      <c r="S17" s="634"/>
      <c r="T17" s="634"/>
      <c r="U17" s="634"/>
      <c r="V17" s="634"/>
      <c r="W17" s="634"/>
      <c r="X17" s="634"/>
      <c r="Y17" s="634"/>
      <c r="Z17" s="634"/>
      <c r="AA17" s="634"/>
      <c r="AB17" s="634"/>
      <c r="AC17" s="634"/>
      <c r="AD17" s="634"/>
      <c r="AE17" s="634"/>
      <c r="AF17" s="634"/>
      <c r="AG17" s="634"/>
      <c r="AH17" s="634"/>
      <c r="AI17" s="634"/>
      <c r="AJ17" s="635"/>
      <c r="CM17" s="9"/>
      <c r="CN17" s="9"/>
      <c r="CO17" s="9"/>
      <c r="CP17" s="9"/>
      <c r="CQ17" s="9"/>
    </row>
    <row r="18" spans="1:95" x14ac:dyDescent="0.2">
      <c r="A18" s="633"/>
      <c r="B18" s="634"/>
      <c r="C18" s="634"/>
      <c r="D18" s="634"/>
      <c r="E18" s="634"/>
      <c r="F18" s="634"/>
      <c r="G18" s="634"/>
      <c r="H18" s="634"/>
      <c r="I18" s="634"/>
      <c r="J18" s="634"/>
      <c r="K18" s="634"/>
      <c r="L18" s="634"/>
      <c r="M18" s="634"/>
      <c r="N18" s="634"/>
      <c r="O18" s="634"/>
      <c r="P18" s="634"/>
      <c r="Q18" s="634"/>
      <c r="R18" s="634"/>
      <c r="S18" s="634"/>
      <c r="T18" s="634"/>
      <c r="U18" s="634"/>
      <c r="V18" s="634"/>
      <c r="W18" s="634"/>
      <c r="X18" s="634"/>
      <c r="Y18" s="634"/>
      <c r="Z18" s="634"/>
      <c r="AA18" s="634"/>
      <c r="AB18" s="634"/>
      <c r="AC18" s="634"/>
      <c r="AD18" s="634"/>
      <c r="AE18" s="634"/>
      <c r="AF18" s="634"/>
      <c r="AG18" s="634"/>
      <c r="AH18" s="634"/>
      <c r="AI18" s="634"/>
      <c r="AJ18" s="635"/>
      <c r="CM18" s="9"/>
      <c r="CN18" s="9"/>
      <c r="CO18" s="9"/>
      <c r="CP18" s="9"/>
      <c r="CQ18" s="9"/>
    </row>
    <row r="19" spans="1:95" x14ac:dyDescent="0.2">
      <c r="A19" s="633"/>
      <c r="B19" s="634"/>
      <c r="C19" s="634"/>
      <c r="D19" s="634"/>
      <c r="E19" s="634"/>
      <c r="F19" s="634"/>
      <c r="G19" s="634"/>
      <c r="H19" s="634"/>
      <c r="I19" s="634"/>
      <c r="J19" s="634"/>
      <c r="K19" s="634"/>
      <c r="L19" s="634"/>
      <c r="M19" s="634"/>
      <c r="N19" s="634"/>
      <c r="O19" s="634"/>
      <c r="P19" s="634"/>
      <c r="Q19" s="634"/>
      <c r="R19" s="634"/>
      <c r="S19" s="634"/>
      <c r="T19" s="634"/>
      <c r="U19" s="634"/>
      <c r="V19" s="634"/>
      <c r="W19" s="634"/>
      <c r="X19" s="634"/>
      <c r="Y19" s="634"/>
      <c r="Z19" s="634"/>
      <c r="AA19" s="634"/>
      <c r="AB19" s="634"/>
      <c r="AC19" s="634"/>
      <c r="AD19" s="634"/>
      <c r="AE19" s="634"/>
      <c r="AF19" s="634"/>
      <c r="AG19" s="634"/>
      <c r="AH19" s="634"/>
      <c r="AI19" s="634"/>
      <c r="AJ19" s="635"/>
      <c r="CM19" s="9"/>
      <c r="CN19" s="9"/>
      <c r="CO19" s="9"/>
      <c r="CP19" s="9"/>
      <c r="CQ19" s="9"/>
    </row>
    <row r="20" spans="1:95" x14ac:dyDescent="0.2">
      <c r="A20" s="633"/>
      <c r="B20" s="634"/>
      <c r="C20" s="634"/>
      <c r="D20" s="634"/>
      <c r="E20" s="634"/>
      <c r="F20" s="634"/>
      <c r="G20" s="634"/>
      <c r="H20" s="634"/>
      <c r="I20" s="634"/>
      <c r="J20" s="634"/>
      <c r="K20" s="634"/>
      <c r="L20" s="634"/>
      <c r="M20" s="634"/>
      <c r="N20" s="634"/>
      <c r="O20" s="634"/>
      <c r="P20" s="634"/>
      <c r="Q20" s="634"/>
      <c r="R20" s="634"/>
      <c r="S20" s="634"/>
      <c r="T20" s="634"/>
      <c r="U20" s="634"/>
      <c r="V20" s="634"/>
      <c r="W20" s="634"/>
      <c r="X20" s="634"/>
      <c r="Y20" s="634"/>
      <c r="Z20" s="634"/>
      <c r="AA20" s="634"/>
      <c r="AB20" s="634"/>
      <c r="AC20" s="634"/>
      <c r="AD20" s="634"/>
      <c r="AE20" s="634"/>
      <c r="AF20" s="634"/>
      <c r="AG20" s="634"/>
      <c r="AH20" s="634"/>
      <c r="AI20" s="634"/>
      <c r="AJ20" s="635"/>
      <c r="CM20" s="9"/>
      <c r="CN20" s="9"/>
      <c r="CO20" s="9"/>
      <c r="CP20" s="9"/>
      <c r="CQ20" s="9"/>
    </row>
    <row r="21" spans="1:95" x14ac:dyDescent="0.2">
      <c r="A21" s="633"/>
      <c r="B21" s="634"/>
      <c r="C21" s="634"/>
      <c r="D21" s="634"/>
      <c r="E21" s="634"/>
      <c r="F21" s="634"/>
      <c r="G21" s="634"/>
      <c r="H21" s="634"/>
      <c r="I21" s="634"/>
      <c r="J21" s="634"/>
      <c r="K21" s="634"/>
      <c r="L21" s="634"/>
      <c r="M21" s="634"/>
      <c r="N21" s="634"/>
      <c r="O21" s="634"/>
      <c r="P21" s="634"/>
      <c r="Q21" s="634"/>
      <c r="R21" s="634"/>
      <c r="S21" s="634"/>
      <c r="T21" s="634"/>
      <c r="U21" s="634"/>
      <c r="V21" s="634"/>
      <c r="W21" s="634"/>
      <c r="X21" s="634"/>
      <c r="Y21" s="634"/>
      <c r="Z21" s="634"/>
      <c r="AA21" s="634"/>
      <c r="AB21" s="634"/>
      <c r="AC21" s="634"/>
      <c r="AD21" s="634"/>
      <c r="AE21" s="634"/>
      <c r="AF21" s="634"/>
      <c r="AG21" s="634"/>
      <c r="AH21" s="634"/>
      <c r="AI21" s="634"/>
      <c r="AJ21" s="635"/>
      <c r="CM21" s="9"/>
      <c r="CN21" s="9"/>
      <c r="CO21" s="9"/>
      <c r="CP21" s="9"/>
      <c r="CQ21" s="9"/>
    </row>
    <row r="22" spans="1:95" x14ac:dyDescent="0.2">
      <c r="A22" s="633"/>
      <c r="B22" s="634"/>
      <c r="C22" s="634"/>
      <c r="D22" s="634"/>
      <c r="E22" s="634"/>
      <c r="F22" s="634"/>
      <c r="G22" s="634"/>
      <c r="H22" s="634"/>
      <c r="I22" s="634"/>
      <c r="J22" s="634"/>
      <c r="K22" s="634"/>
      <c r="L22" s="634"/>
      <c r="M22" s="634"/>
      <c r="N22" s="634"/>
      <c r="O22" s="634"/>
      <c r="P22" s="634"/>
      <c r="Q22" s="634"/>
      <c r="R22" s="634"/>
      <c r="S22" s="634"/>
      <c r="T22" s="634"/>
      <c r="U22" s="634"/>
      <c r="V22" s="634"/>
      <c r="W22" s="634"/>
      <c r="X22" s="634"/>
      <c r="Y22" s="634"/>
      <c r="Z22" s="634"/>
      <c r="AA22" s="634"/>
      <c r="AB22" s="634"/>
      <c r="AC22" s="634"/>
      <c r="AD22" s="634"/>
      <c r="AE22" s="634"/>
      <c r="AF22" s="634"/>
      <c r="AG22" s="634"/>
      <c r="AH22" s="634"/>
      <c r="AI22" s="634"/>
      <c r="AJ22" s="635"/>
      <c r="CM22" s="9"/>
      <c r="CN22" s="9"/>
      <c r="CO22" s="9"/>
      <c r="CP22" s="9"/>
      <c r="CQ22" s="9"/>
    </row>
    <row r="23" spans="1:95" x14ac:dyDescent="0.2">
      <c r="A23" s="633"/>
      <c r="B23" s="634"/>
      <c r="C23" s="634"/>
      <c r="D23" s="634"/>
      <c r="E23" s="634"/>
      <c r="F23" s="634"/>
      <c r="G23" s="634"/>
      <c r="H23" s="634"/>
      <c r="I23" s="634"/>
      <c r="J23" s="634"/>
      <c r="K23" s="634"/>
      <c r="L23" s="634"/>
      <c r="M23" s="634"/>
      <c r="N23" s="634"/>
      <c r="O23" s="634"/>
      <c r="P23" s="634"/>
      <c r="Q23" s="634"/>
      <c r="R23" s="634"/>
      <c r="S23" s="634"/>
      <c r="T23" s="634"/>
      <c r="U23" s="634"/>
      <c r="V23" s="634"/>
      <c r="W23" s="634"/>
      <c r="X23" s="634"/>
      <c r="Y23" s="634"/>
      <c r="Z23" s="634"/>
      <c r="AA23" s="634"/>
      <c r="AB23" s="634"/>
      <c r="AC23" s="634"/>
      <c r="AD23" s="634"/>
      <c r="AE23" s="634"/>
      <c r="AF23" s="634"/>
      <c r="AG23" s="634"/>
      <c r="AH23" s="634"/>
      <c r="AI23" s="634"/>
      <c r="AJ23" s="635"/>
      <c r="CM23" s="9"/>
      <c r="CN23" s="9"/>
      <c r="CO23" s="9"/>
      <c r="CP23" s="9"/>
      <c r="CQ23" s="9"/>
    </row>
    <row r="24" spans="1:95" x14ac:dyDescent="0.2">
      <c r="A24" s="633"/>
      <c r="B24" s="634"/>
      <c r="C24" s="634"/>
      <c r="D24" s="634"/>
      <c r="E24" s="634"/>
      <c r="F24" s="634"/>
      <c r="G24" s="634"/>
      <c r="H24" s="634"/>
      <c r="I24" s="634"/>
      <c r="J24" s="634"/>
      <c r="K24" s="634"/>
      <c r="L24" s="634"/>
      <c r="M24" s="634"/>
      <c r="N24" s="634"/>
      <c r="O24" s="634"/>
      <c r="P24" s="634"/>
      <c r="Q24" s="634"/>
      <c r="R24" s="634"/>
      <c r="S24" s="634"/>
      <c r="T24" s="634"/>
      <c r="U24" s="634"/>
      <c r="V24" s="634"/>
      <c r="W24" s="634"/>
      <c r="X24" s="634"/>
      <c r="Y24" s="634"/>
      <c r="Z24" s="634"/>
      <c r="AA24" s="634"/>
      <c r="AB24" s="634"/>
      <c r="AC24" s="634"/>
      <c r="AD24" s="634"/>
      <c r="AE24" s="634"/>
      <c r="AF24" s="634"/>
      <c r="AG24" s="634"/>
      <c r="AH24" s="634"/>
      <c r="AI24" s="634"/>
      <c r="AJ24" s="635"/>
      <c r="CM24" s="9"/>
      <c r="CN24" s="9"/>
      <c r="CO24" s="9"/>
      <c r="CP24" s="9"/>
      <c r="CQ24" s="9"/>
    </row>
    <row r="25" spans="1:95" x14ac:dyDescent="0.2">
      <c r="A25" s="633"/>
      <c r="B25" s="634"/>
      <c r="C25" s="634"/>
      <c r="D25" s="634"/>
      <c r="E25" s="634"/>
      <c r="F25" s="634"/>
      <c r="G25" s="634"/>
      <c r="H25" s="634"/>
      <c r="I25" s="634"/>
      <c r="J25" s="634"/>
      <c r="K25" s="634"/>
      <c r="L25" s="634"/>
      <c r="M25" s="634"/>
      <c r="N25" s="634"/>
      <c r="O25" s="634"/>
      <c r="P25" s="634"/>
      <c r="Q25" s="634"/>
      <c r="R25" s="634"/>
      <c r="S25" s="634"/>
      <c r="T25" s="634"/>
      <c r="U25" s="634"/>
      <c r="V25" s="634"/>
      <c r="W25" s="634"/>
      <c r="X25" s="634"/>
      <c r="Y25" s="634"/>
      <c r="Z25" s="634"/>
      <c r="AA25" s="634"/>
      <c r="AB25" s="634"/>
      <c r="AC25" s="634"/>
      <c r="AD25" s="634"/>
      <c r="AE25" s="634"/>
      <c r="AF25" s="634"/>
      <c r="AG25" s="634"/>
      <c r="AH25" s="634"/>
      <c r="AI25" s="634"/>
      <c r="AJ25" s="635"/>
      <c r="CM25" s="9"/>
      <c r="CN25" s="9"/>
      <c r="CO25" s="9"/>
      <c r="CP25" s="9"/>
      <c r="CQ25" s="9"/>
    </row>
    <row r="26" spans="1:95" x14ac:dyDescent="0.2">
      <c r="A26" s="633"/>
      <c r="B26" s="634"/>
      <c r="C26" s="634"/>
      <c r="D26" s="634"/>
      <c r="E26" s="634"/>
      <c r="F26" s="634"/>
      <c r="G26" s="634"/>
      <c r="H26" s="634"/>
      <c r="I26" s="634"/>
      <c r="J26" s="634"/>
      <c r="K26" s="634"/>
      <c r="L26" s="634"/>
      <c r="M26" s="634"/>
      <c r="N26" s="634"/>
      <c r="O26" s="634"/>
      <c r="P26" s="634"/>
      <c r="Q26" s="634"/>
      <c r="R26" s="634"/>
      <c r="S26" s="634"/>
      <c r="T26" s="634"/>
      <c r="U26" s="634"/>
      <c r="V26" s="634"/>
      <c r="W26" s="634"/>
      <c r="X26" s="634"/>
      <c r="Y26" s="634"/>
      <c r="Z26" s="634"/>
      <c r="AA26" s="634"/>
      <c r="AB26" s="634"/>
      <c r="AC26" s="634"/>
      <c r="AD26" s="634"/>
      <c r="AE26" s="634"/>
      <c r="AF26" s="634"/>
      <c r="AG26" s="634"/>
      <c r="AH26" s="634"/>
      <c r="AI26" s="634"/>
      <c r="AJ26" s="635"/>
      <c r="CM26" s="9"/>
      <c r="CN26" s="9"/>
      <c r="CO26" s="9"/>
      <c r="CP26" s="9"/>
      <c r="CQ26" s="9"/>
    </row>
    <row r="27" spans="1:95" x14ac:dyDescent="0.2">
      <c r="A27" s="633"/>
      <c r="B27" s="634"/>
      <c r="C27" s="634"/>
      <c r="D27" s="634"/>
      <c r="E27" s="634"/>
      <c r="F27" s="634"/>
      <c r="G27" s="634"/>
      <c r="H27" s="634"/>
      <c r="I27" s="634"/>
      <c r="J27" s="634"/>
      <c r="K27" s="634"/>
      <c r="L27" s="634"/>
      <c r="M27" s="634"/>
      <c r="N27" s="634"/>
      <c r="O27" s="634"/>
      <c r="P27" s="634"/>
      <c r="Q27" s="634"/>
      <c r="R27" s="634"/>
      <c r="S27" s="634"/>
      <c r="T27" s="634"/>
      <c r="U27" s="634"/>
      <c r="V27" s="634"/>
      <c r="W27" s="634"/>
      <c r="X27" s="634"/>
      <c r="Y27" s="634"/>
      <c r="Z27" s="634"/>
      <c r="AA27" s="634"/>
      <c r="AB27" s="634"/>
      <c r="AC27" s="634"/>
      <c r="AD27" s="634"/>
      <c r="AE27" s="634"/>
      <c r="AF27" s="634"/>
      <c r="AG27" s="634"/>
      <c r="AH27" s="634"/>
      <c r="AI27" s="634"/>
      <c r="AJ27" s="635"/>
      <c r="CM27" s="9"/>
      <c r="CN27" s="9"/>
      <c r="CO27" s="9"/>
      <c r="CP27" s="9"/>
      <c r="CQ27" s="9"/>
    </row>
    <row r="28" spans="1:95" x14ac:dyDescent="0.2">
      <c r="A28" s="633"/>
      <c r="B28" s="634"/>
      <c r="C28" s="634"/>
      <c r="D28" s="634"/>
      <c r="E28" s="634"/>
      <c r="F28" s="634"/>
      <c r="G28" s="634"/>
      <c r="H28" s="634"/>
      <c r="I28" s="634"/>
      <c r="J28" s="634"/>
      <c r="K28" s="634"/>
      <c r="L28" s="634"/>
      <c r="M28" s="634"/>
      <c r="N28" s="634"/>
      <c r="O28" s="634"/>
      <c r="P28" s="634"/>
      <c r="Q28" s="634"/>
      <c r="R28" s="634"/>
      <c r="S28" s="634"/>
      <c r="T28" s="634"/>
      <c r="U28" s="634"/>
      <c r="V28" s="634"/>
      <c r="W28" s="634"/>
      <c r="X28" s="634"/>
      <c r="Y28" s="634"/>
      <c r="Z28" s="634"/>
      <c r="AA28" s="634"/>
      <c r="AB28" s="634"/>
      <c r="AC28" s="634"/>
      <c r="AD28" s="634"/>
      <c r="AE28" s="634"/>
      <c r="AF28" s="634"/>
      <c r="AG28" s="634"/>
      <c r="AH28" s="634"/>
      <c r="AI28" s="634"/>
      <c r="AJ28" s="635"/>
      <c r="CM28" s="9"/>
      <c r="CN28" s="9"/>
      <c r="CO28" s="9"/>
      <c r="CP28" s="9"/>
      <c r="CQ28" s="9"/>
    </row>
    <row r="29" spans="1:95" x14ac:dyDescent="0.2">
      <c r="A29" s="633"/>
      <c r="B29" s="634"/>
      <c r="C29" s="634"/>
      <c r="D29" s="634"/>
      <c r="E29" s="634"/>
      <c r="F29" s="634"/>
      <c r="G29" s="634"/>
      <c r="H29" s="634"/>
      <c r="I29" s="634"/>
      <c r="J29" s="634"/>
      <c r="K29" s="634"/>
      <c r="L29" s="634"/>
      <c r="M29" s="634"/>
      <c r="N29" s="634"/>
      <c r="O29" s="634"/>
      <c r="P29" s="634"/>
      <c r="Q29" s="634"/>
      <c r="R29" s="634"/>
      <c r="S29" s="634"/>
      <c r="T29" s="634"/>
      <c r="U29" s="634"/>
      <c r="V29" s="634"/>
      <c r="W29" s="634"/>
      <c r="X29" s="634"/>
      <c r="Y29" s="634"/>
      <c r="Z29" s="634"/>
      <c r="AA29" s="634"/>
      <c r="AB29" s="634"/>
      <c r="AC29" s="634"/>
      <c r="AD29" s="634"/>
      <c r="AE29" s="634"/>
      <c r="AF29" s="634"/>
      <c r="AG29" s="634"/>
      <c r="AH29" s="634"/>
      <c r="AI29" s="634"/>
      <c r="AJ29" s="635"/>
      <c r="CM29" s="9"/>
      <c r="CN29" s="9"/>
      <c r="CO29" s="9"/>
      <c r="CP29" s="9"/>
      <c r="CQ29" s="9"/>
    </row>
    <row r="30" spans="1:95" x14ac:dyDescent="0.2">
      <c r="A30" s="633"/>
      <c r="B30" s="634"/>
      <c r="C30" s="634"/>
      <c r="D30" s="634"/>
      <c r="E30" s="634"/>
      <c r="F30" s="634"/>
      <c r="G30" s="634"/>
      <c r="H30" s="634"/>
      <c r="I30" s="634"/>
      <c r="J30" s="634"/>
      <c r="K30" s="634"/>
      <c r="L30" s="634"/>
      <c r="M30" s="634"/>
      <c r="N30" s="634"/>
      <c r="O30" s="634"/>
      <c r="P30" s="634"/>
      <c r="Q30" s="634"/>
      <c r="R30" s="634"/>
      <c r="S30" s="634"/>
      <c r="T30" s="634"/>
      <c r="U30" s="634"/>
      <c r="V30" s="634"/>
      <c r="W30" s="634"/>
      <c r="X30" s="634"/>
      <c r="Y30" s="634"/>
      <c r="Z30" s="634"/>
      <c r="AA30" s="634"/>
      <c r="AB30" s="634"/>
      <c r="AC30" s="634"/>
      <c r="AD30" s="634"/>
      <c r="AE30" s="634"/>
      <c r="AF30" s="634"/>
      <c r="AG30" s="634"/>
      <c r="AH30" s="634"/>
      <c r="AI30" s="634"/>
      <c r="AJ30" s="635"/>
      <c r="CM30" s="9"/>
      <c r="CN30" s="9"/>
      <c r="CO30" s="9"/>
      <c r="CP30" s="9"/>
      <c r="CQ30" s="9"/>
    </row>
    <row r="31" spans="1:95" x14ac:dyDescent="0.2">
      <c r="A31" s="633"/>
      <c r="B31" s="634"/>
      <c r="C31" s="634"/>
      <c r="D31" s="634"/>
      <c r="E31" s="634"/>
      <c r="F31" s="634"/>
      <c r="G31" s="634"/>
      <c r="H31" s="634"/>
      <c r="I31" s="634"/>
      <c r="J31" s="634"/>
      <c r="K31" s="634"/>
      <c r="L31" s="634"/>
      <c r="M31" s="634"/>
      <c r="N31" s="634"/>
      <c r="O31" s="634"/>
      <c r="P31" s="634"/>
      <c r="Q31" s="634"/>
      <c r="R31" s="634"/>
      <c r="S31" s="634"/>
      <c r="T31" s="634"/>
      <c r="U31" s="634"/>
      <c r="V31" s="634"/>
      <c r="W31" s="634"/>
      <c r="X31" s="634"/>
      <c r="Y31" s="634"/>
      <c r="Z31" s="634"/>
      <c r="AA31" s="634"/>
      <c r="AB31" s="634"/>
      <c r="AC31" s="634"/>
      <c r="AD31" s="634"/>
      <c r="AE31" s="634"/>
      <c r="AF31" s="634"/>
      <c r="AG31" s="634"/>
      <c r="AH31" s="634"/>
      <c r="AI31" s="634"/>
      <c r="AJ31" s="635"/>
      <c r="CM31" s="9"/>
      <c r="CN31" s="9"/>
      <c r="CO31" s="9"/>
      <c r="CP31" s="9"/>
      <c r="CQ31" s="9"/>
    </row>
    <row r="32" spans="1:95" x14ac:dyDescent="0.2">
      <c r="A32" s="633"/>
      <c r="B32" s="634"/>
      <c r="C32" s="634"/>
      <c r="D32" s="634"/>
      <c r="E32" s="634"/>
      <c r="F32" s="634"/>
      <c r="G32" s="634"/>
      <c r="H32" s="634"/>
      <c r="I32" s="634"/>
      <c r="J32" s="634"/>
      <c r="K32" s="634"/>
      <c r="L32" s="634"/>
      <c r="M32" s="634"/>
      <c r="N32" s="634"/>
      <c r="O32" s="634"/>
      <c r="P32" s="634"/>
      <c r="Q32" s="634"/>
      <c r="R32" s="634"/>
      <c r="S32" s="634"/>
      <c r="T32" s="634"/>
      <c r="U32" s="634"/>
      <c r="V32" s="634"/>
      <c r="W32" s="634"/>
      <c r="X32" s="634"/>
      <c r="Y32" s="634"/>
      <c r="Z32" s="634"/>
      <c r="AA32" s="634"/>
      <c r="AB32" s="634"/>
      <c r="AC32" s="634"/>
      <c r="AD32" s="634"/>
      <c r="AE32" s="634"/>
      <c r="AF32" s="634"/>
      <c r="AG32" s="634"/>
      <c r="AH32" s="634"/>
      <c r="AI32" s="634"/>
      <c r="AJ32" s="635"/>
      <c r="CM32" s="9"/>
      <c r="CN32" s="9"/>
      <c r="CO32" s="9"/>
      <c r="CP32" s="9"/>
      <c r="CQ32" s="9"/>
    </row>
    <row r="33" spans="1:95" x14ac:dyDescent="0.2">
      <c r="A33" s="633"/>
      <c r="B33" s="634"/>
      <c r="C33" s="634"/>
      <c r="D33" s="634"/>
      <c r="E33" s="634"/>
      <c r="F33" s="634"/>
      <c r="G33" s="634"/>
      <c r="H33" s="634"/>
      <c r="I33" s="634"/>
      <c r="J33" s="634"/>
      <c r="K33" s="634"/>
      <c r="L33" s="634"/>
      <c r="M33" s="634"/>
      <c r="N33" s="634"/>
      <c r="O33" s="634"/>
      <c r="P33" s="634"/>
      <c r="Q33" s="634"/>
      <c r="R33" s="634"/>
      <c r="S33" s="634"/>
      <c r="T33" s="634"/>
      <c r="U33" s="634"/>
      <c r="V33" s="634"/>
      <c r="W33" s="634"/>
      <c r="X33" s="634"/>
      <c r="Y33" s="634"/>
      <c r="Z33" s="634"/>
      <c r="AA33" s="634"/>
      <c r="AB33" s="634"/>
      <c r="AC33" s="634"/>
      <c r="AD33" s="634"/>
      <c r="AE33" s="634"/>
      <c r="AF33" s="634"/>
      <c r="AG33" s="634"/>
      <c r="AH33" s="634"/>
      <c r="AI33" s="634"/>
      <c r="AJ33" s="635"/>
      <c r="CM33" s="9"/>
      <c r="CN33" s="9"/>
      <c r="CO33" s="9"/>
      <c r="CP33" s="9"/>
      <c r="CQ33" s="9"/>
    </row>
    <row r="34" spans="1:95" x14ac:dyDescent="0.2">
      <c r="A34" s="633"/>
      <c r="B34" s="634"/>
      <c r="C34" s="634"/>
      <c r="D34" s="634"/>
      <c r="E34" s="634"/>
      <c r="F34" s="634"/>
      <c r="G34" s="634"/>
      <c r="H34" s="634"/>
      <c r="I34" s="634"/>
      <c r="J34" s="634"/>
      <c r="K34" s="634"/>
      <c r="L34" s="634"/>
      <c r="M34" s="634"/>
      <c r="N34" s="634"/>
      <c r="O34" s="634"/>
      <c r="P34" s="634"/>
      <c r="Q34" s="634"/>
      <c r="R34" s="634"/>
      <c r="S34" s="634"/>
      <c r="T34" s="634"/>
      <c r="U34" s="634"/>
      <c r="V34" s="634"/>
      <c r="W34" s="634"/>
      <c r="X34" s="634"/>
      <c r="Y34" s="634"/>
      <c r="Z34" s="634"/>
      <c r="AA34" s="634"/>
      <c r="AB34" s="634"/>
      <c r="AC34" s="634"/>
      <c r="AD34" s="634"/>
      <c r="AE34" s="634"/>
      <c r="AF34" s="634"/>
      <c r="AG34" s="634"/>
      <c r="AH34" s="634"/>
      <c r="AI34" s="634"/>
      <c r="AJ34" s="635"/>
      <c r="CM34" s="9"/>
      <c r="CN34" s="9"/>
      <c r="CO34" s="9"/>
      <c r="CP34" s="9"/>
      <c r="CQ34" s="9"/>
    </row>
    <row r="35" spans="1:95" x14ac:dyDescent="0.2">
      <c r="A35" s="633"/>
      <c r="B35" s="634"/>
      <c r="C35" s="634"/>
      <c r="D35" s="634"/>
      <c r="E35" s="634"/>
      <c r="F35" s="634"/>
      <c r="G35" s="634"/>
      <c r="H35" s="634"/>
      <c r="I35" s="634"/>
      <c r="J35" s="634"/>
      <c r="K35" s="634"/>
      <c r="L35" s="634"/>
      <c r="M35" s="634"/>
      <c r="N35" s="634"/>
      <c r="O35" s="634"/>
      <c r="P35" s="634"/>
      <c r="Q35" s="634"/>
      <c r="R35" s="634"/>
      <c r="S35" s="634"/>
      <c r="T35" s="634"/>
      <c r="U35" s="634"/>
      <c r="V35" s="634"/>
      <c r="W35" s="634"/>
      <c r="X35" s="634"/>
      <c r="Y35" s="634"/>
      <c r="Z35" s="634"/>
      <c r="AA35" s="634"/>
      <c r="AB35" s="634"/>
      <c r="AC35" s="634"/>
      <c r="AD35" s="634"/>
      <c r="AE35" s="634"/>
      <c r="AF35" s="634"/>
      <c r="AG35" s="634"/>
      <c r="AH35" s="634"/>
      <c r="AI35" s="634"/>
      <c r="AJ35" s="635"/>
      <c r="CM35" s="9"/>
      <c r="CN35" s="9"/>
      <c r="CO35" s="9"/>
      <c r="CP35" s="9"/>
      <c r="CQ35" s="9"/>
    </row>
    <row r="36" spans="1:95" x14ac:dyDescent="0.2">
      <c r="A36" s="633"/>
      <c r="B36" s="634"/>
      <c r="C36" s="634"/>
      <c r="D36" s="634"/>
      <c r="E36" s="634"/>
      <c r="F36" s="634"/>
      <c r="G36" s="634"/>
      <c r="H36" s="634"/>
      <c r="I36" s="634"/>
      <c r="J36" s="634"/>
      <c r="K36" s="634"/>
      <c r="L36" s="634"/>
      <c r="M36" s="634"/>
      <c r="N36" s="634"/>
      <c r="O36" s="634"/>
      <c r="P36" s="634"/>
      <c r="Q36" s="634"/>
      <c r="R36" s="634"/>
      <c r="S36" s="634"/>
      <c r="T36" s="634"/>
      <c r="U36" s="634"/>
      <c r="V36" s="634"/>
      <c r="W36" s="634"/>
      <c r="X36" s="634"/>
      <c r="Y36" s="634"/>
      <c r="Z36" s="634"/>
      <c r="AA36" s="634"/>
      <c r="AB36" s="634"/>
      <c r="AC36" s="634"/>
      <c r="AD36" s="634"/>
      <c r="AE36" s="634"/>
      <c r="AF36" s="634"/>
      <c r="AG36" s="634"/>
      <c r="AH36" s="634"/>
      <c r="AI36" s="634"/>
      <c r="AJ36" s="635"/>
      <c r="CM36" s="9"/>
      <c r="CN36" s="9"/>
      <c r="CO36" s="9"/>
      <c r="CP36" s="9"/>
      <c r="CQ36" s="9"/>
    </row>
    <row r="37" spans="1:95" x14ac:dyDescent="0.2">
      <c r="A37" s="633"/>
      <c r="B37" s="634"/>
      <c r="C37" s="634"/>
      <c r="D37" s="634"/>
      <c r="E37" s="634"/>
      <c r="F37" s="634"/>
      <c r="G37" s="634"/>
      <c r="H37" s="634"/>
      <c r="I37" s="634"/>
      <c r="J37" s="634"/>
      <c r="K37" s="634"/>
      <c r="L37" s="634"/>
      <c r="M37" s="634"/>
      <c r="N37" s="634"/>
      <c r="O37" s="634"/>
      <c r="P37" s="634"/>
      <c r="Q37" s="634"/>
      <c r="R37" s="634"/>
      <c r="S37" s="634"/>
      <c r="T37" s="634"/>
      <c r="U37" s="634"/>
      <c r="V37" s="634"/>
      <c r="W37" s="634"/>
      <c r="X37" s="634"/>
      <c r="Y37" s="634"/>
      <c r="Z37" s="634"/>
      <c r="AA37" s="634"/>
      <c r="AB37" s="634"/>
      <c r="AC37" s="634"/>
      <c r="AD37" s="634"/>
      <c r="AE37" s="634"/>
      <c r="AF37" s="634"/>
      <c r="AG37" s="634"/>
      <c r="AH37" s="634"/>
      <c r="AI37" s="634"/>
      <c r="AJ37" s="635"/>
      <c r="CM37" s="9"/>
      <c r="CN37" s="9"/>
      <c r="CO37" s="9"/>
      <c r="CP37" s="9"/>
      <c r="CQ37" s="9"/>
    </row>
    <row r="38" spans="1:95" x14ac:dyDescent="0.2">
      <c r="A38" s="633"/>
      <c r="B38" s="634"/>
      <c r="C38" s="634"/>
      <c r="D38" s="634"/>
      <c r="E38" s="634"/>
      <c r="F38" s="634"/>
      <c r="G38" s="634"/>
      <c r="H38" s="634"/>
      <c r="I38" s="634"/>
      <c r="J38" s="634"/>
      <c r="K38" s="634"/>
      <c r="L38" s="634"/>
      <c r="M38" s="634"/>
      <c r="N38" s="634"/>
      <c r="O38" s="634"/>
      <c r="P38" s="634"/>
      <c r="Q38" s="634"/>
      <c r="R38" s="634"/>
      <c r="S38" s="634"/>
      <c r="T38" s="634"/>
      <c r="U38" s="634"/>
      <c r="V38" s="634"/>
      <c r="W38" s="634"/>
      <c r="X38" s="634"/>
      <c r="Y38" s="634"/>
      <c r="Z38" s="634"/>
      <c r="AA38" s="634"/>
      <c r="AB38" s="634"/>
      <c r="AC38" s="634"/>
      <c r="AD38" s="634"/>
      <c r="AE38" s="634"/>
      <c r="AF38" s="634"/>
      <c r="AG38" s="634"/>
      <c r="AH38" s="634"/>
      <c r="AI38" s="634"/>
      <c r="AJ38" s="635"/>
      <c r="CM38" s="9"/>
      <c r="CN38" s="9"/>
      <c r="CO38" s="9"/>
      <c r="CP38" s="9"/>
      <c r="CQ38" s="9"/>
    </row>
    <row r="39" spans="1:95" x14ac:dyDescent="0.2">
      <c r="A39" s="633"/>
      <c r="B39" s="634"/>
      <c r="C39" s="634"/>
      <c r="D39" s="634"/>
      <c r="E39" s="634"/>
      <c r="F39" s="634"/>
      <c r="G39" s="634"/>
      <c r="H39" s="634"/>
      <c r="I39" s="634"/>
      <c r="J39" s="634"/>
      <c r="K39" s="634"/>
      <c r="L39" s="634"/>
      <c r="M39" s="634"/>
      <c r="N39" s="634"/>
      <c r="O39" s="634"/>
      <c r="P39" s="634"/>
      <c r="Q39" s="634"/>
      <c r="R39" s="634"/>
      <c r="S39" s="634"/>
      <c r="T39" s="634"/>
      <c r="U39" s="634"/>
      <c r="V39" s="634"/>
      <c r="W39" s="634"/>
      <c r="X39" s="634"/>
      <c r="Y39" s="634"/>
      <c r="Z39" s="634"/>
      <c r="AA39" s="634"/>
      <c r="AB39" s="634"/>
      <c r="AC39" s="634"/>
      <c r="AD39" s="634"/>
      <c r="AE39" s="634"/>
      <c r="AF39" s="634"/>
      <c r="AG39" s="634"/>
      <c r="AH39" s="634"/>
      <c r="AI39" s="634"/>
      <c r="AJ39" s="635"/>
      <c r="CM39" s="9"/>
      <c r="CN39" s="9"/>
      <c r="CO39" s="9"/>
      <c r="CP39" s="9"/>
      <c r="CQ39" s="9"/>
    </row>
    <row r="40" spans="1:95" x14ac:dyDescent="0.2">
      <c r="A40" s="633"/>
      <c r="B40" s="634"/>
      <c r="C40" s="634"/>
      <c r="D40" s="634"/>
      <c r="E40" s="634"/>
      <c r="F40" s="634"/>
      <c r="G40" s="634"/>
      <c r="H40" s="634"/>
      <c r="I40" s="634"/>
      <c r="J40" s="634"/>
      <c r="K40" s="634"/>
      <c r="L40" s="634"/>
      <c r="M40" s="634"/>
      <c r="N40" s="634"/>
      <c r="O40" s="634"/>
      <c r="P40" s="634"/>
      <c r="Q40" s="634"/>
      <c r="R40" s="634"/>
      <c r="S40" s="634"/>
      <c r="T40" s="634"/>
      <c r="U40" s="634"/>
      <c r="V40" s="634"/>
      <c r="W40" s="634"/>
      <c r="X40" s="634"/>
      <c r="Y40" s="634"/>
      <c r="Z40" s="634"/>
      <c r="AA40" s="634"/>
      <c r="AB40" s="634"/>
      <c r="AC40" s="634"/>
      <c r="AD40" s="634"/>
      <c r="AE40" s="634"/>
      <c r="AF40" s="634"/>
      <c r="AG40" s="634"/>
      <c r="AH40" s="634"/>
      <c r="AI40" s="634"/>
      <c r="AJ40" s="635"/>
      <c r="CM40" s="9"/>
      <c r="CN40" s="9"/>
      <c r="CO40" s="9"/>
      <c r="CP40" s="9"/>
      <c r="CQ40" s="9"/>
    </row>
    <row r="41" spans="1:95" x14ac:dyDescent="0.2">
      <c r="A41" s="633"/>
      <c r="B41" s="634"/>
      <c r="C41" s="634"/>
      <c r="D41" s="634"/>
      <c r="E41" s="634"/>
      <c r="F41" s="634"/>
      <c r="G41" s="634"/>
      <c r="H41" s="634"/>
      <c r="I41" s="634"/>
      <c r="J41" s="634"/>
      <c r="K41" s="634"/>
      <c r="L41" s="634"/>
      <c r="M41" s="634"/>
      <c r="N41" s="634"/>
      <c r="O41" s="634"/>
      <c r="P41" s="634"/>
      <c r="Q41" s="634"/>
      <c r="R41" s="634"/>
      <c r="S41" s="634"/>
      <c r="T41" s="634"/>
      <c r="U41" s="634"/>
      <c r="V41" s="634"/>
      <c r="W41" s="634"/>
      <c r="X41" s="634"/>
      <c r="Y41" s="634"/>
      <c r="Z41" s="634"/>
      <c r="AA41" s="634"/>
      <c r="AB41" s="634"/>
      <c r="AC41" s="634"/>
      <c r="AD41" s="634"/>
      <c r="AE41" s="634"/>
      <c r="AF41" s="634"/>
      <c r="AG41" s="634"/>
      <c r="AH41" s="634"/>
      <c r="AI41" s="634"/>
      <c r="AJ41" s="635"/>
      <c r="CM41" s="9"/>
      <c r="CN41" s="9"/>
      <c r="CO41" s="9"/>
      <c r="CP41" s="9"/>
      <c r="CQ41" s="9"/>
    </row>
    <row r="42" spans="1:95" x14ac:dyDescent="0.2">
      <c r="A42" s="633"/>
      <c r="B42" s="634"/>
      <c r="C42" s="634"/>
      <c r="D42" s="634"/>
      <c r="E42" s="634"/>
      <c r="F42" s="634"/>
      <c r="G42" s="634"/>
      <c r="H42" s="634"/>
      <c r="I42" s="634"/>
      <c r="J42" s="634"/>
      <c r="K42" s="634"/>
      <c r="L42" s="634"/>
      <c r="M42" s="634"/>
      <c r="N42" s="634"/>
      <c r="O42" s="634"/>
      <c r="P42" s="634"/>
      <c r="Q42" s="634"/>
      <c r="R42" s="634"/>
      <c r="S42" s="634"/>
      <c r="T42" s="634"/>
      <c r="U42" s="634"/>
      <c r="V42" s="634"/>
      <c r="W42" s="634"/>
      <c r="X42" s="634"/>
      <c r="Y42" s="634"/>
      <c r="Z42" s="634"/>
      <c r="AA42" s="634"/>
      <c r="AB42" s="634"/>
      <c r="AC42" s="634"/>
      <c r="AD42" s="634"/>
      <c r="AE42" s="634"/>
      <c r="AF42" s="634"/>
      <c r="AG42" s="634"/>
      <c r="AH42" s="634"/>
      <c r="AI42" s="634"/>
      <c r="AJ42" s="635"/>
      <c r="CM42" s="9"/>
      <c r="CN42" s="9"/>
      <c r="CO42" s="9"/>
      <c r="CP42" s="9"/>
      <c r="CQ42" s="9"/>
    </row>
    <row r="43" spans="1:95" x14ac:dyDescent="0.2">
      <c r="A43" s="633"/>
      <c r="B43" s="634"/>
      <c r="C43" s="634"/>
      <c r="D43" s="634"/>
      <c r="E43" s="634"/>
      <c r="F43" s="634"/>
      <c r="G43" s="634"/>
      <c r="H43" s="634"/>
      <c r="I43" s="634"/>
      <c r="J43" s="634"/>
      <c r="K43" s="634"/>
      <c r="L43" s="634"/>
      <c r="M43" s="634"/>
      <c r="N43" s="634"/>
      <c r="O43" s="634"/>
      <c r="P43" s="634"/>
      <c r="Q43" s="634"/>
      <c r="R43" s="634"/>
      <c r="S43" s="634"/>
      <c r="T43" s="634"/>
      <c r="U43" s="634"/>
      <c r="V43" s="634"/>
      <c r="W43" s="634"/>
      <c r="X43" s="634"/>
      <c r="Y43" s="634"/>
      <c r="Z43" s="634"/>
      <c r="AA43" s="634"/>
      <c r="AB43" s="634"/>
      <c r="AC43" s="634"/>
      <c r="AD43" s="634"/>
      <c r="AE43" s="634"/>
      <c r="AF43" s="634"/>
      <c r="AG43" s="634"/>
      <c r="AH43" s="634"/>
      <c r="AI43" s="634"/>
      <c r="AJ43" s="635"/>
      <c r="CM43" s="9"/>
      <c r="CN43" s="9"/>
      <c r="CO43" s="9"/>
      <c r="CP43" s="9"/>
      <c r="CQ43" s="9"/>
    </row>
    <row r="44" spans="1:95" x14ac:dyDescent="0.2">
      <c r="A44" s="633"/>
      <c r="B44" s="634"/>
      <c r="C44" s="634"/>
      <c r="D44" s="634"/>
      <c r="E44" s="634"/>
      <c r="F44" s="634"/>
      <c r="G44" s="634"/>
      <c r="H44" s="634"/>
      <c r="I44" s="634"/>
      <c r="J44" s="634"/>
      <c r="K44" s="634"/>
      <c r="L44" s="634"/>
      <c r="M44" s="634"/>
      <c r="N44" s="634"/>
      <c r="O44" s="634"/>
      <c r="P44" s="634"/>
      <c r="Q44" s="634"/>
      <c r="R44" s="634"/>
      <c r="S44" s="634"/>
      <c r="T44" s="634"/>
      <c r="U44" s="634"/>
      <c r="V44" s="634"/>
      <c r="W44" s="634"/>
      <c r="X44" s="634"/>
      <c r="Y44" s="634"/>
      <c r="Z44" s="634"/>
      <c r="AA44" s="634"/>
      <c r="AB44" s="634"/>
      <c r="AC44" s="634"/>
      <c r="AD44" s="634"/>
      <c r="AE44" s="634"/>
      <c r="AF44" s="634"/>
      <c r="AG44" s="634"/>
      <c r="AH44" s="634"/>
      <c r="AI44" s="634"/>
      <c r="AJ44" s="635"/>
      <c r="CM44" s="9"/>
      <c r="CN44" s="9"/>
      <c r="CO44" s="9"/>
      <c r="CP44" s="9"/>
      <c r="CQ44" s="9"/>
    </row>
    <row r="45" spans="1:95" x14ac:dyDescent="0.2">
      <c r="A45" s="633"/>
      <c r="B45" s="634"/>
      <c r="C45" s="634"/>
      <c r="D45" s="634"/>
      <c r="E45" s="634"/>
      <c r="F45" s="634"/>
      <c r="G45" s="634"/>
      <c r="H45" s="634"/>
      <c r="I45" s="634"/>
      <c r="J45" s="634"/>
      <c r="K45" s="634"/>
      <c r="L45" s="634"/>
      <c r="M45" s="634"/>
      <c r="N45" s="634"/>
      <c r="O45" s="634"/>
      <c r="P45" s="634"/>
      <c r="Q45" s="634"/>
      <c r="R45" s="634"/>
      <c r="S45" s="634"/>
      <c r="T45" s="634"/>
      <c r="U45" s="634"/>
      <c r="V45" s="634"/>
      <c r="W45" s="634"/>
      <c r="X45" s="634"/>
      <c r="Y45" s="634"/>
      <c r="Z45" s="634"/>
      <c r="AA45" s="634"/>
      <c r="AB45" s="634"/>
      <c r="AC45" s="634"/>
      <c r="AD45" s="634"/>
      <c r="AE45" s="634"/>
      <c r="AF45" s="634"/>
      <c r="AG45" s="634"/>
      <c r="AH45" s="634"/>
      <c r="AI45" s="634"/>
      <c r="AJ45" s="635"/>
      <c r="CM45" s="9"/>
      <c r="CN45" s="9"/>
      <c r="CO45" s="9"/>
      <c r="CP45" s="9"/>
      <c r="CQ45" s="9"/>
    </row>
    <row r="46" spans="1:95" x14ac:dyDescent="0.2">
      <c r="A46" s="633"/>
      <c r="B46" s="634"/>
      <c r="C46" s="634"/>
      <c r="D46" s="634"/>
      <c r="E46" s="634"/>
      <c r="F46" s="634"/>
      <c r="G46" s="634"/>
      <c r="H46" s="634"/>
      <c r="I46" s="634"/>
      <c r="J46" s="634"/>
      <c r="K46" s="634"/>
      <c r="L46" s="634"/>
      <c r="M46" s="634"/>
      <c r="N46" s="634"/>
      <c r="O46" s="634"/>
      <c r="P46" s="634"/>
      <c r="Q46" s="634"/>
      <c r="R46" s="634"/>
      <c r="S46" s="634"/>
      <c r="T46" s="634"/>
      <c r="U46" s="634"/>
      <c r="V46" s="634"/>
      <c r="W46" s="634"/>
      <c r="X46" s="634"/>
      <c r="Y46" s="634"/>
      <c r="Z46" s="634"/>
      <c r="AA46" s="634"/>
      <c r="AB46" s="634"/>
      <c r="AC46" s="634"/>
      <c r="AD46" s="634"/>
      <c r="AE46" s="634"/>
      <c r="AF46" s="634"/>
      <c r="AG46" s="634"/>
      <c r="AH46" s="634"/>
      <c r="AI46" s="634"/>
      <c r="AJ46" s="635"/>
      <c r="CM46" s="9"/>
      <c r="CN46" s="9"/>
      <c r="CO46" s="9"/>
      <c r="CP46" s="9"/>
      <c r="CQ46" s="9"/>
    </row>
    <row r="47" spans="1:95" x14ac:dyDescent="0.2">
      <c r="A47" s="633"/>
      <c r="B47" s="634"/>
      <c r="C47" s="634"/>
      <c r="D47" s="634"/>
      <c r="E47" s="634"/>
      <c r="F47" s="634"/>
      <c r="G47" s="634"/>
      <c r="H47" s="634"/>
      <c r="I47" s="634"/>
      <c r="J47" s="634"/>
      <c r="K47" s="634"/>
      <c r="L47" s="634"/>
      <c r="M47" s="634"/>
      <c r="N47" s="634"/>
      <c r="O47" s="634"/>
      <c r="P47" s="634"/>
      <c r="Q47" s="634"/>
      <c r="R47" s="634"/>
      <c r="S47" s="634"/>
      <c r="T47" s="634"/>
      <c r="U47" s="634"/>
      <c r="V47" s="634"/>
      <c r="W47" s="634"/>
      <c r="X47" s="634"/>
      <c r="Y47" s="634"/>
      <c r="Z47" s="634"/>
      <c r="AA47" s="634"/>
      <c r="AB47" s="634"/>
      <c r="AC47" s="634"/>
      <c r="AD47" s="634"/>
      <c r="AE47" s="634"/>
      <c r="AF47" s="634"/>
      <c r="AG47" s="634"/>
      <c r="AH47" s="634"/>
      <c r="AI47" s="634"/>
      <c r="AJ47" s="635"/>
      <c r="CM47" s="9"/>
      <c r="CN47" s="9"/>
      <c r="CO47" s="9"/>
      <c r="CP47" s="9"/>
      <c r="CQ47" s="9"/>
    </row>
    <row r="48" spans="1:95" x14ac:dyDescent="0.2">
      <c r="A48" s="633"/>
      <c r="B48" s="634"/>
      <c r="C48" s="634"/>
      <c r="D48" s="634"/>
      <c r="E48" s="634"/>
      <c r="F48" s="634"/>
      <c r="G48" s="634"/>
      <c r="H48" s="634"/>
      <c r="I48" s="634"/>
      <c r="J48" s="634"/>
      <c r="K48" s="634"/>
      <c r="L48" s="634"/>
      <c r="M48" s="634"/>
      <c r="N48" s="634"/>
      <c r="O48" s="634"/>
      <c r="P48" s="634"/>
      <c r="Q48" s="634"/>
      <c r="R48" s="634"/>
      <c r="S48" s="634"/>
      <c r="T48" s="634"/>
      <c r="U48" s="634"/>
      <c r="V48" s="634"/>
      <c r="W48" s="634"/>
      <c r="X48" s="634"/>
      <c r="Y48" s="634"/>
      <c r="Z48" s="634"/>
      <c r="AA48" s="634"/>
      <c r="AB48" s="634"/>
      <c r="AC48" s="634"/>
      <c r="AD48" s="634"/>
      <c r="AE48" s="634"/>
      <c r="AF48" s="634"/>
      <c r="AG48" s="634"/>
      <c r="AH48" s="634"/>
      <c r="AI48" s="634"/>
      <c r="AJ48" s="635"/>
      <c r="CM48" s="9"/>
      <c r="CN48" s="9"/>
      <c r="CO48" s="9"/>
      <c r="CP48" s="9"/>
      <c r="CQ48" s="9"/>
    </row>
    <row r="49" spans="1:95" x14ac:dyDescent="0.2">
      <c r="A49" s="633"/>
      <c r="B49" s="634"/>
      <c r="C49" s="634"/>
      <c r="D49" s="634"/>
      <c r="E49" s="634"/>
      <c r="F49" s="634"/>
      <c r="G49" s="634"/>
      <c r="H49" s="634"/>
      <c r="I49" s="634"/>
      <c r="J49" s="634"/>
      <c r="K49" s="634"/>
      <c r="L49" s="634"/>
      <c r="M49" s="634"/>
      <c r="N49" s="634"/>
      <c r="O49" s="634"/>
      <c r="P49" s="634"/>
      <c r="Q49" s="634"/>
      <c r="R49" s="634"/>
      <c r="S49" s="634"/>
      <c r="T49" s="634"/>
      <c r="U49" s="634"/>
      <c r="V49" s="634"/>
      <c r="W49" s="634"/>
      <c r="X49" s="634"/>
      <c r="Y49" s="634"/>
      <c r="Z49" s="634"/>
      <c r="AA49" s="634"/>
      <c r="AB49" s="634"/>
      <c r="AC49" s="634"/>
      <c r="AD49" s="634"/>
      <c r="AE49" s="634"/>
      <c r="AF49" s="634"/>
      <c r="AG49" s="634"/>
      <c r="AH49" s="634"/>
      <c r="AI49" s="634"/>
      <c r="AJ49" s="635"/>
      <c r="CM49" s="9"/>
      <c r="CN49" s="9"/>
      <c r="CO49" s="9"/>
      <c r="CP49" s="9"/>
      <c r="CQ49" s="9"/>
    </row>
    <row r="50" spans="1:95" x14ac:dyDescent="0.2">
      <c r="A50" s="633"/>
      <c r="B50" s="634"/>
      <c r="C50" s="634"/>
      <c r="D50" s="634"/>
      <c r="E50" s="634"/>
      <c r="F50" s="634"/>
      <c r="G50" s="634"/>
      <c r="H50" s="634"/>
      <c r="I50" s="634"/>
      <c r="J50" s="634"/>
      <c r="K50" s="634"/>
      <c r="L50" s="634"/>
      <c r="M50" s="634"/>
      <c r="N50" s="634"/>
      <c r="O50" s="634"/>
      <c r="P50" s="634"/>
      <c r="Q50" s="634"/>
      <c r="R50" s="634"/>
      <c r="S50" s="634"/>
      <c r="T50" s="634"/>
      <c r="U50" s="634"/>
      <c r="V50" s="634"/>
      <c r="W50" s="634"/>
      <c r="X50" s="634"/>
      <c r="Y50" s="634"/>
      <c r="Z50" s="634"/>
      <c r="AA50" s="634"/>
      <c r="AB50" s="634"/>
      <c r="AC50" s="634"/>
      <c r="AD50" s="634"/>
      <c r="AE50" s="634"/>
      <c r="AF50" s="634"/>
      <c r="AG50" s="634"/>
      <c r="AH50" s="634"/>
      <c r="AI50" s="634"/>
      <c r="AJ50" s="635"/>
      <c r="CM50" s="9"/>
      <c r="CN50" s="9"/>
      <c r="CO50" s="9"/>
      <c r="CP50" s="9"/>
      <c r="CQ50" s="9"/>
    </row>
    <row r="51" spans="1:95" x14ac:dyDescent="0.2">
      <c r="A51" s="633"/>
      <c r="B51" s="634"/>
      <c r="C51" s="634"/>
      <c r="D51" s="634"/>
      <c r="E51" s="634"/>
      <c r="F51" s="634"/>
      <c r="G51" s="634"/>
      <c r="H51" s="634"/>
      <c r="I51" s="634"/>
      <c r="J51" s="634"/>
      <c r="K51" s="634"/>
      <c r="L51" s="634"/>
      <c r="M51" s="634"/>
      <c r="N51" s="634"/>
      <c r="O51" s="634"/>
      <c r="P51" s="634"/>
      <c r="Q51" s="634"/>
      <c r="R51" s="634"/>
      <c r="S51" s="634"/>
      <c r="T51" s="634"/>
      <c r="U51" s="634"/>
      <c r="V51" s="634"/>
      <c r="W51" s="634"/>
      <c r="X51" s="634"/>
      <c r="Y51" s="634"/>
      <c r="Z51" s="634"/>
      <c r="AA51" s="634"/>
      <c r="AB51" s="634"/>
      <c r="AC51" s="634"/>
      <c r="AD51" s="634"/>
      <c r="AE51" s="634"/>
      <c r="AF51" s="634"/>
      <c r="AG51" s="634"/>
      <c r="AH51" s="634"/>
      <c r="AI51" s="634"/>
      <c r="AJ51" s="635"/>
      <c r="CM51" s="9"/>
      <c r="CN51" s="9"/>
      <c r="CO51" s="9"/>
      <c r="CP51" s="9"/>
      <c r="CQ51" s="9"/>
    </row>
    <row r="52" spans="1:95" x14ac:dyDescent="0.2">
      <c r="A52" s="633"/>
      <c r="B52" s="634"/>
      <c r="C52" s="634"/>
      <c r="D52" s="634"/>
      <c r="E52" s="634"/>
      <c r="F52" s="634"/>
      <c r="G52" s="634"/>
      <c r="H52" s="634"/>
      <c r="I52" s="634"/>
      <c r="J52" s="634"/>
      <c r="K52" s="634"/>
      <c r="L52" s="634"/>
      <c r="M52" s="634"/>
      <c r="N52" s="634"/>
      <c r="O52" s="634"/>
      <c r="P52" s="634"/>
      <c r="Q52" s="634"/>
      <c r="R52" s="634"/>
      <c r="S52" s="634"/>
      <c r="T52" s="634"/>
      <c r="U52" s="634"/>
      <c r="V52" s="634"/>
      <c r="W52" s="634"/>
      <c r="X52" s="634"/>
      <c r="Y52" s="634"/>
      <c r="Z52" s="634"/>
      <c r="AA52" s="634"/>
      <c r="AB52" s="634"/>
      <c r="AC52" s="634"/>
      <c r="AD52" s="634"/>
      <c r="AE52" s="634"/>
      <c r="AF52" s="634"/>
      <c r="AG52" s="634"/>
      <c r="AH52" s="634"/>
      <c r="AI52" s="634"/>
      <c r="AJ52" s="635"/>
      <c r="CM52" s="9"/>
      <c r="CN52" s="9"/>
      <c r="CO52" s="9"/>
      <c r="CP52" s="9"/>
      <c r="CQ52" s="9"/>
    </row>
    <row r="53" spans="1:95" x14ac:dyDescent="0.2">
      <c r="A53" s="633"/>
      <c r="B53" s="634"/>
      <c r="C53" s="634"/>
      <c r="D53" s="634"/>
      <c r="E53" s="634"/>
      <c r="F53" s="634"/>
      <c r="G53" s="634"/>
      <c r="H53" s="634"/>
      <c r="I53" s="634"/>
      <c r="J53" s="634"/>
      <c r="K53" s="634"/>
      <c r="L53" s="634"/>
      <c r="M53" s="634"/>
      <c r="N53" s="634"/>
      <c r="O53" s="634"/>
      <c r="P53" s="634"/>
      <c r="Q53" s="634"/>
      <c r="R53" s="634"/>
      <c r="S53" s="634"/>
      <c r="T53" s="634"/>
      <c r="U53" s="634"/>
      <c r="V53" s="634"/>
      <c r="W53" s="634"/>
      <c r="X53" s="634"/>
      <c r="Y53" s="634"/>
      <c r="Z53" s="634"/>
      <c r="AA53" s="634"/>
      <c r="AB53" s="634"/>
      <c r="AC53" s="634"/>
      <c r="AD53" s="634"/>
      <c r="AE53" s="634"/>
      <c r="AF53" s="634"/>
      <c r="AG53" s="634"/>
      <c r="AH53" s="634"/>
      <c r="AI53" s="634"/>
      <c r="AJ53" s="635"/>
      <c r="CM53" s="9"/>
      <c r="CN53" s="9"/>
      <c r="CO53" s="9"/>
      <c r="CP53" s="9"/>
      <c r="CQ53" s="9"/>
    </row>
    <row r="54" spans="1:95" x14ac:dyDescent="0.2">
      <c r="A54" s="633"/>
      <c r="B54" s="634"/>
      <c r="C54" s="634"/>
      <c r="D54" s="634"/>
      <c r="E54" s="634"/>
      <c r="F54" s="634"/>
      <c r="G54" s="634"/>
      <c r="H54" s="634"/>
      <c r="I54" s="634"/>
      <c r="J54" s="634"/>
      <c r="K54" s="634"/>
      <c r="L54" s="634"/>
      <c r="M54" s="634"/>
      <c r="N54" s="634"/>
      <c r="O54" s="634"/>
      <c r="P54" s="634"/>
      <c r="Q54" s="634"/>
      <c r="R54" s="634"/>
      <c r="S54" s="634"/>
      <c r="T54" s="634"/>
      <c r="U54" s="634"/>
      <c r="V54" s="634"/>
      <c r="W54" s="634"/>
      <c r="X54" s="634"/>
      <c r="Y54" s="634"/>
      <c r="Z54" s="634"/>
      <c r="AA54" s="634"/>
      <c r="AB54" s="634"/>
      <c r="AC54" s="634"/>
      <c r="AD54" s="634"/>
      <c r="AE54" s="634"/>
      <c r="AF54" s="634"/>
      <c r="AG54" s="634"/>
      <c r="AH54" s="634"/>
      <c r="AI54" s="634"/>
      <c r="AJ54" s="635"/>
      <c r="CM54" s="9"/>
      <c r="CN54" s="9"/>
      <c r="CO54" s="9"/>
      <c r="CP54" s="9"/>
      <c r="CQ54" s="9"/>
    </row>
    <row r="55" spans="1:95" x14ac:dyDescent="0.2">
      <c r="A55" s="633"/>
      <c r="B55" s="634"/>
      <c r="C55" s="634"/>
      <c r="D55" s="634"/>
      <c r="E55" s="634"/>
      <c r="F55" s="634"/>
      <c r="G55" s="634"/>
      <c r="H55" s="634"/>
      <c r="I55" s="634"/>
      <c r="J55" s="634"/>
      <c r="K55" s="634"/>
      <c r="L55" s="634"/>
      <c r="M55" s="634"/>
      <c r="N55" s="634"/>
      <c r="O55" s="634"/>
      <c r="P55" s="634"/>
      <c r="Q55" s="634"/>
      <c r="R55" s="634"/>
      <c r="S55" s="634"/>
      <c r="T55" s="634"/>
      <c r="U55" s="634"/>
      <c r="V55" s="634"/>
      <c r="W55" s="634"/>
      <c r="X55" s="634"/>
      <c r="Y55" s="634"/>
      <c r="Z55" s="634"/>
      <c r="AA55" s="634"/>
      <c r="AB55" s="634"/>
      <c r="AC55" s="634"/>
      <c r="AD55" s="634"/>
      <c r="AE55" s="634"/>
      <c r="AF55" s="634"/>
      <c r="AG55" s="634"/>
      <c r="AH55" s="634"/>
      <c r="AI55" s="634"/>
      <c r="AJ55" s="635"/>
      <c r="CM55" s="9"/>
      <c r="CN55" s="9"/>
      <c r="CO55" s="9"/>
      <c r="CP55" s="9"/>
      <c r="CQ55" s="9"/>
    </row>
    <row r="56" spans="1:95" x14ac:dyDescent="0.2">
      <c r="A56" s="636"/>
      <c r="B56" s="637"/>
      <c r="C56" s="637"/>
      <c r="D56" s="637"/>
      <c r="E56" s="637"/>
      <c r="F56" s="637"/>
      <c r="G56" s="637"/>
      <c r="H56" s="637"/>
      <c r="I56" s="637"/>
      <c r="J56" s="637"/>
      <c r="K56" s="637"/>
      <c r="L56" s="637"/>
      <c r="M56" s="637"/>
      <c r="N56" s="637"/>
      <c r="O56" s="637"/>
      <c r="P56" s="637"/>
      <c r="Q56" s="637"/>
      <c r="R56" s="637"/>
      <c r="S56" s="637"/>
      <c r="T56" s="637"/>
      <c r="U56" s="637"/>
      <c r="V56" s="637"/>
      <c r="W56" s="637"/>
      <c r="X56" s="637"/>
      <c r="Y56" s="637"/>
      <c r="Z56" s="637"/>
      <c r="AA56" s="637"/>
      <c r="AB56" s="637"/>
      <c r="AC56" s="637"/>
      <c r="AD56" s="637"/>
      <c r="AE56" s="637"/>
      <c r="AF56" s="637"/>
      <c r="AG56" s="637"/>
      <c r="AH56" s="637"/>
      <c r="AI56" s="637"/>
      <c r="AJ56" s="638"/>
      <c r="CM56" s="9"/>
      <c r="CN56" s="9"/>
      <c r="CO56" s="9"/>
      <c r="CP56" s="9"/>
      <c r="CQ56" s="9"/>
    </row>
    <row r="57" spans="1:95" s="69" customFormat="1" x14ac:dyDescent="0.2"/>
    <row r="58" spans="1:95" s="69" customFormat="1" x14ac:dyDescent="0.2"/>
    <row r="59" spans="1:95" s="69" customFormat="1" x14ac:dyDescent="0.2"/>
    <row r="60" spans="1:95" s="69" customFormat="1" x14ac:dyDescent="0.2"/>
    <row r="61" spans="1:95" s="69" customFormat="1" x14ac:dyDescent="0.2"/>
    <row r="62" spans="1:95" s="69" customFormat="1" x14ac:dyDescent="0.2"/>
    <row r="63" spans="1:95" s="69" customFormat="1" x14ac:dyDescent="0.2"/>
    <row r="64" spans="1:95" s="69" customFormat="1" x14ac:dyDescent="0.2"/>
    <row r="65" s="69" customFormat="1" x14ac:dyDescent="0.2"/>
    <row r="66" s="69" customFormat="1" x14ac:dyDescent="0.2"/>
    <row r="67" s="69" customFormat="1" x14ac:dyDescent="0.2"/>
    <row r="68" s="69" customFormat="1" x14ac:dyDescent="0.2"/>
    <row r="69" s="69" customFormat="1" x14ac:dyDescent="0.2"/>
    <row r="70" s="69" customFormat="1" x14ac:dyDescent="0.2"/>
    <row r="71" s="69" customFormat="1" x14ac:dyDescent="0.2"/>
    <row r="72" s="69" customFormat="1" x14ac:dyDescent="0.2"/>
    <row r="73" s="69" customFormat="1" x14ac:dyDescent="0.2"/>
    <row r="74" s="69" customFormat="1" x14ac:dyDescent="0.2"/>
    <row r="75" s="69" customFormat="1" x14ac:dyDescent="0.2"/>
    <row r="76" s="69" customFormat="1" x14ac:dyDescent="0.2"/>
    <row r="77" s="69" customFormat="1" x14ac:dyDescent="0.2"/>
    <row r="78" s="69" customFormat="1" x14ac:dyDescent="0.2"/>
    <row r="79" s="69" customFormat="1" x14ac:dyDescent="0.2"/>
    <row r="80" s="69" customFormat="1" x14ac:dyDescent="0.2"/>
    <row r="81" s="69" customFormat="1" x14ac:dyDescent="0.2"/>
    <row r="82" s="69" customFormat="1" x14ac:dyDescent="0.2"/>
    <row r="83" s="69" customFormat="1" x14ac:dyDescent="0.2"/>
    <row r="84" s="69" customFormat="1" x14ac:dyDescent="0.2"/>
    <row r="85" s="69" customFormat="1" x14ac:dyDescent="0.2"/>
    <row r="86" s="69" customFormat="1" x14ac:dyDescent="0.2"/>
    <row r="87" s="69" customFormat="1" x14ac:dyDescent="0.2"/>
    <row r="88" s="69" customFormat="1" x14ac:dyDescent="0.2"/>
    <row r="89" s="69" customFormat="1" x14ac:dyDescent="0.2"/>
    <row r="90" s="69" customFormat="1" x14ac:dyDescent="0.2"/>
    <row r="91" s="69" customFormat="1" x14ac:dyDescent="0.2"/>
    <row r="92" s="69" customFormat="1" x14ac:dyDescent="0.2"/>
    <row r="93" s="69" customFormat="1" x14ac:dyDescent="0.2"/>
    <row r="94" s="69" customFormat="1" x14ac:dyDescent="0.2"/>
    <row r="95" s="69" customFormat="1" x14ac:dyDescent="0.2"/>
    <row r="96" s="69" customFormat="1" x14ac:dyDescent="0.2"/>
    <row r="97" s="69" customFormat="1" x14ac:dyDescent="0.2"/>
    <row r="98" s="69" customFormat="1" x14ac:dyDescent="0.2"/>
    <row r="99" s="69" customFormat="1" x14ac:dyDescent="0.2"/>
    <row r="100" s="69" customFormat="1" x14ac:dyDescent="0.2"/>
    <row r="101" s="69" customFormat="1" x14ac:dyDescent="0.2"/>
    <row r="102" s="69" customFormat="1" x14ac:dyDescent="0.2"/>
    <row r="103" s="69" customFormat="1" x14ac:dyDescent="0.2"/>
    <row r="104" s="69" customFormat="1" x14ac:dyDescent="0.2"/>
    <row r="105" s="69" customFormat="1" x14ac:dyDescent="0.2"/>
    <row r="106" s="69" customFormat="1" x14ac:dyDescent="0.2"/>
    <row r="107" s="69" customFormat="1" x14ac:dyDescent="0.2"/>
    <row r="108" s="69" customFormat="1" x14ac:dyDescent="0.2"/>
    <row r="109" s="69" customFormat="1" x14ac:dyDescent="0.2"/>
    <row r="110" s="69" customFormat="1" x14ac:dyDescent="0.2"/>
    <row r="111" s="69" customFormat="1" x14ac:dyDescent="0.2"/>
    <row r="112" s="69" customFormat="1" x14ac:dyDescent="0.2"/>
    <row r="113" s="69" customFormat="1" x14ac:dyDescent="0.2"/>
    <row r="114" s="69" customFormat="1" x14ac:dyDescent="0.2"/>
    <row r="115" s="69" customFormat="1" x14ac:dyDescent="0.2"/>
    <row r="116" s="69" customFormat="1" x14ac:dyDescent="0.2"/>
    <row r="117" s="69" customFormat="1" x14ac:dyDescent="0.2"/>
    <row r="118" s="69" customFormat="1" x14ac:dyDescent="0.2"/>
    <row r="119" s="69" customFormat="1" x14ac:dyDescent="0.2"/>
    <row r="120" s="69" customFormat="1" x14ac:dyDescent="0.2"/>
    <row r="121" s="69" customFormat="1" x14ac:dyDescent="0.2"/>
    <row r="122" s="69" customFormat="1" x14ac:dyDescent="0.2"/>
    <row r="123" s="69" customFormat="1" x14ac:dyDescent="0.2"/>
    <row r="124" s="69" customFormat="1" x14ac:dyDescent="0.2"/>
    <row r="125" s="69" customFormat="1" x14ac:dyDescent="0.2"/>
    <row r="126" s="69" customFormat="1" x14ac:dyDescent="0.2"/>
    <row r="127" s="69" customFormat="1" x14ac:dyDescent="0.2"/>
    <row r="128" s="69" customFormat="1" x14ac:dyDescent="0.2"/>
    <row r="129" s="69" customFormat="1" x14ac:dyDescent="0.2"/>
    <row r="130" s="69" customFormat="1" x14ac:dyDescent="0.2"/>
    <row r="131" s="69" customFormat="1" x14ac:dyDescent="0.2"/>
    <row r="132" s="69" customFormat="1" x14ac:dyDescent="0.2"/>
    <row r="133" s="69" customFormat="1" x14ac:dyDescent="0.2"/>
    <row r="134" s="69" customFormat="1" x14ac:dyDescent="0.2"/>
    <row r="135" s="69" customFormat="1" x14ac:dyDescent="0.2"/>
    <row r="136" s="69" customFormat="1" x14ac:dyDescent="0.2"/>
    <row r="137" s="69" customFormat="1" x14ac:dyDescent="0.2"/>
    <row r="138" s="69" customFormat="1" x14ac:dyDescent="0.2"/>
    <row r="139" s="69" customFormat="1" x14ac:dyDescent="0.2"/>
    <row r="140" s="69" customFormat="1" x14ac:dyDescent="0.2"/>
    <row r="141" s="69" customFormat="1" x14ac:dyDescent="0.2"/>
    <row r="142" s="69" customFormat="1" x14ac:dyDescent="0.2"/>
    <row r="143" s="69" customFormat="1" x14ac:dyDescent="0.2"/>
    <row r="144" s="69" customFormat="1" x14ac:dyDescent="0.2"/>
    <row r="145" s="69" customFormat="1" x14ac:dyDescent="0.2"/>
    <row r="146" s="69" customFormat="1" x14ac:dyDescent="0.2"/>
    <row r="147" s="69" customFormat="1" x14ac:dyDescent="0.2"/>
    <row r="148" s="69" customFormat="1" x14ac:dyDescent="0.2"/>
    <row r="149" s="69" customFormat="1" x14ac:dyDescent="0.2"/>
    <row r="150" s="69" customFormat="1" x14ac:dyDescent="0.2"/>
    <row r="151" s="69" customFormat="1" x14ac:dyDescent="0.2"/>
    <row r="152" s="69" customFormat="1" x14ac:dyDescent="0.2"/>
    <row r="153" s="69" customFormat="1" x14ac:dyDescent="0.2"/>
    <row r="154" s="69" customFormat="1" x14ac:dyDescent="0.2"/>
    <row r="155" s="69" customFormat="1" x14ac:dyDescent="0.2"/>
    <row r="156" s="69" customFormat="1" x14ac:dyDescent="0.2"/>
    <row r="157" s="69" customFormat="1" x14ac:dyDescent="0.2"/>
    <row r="158" s="69" customFormat="1" x14ac:dyDescent="0.2"/>
    <row r="159" s="69" customFormat="1" x14ac:dyDescent="0.2"/>
    <row r="160" s="69" customFormat="1" x14ac:dyDescent="0.2"/>
    <row r="161" s="69" customFormat="1" x14ac:dyDescent="0.2"/>
    <row r="162" s="69" customFormat="1" x14ac:dyDescent="0.2"/>
    <row r="163" s="69" customFormat="1" x14ac:dyDescent="0.2"/>
    <row r="164" s="69" customFormat="1" x14ac:dyDescent="0.2"/>
    <row r="165" s="69" customFormat="1" x14ac:dyDescent="0.2"/>
    <row r="166" s="69" customFormat="1" x14ac:dyDescent="0.2"/>
    <row r="167" s="69" customFormat="1" x14ac:dyDescent="0.2"/>
    <row r="168" s="69" customFormat="1" x14ac:dyDescent="0.2"/>
    <row r="169" s="69" customFormat="1" x14ac:dyDescent="0.2"/>
    <row r="170" s="69" customFormat="1" x14ac:dyDescent="0.2"/>
    <row r="171" s="69" customFormat="1" x14ac:dyDescent="0.2"/>
    <row r="172" s="69" customFormat="1" x14ac:dyDescent="0.2"/>
    <row r="173" s="69" customFormat="1" x14ac:dyDescent="0.2"/>
    <row r="174" s="69" customFormat="1" x14ac:dyDescent="0.2"/>
    <row r="175" s="69" customFormat="1" x14ac:dyDescent="0.2"/>
    <row r="176" s="69" customFormat="1" x14ac:dyDescent="0.2"/>
    <row r="177" s="69" customFormat="1" x14ac:dyDescent="0.2"/>
    <row r="178" s="69" customFormat="1" x14ac:dyDescent="0.2"/>
    <row r="179" s="69" customFormat="1" x14ac:dyDescent="0.2"/>
    <row r="180" s="69" customFormat="1" x14ac:dyDescent="0.2"/>
    <row r="181" s="69" customFormat="1" x14ac:dyDescent="0.2"/>
    <row r="182" s="69" customFormat="1" x14ac:dyDescent="0.2"/>
    <row r="183" s="69" customFormat="1" x14ac:dyDescent="0.2"/>
    <row r="184" s="69" customFormat="1" x14ac:dyDescent="0.2"/>
    <row r="185" s="69" customFormat="1" x14ac:dyDescent="0.2"/>
    <row r="186" s="69" customFormat="1" x14ac:dyDescent="0.2"/>
    <row r="187" s="69" customFormat="1" x14ac:dyDescent="0.2"/>
    <row r="188" s="69" customFormat="1" x14ac:dyDescent="0.2"/>
    <row r="189" s="69" customFormat="1" x14ac:dyDescent="0.2"/>
    <row r="190" s="69" customFormat="1" x14ac:dyDescent="0.2"/>
    <row r="191" s="69" customFormat="1" x14ac:dyDescent="0.2"/>
    <row r="192" s="69" customFormat="1" x14ac:dyDescent="0.2"/>
    <row r="193" s="69" customFormat="1" x14ac:dyDescent="0.2"/>
    <row r="194" s="69" customFormat="1" x14ac:dyDescent="0.2"/>
    <row r="195" s="69" customFormat="1" x14ac:dyDescent="0.2"/>
    <row r="196" s="69" customFormat="1" x14ac:dyDescent="0.2"/>
    <row r="197" s="69" customFormat="1" x14ac:dyDescent="0.2"/>
    <row r="198" s="69" customFormat="1" x14ac:dyDescent="0.2"/>
    <row r="199" s="69" customFormat="1" x14ac:dyDescent="0.2"/>
    <row r="200" s="69" customFormat="1" x14ac:dyDescent="0.2"/>
    <row r="201" s="69" customFormat="1" x14ac:dyDescent="0.2"/>
    <row r="202" s="69" customFormat="1" x14ac:dyDescent="0.2"/>
    <row r="203" s="69" customFormat="1" x14ac:dyDescent="0.2"/>
    <row r="204" s="69" customFormat="1" x14ac:dyDescent="0.2"/>
    <row r="205" s="69" customFormat="1" x14ac:dyDescent="0.2"/>
    <row r="206" s="69" customFormat="1" x14ac:dyDescent="0.2"/>
    <row r="207" s="69" customFormat="1" x14ac:dyDescent="0.2"/>
    <row r="208" s="69" customFormat="1" x14ac:dyDescent="0.2"/>
    <row r="209" s="69" customFormat="1" x14ac:dyDescent="0.2"/>
    <row r="210" s="69" customFormat="1" x14ac:dyDescent="0.2"/>
    <row r="211" s="69" customFormat="1" x14ac:dyDescent="0.2"/>
    <row r="212" s="69" customFormat="1" x14ac:dyDescent="0.2"/>
    <row r="213" s="69" customFormat="1" x14ac:dyDescent="0.2"/>
    <row r="214" s="69" customFormat="1" x14ac:dyDescent="0.2"/>
    <row r="215" s="69" customFormat="1" x14ac:dyDescent="0.2"/>
    <row r="216" s="69" customFormat="1" x14ac:dyDescent="0.2"/>
    <row r="217" s="69" customFormat="1" x14ac:dyDescent="0.2"/>
    <row r="218" s="69" customFormat="1" x14ac:dyDescent="0.2"/>
    <row r="219" s="69" customFormat="1" x14ac:dyDescent="0.2"/>
    <row r="220" s="69" customFormat="1" x14ac:dyDescent="0.2"/>
    <row r="221" s="69" customFormat="1" x14ac:dyDescent="0.2"/>
    <row r="222" s="69" customFormat="1" x14ac:dyDescent="0.2"/>
    <row r="223" s="69" customFormat="1" x14ac:dyDescent="0.2"/>
    <row r="224" s="69" customFormat="1" x14ac:dyDescent="0.2"/>
    <row r="225" s="69" customFormat="1" x14ac:dyDescent="0.2"/>
    <row r="226" s="69" customFormat="1" x14ac:dyDescent="0.2"/>
    <row r="227" s="69" customFormat="1" x14ac:dyDescent="0.2"/>
    <row r="228" s="69" customFormat="1" x14ac:dyDescent="0.2"/>
    <row r="229" s="69" customFormat="1" x14ac:dyDescent="0.2"/>
    <row r="230" s="69" customFormat="1" x14ac:dyDescent="0.2"/>
    <row r="231" s="69" customFormat="1" x14ac:dyDescent="0.2"/>
    <row r="232" s="69" customFormat="1" x14ac:dyDescent="0.2"/>
    <row r="233" s="69" customFormat="1" x14ac:dyDescent="0.2"/>
    <row r="234" s="69" customFormat="1" x14ac:dyDescent="0.2"/>
    <row r="235" s="69" customFormat="1" x14ac:dyDescent="0.2"/>
    <row r="236" s="69" customFormat="1" x14ac:dyDescent="0.2"/>
    <row r="237" s="69" customFormat="1" x14ac:dyDescent="0.2"/>
    <row r="238" s="69" customFormat="1" x14ac:dyDescent="0.2"/>
    <row r="239" s="69" customFormat="1" x14ac:dyDescent="0.2"/>
    <row r="240" s="69" customFormat="1" x14ac:dyDescent="0.2"/>
    <row r="241" s="69" customFormat="1" x14ac:dyDescent="0.2"/>
    <row r="242" s="69" customFormat="1" x14ac:dyDescent="0.2"/>
    <row r="243" s="69" customFormat="1" x14ac:dyDescent="0.2"/>
    <row r="244" s="69" customFormat="1" x14ac:dyDescent="0.2"/>
    <row r="245" s="69" customFormat="1" x14ac:dyDescent="0.2"/>
    <row r="246" s="69" customFormat="1" x14ac:dyDescent="0.2"/>
    <row r="247" s="69" customFormat="1" x14ac:dyDescent="0.2"/>
    <row r="248" s="69" customFormat="1" x14ac:dyDescent="0.2"/>
    <row r="249" s="69" customFormat="1" x14ac:dyDescent="0.2"/>
    <row r="250" s="69" customFormat="1" x14ac:dyDescent="0.2"/>
    <row r="251" s="69" customFormat="1" x14ac:dyDescent="0.2"/>
    <row r="252" s="69" customFormat="1" x14ac:dyDescent="0.2"/>
    <row r="253" s="69" customFormat="1" x14ac:dyDescent="0.2"/>
    <row r="254" s="69" customFormat="1" x14ac:dyDescent="0.2"/>
    <row r="255" s="69" customFormat="1" x14ac:dyDescent="0.2"/>
    <row r="256" s="69" customFormat="1" x14ac:dyDescent="0.2"/>
    <row r="257" s="69" customFormat="1" x14ac:dyDescent="0.2"/>
    <row r="258" s="69" customFormat="1" x14ac:dyDescent="0.2"/>
    <row r="259" s="69" customFormat="1" x14ac:dyDescent="0.2"/>
    <row r="260" s="69" customFormat="1" x14ac:dyDescent="0.2"/>
    <row r="261" s="69" customFormat="1" x14ac:dyDescent="0.2"/>
    <row r="262" s="69" customFormat="1" x14ac:dyDescent="0.2"/>
    <row r="263" s="69" customFormat="1" x14ac:dyDescent="0.2"/>
    <row r="264" s="69" customFormat="1" x14ac:dyDescent="0.2"/>
    <row r="265" s="69" customFormat="1" x14ac:dyDescent="0.2"/>
    <row r="266" s="69" customFormat="1" x14ac:dyDescent="0.2"/>
    <row r="267" s="69" customFormat="1" x14ac:dyDescent="0.2"/>
    <row r="268" s="69" customFormat="1" x14ac:dyDescent="0.2"/>
    <row r="269" s="69" customFormat="1" x14ac:dyDescent="0.2"/>
    <row r="270" s="69" customFormat="1" x14ac:dyDescent="0.2"/>
    <row r="271" s="69" customFormat="1" x14ac:dyDescent="0.2"/>
    <row r="272" s="69" customFormat="1" x14ac:dyDescent="0.2"/>
    <row r="273" s="69" customFormat="1" x14ac:dyDescent="0.2"/>
    <row r="274" s="69" customFormat="1" x14ac:dyDescent="0.2"/>
    <row r="275" s="69" customFormat="1" x14ac:dyDescent="0.2"/>
    <row r="276" s="69" customFormat="1" x14ac:dyDescent="0.2"/>
    <row r="277" s="69" customFormat="1" x14ac:dyDescent="0.2"/>
    <row r="278" s="69" customFormat="1" x14ac:dyDescent="0.2"/>
    <row r="279" s="69" customFormat="1" x14ac:dyDescent="0.2"/>
    <row r="280" s="69" customFormat="1" x14ac:dyDescent="0.2"/>
    <row r="281" s="69" customFormat="1" x14ac:dyDescent="0.2"/>
    <row r="282" s="69" customFormat="1" x14ac:dyDescent="0.2"/>
    <row r="283" s="69" customFormat="1" x14ac:dyDescent="0.2"/>
    <row r="284" s="69" customFormat="1" x14ac:dyDescent="0.2"/>
    <row r="285" s="69" customFormat="1" x14ac:dyDescent="0.2"/>
    <row r="286" s="69" customFormat="1" x14ac:dyDescent="0.2"/>
    <row r="287" s="69" customFormat="1" x14ac:dyDescent="0.2"/>
    <row r="288" s="69" customFormat="1" x14ac:dyDescent="0.2"/>
    <row r="289" s="69" customFormat="1" x14ac:dyDescent="0.2"/>
    <row r="290" s="69" customFormat="1" x14ac:dyDescent="0.2"/>
    <row r="291" s="69" customFormat="1" x14ac:dyDescent="0.2"/>
    <row r="292" s="69" customFormat="1" x14ac:dyDescent="0.2"/>
    <row r="293" s="69" customFormat="1" x14ac:dyDescent="0.2"/>
    <row r="294" s="69" customFormat="1" x14ac:dyDescent="0.2"/>
    <row r="295" s="69" customFormat="1" x14ac:dyDescent="0.2"/>
    <row r="296" s="69" customFormat="1" x14ac:dyDescent="0.2"/>
    <row r="297" s="69" customFormat="1" x14ac:dyDescent="0.2"/>
    <row r="298" s="69" customFormat="1" x14ac:dyDescent="0.2"/>
    <row r="299" s="69" customFormat="1" x14ac:dyDescent="0.2"/>
    <row r="300" s="69" customFormat="1" x14ac:dyDescent="0.2"/>
    <row r="301" s="69" customFormat="1" x14ac:dyDescent="0.2"/>
    <row r="302" s="69" customFormat="1" x14ac:dyDescent="0.2"/>
    <row r="303" s="69" customFormat="1" x14ac:dyDescent="0.2"/>
    <row r="304" s="69" customFormat="1" x14ac:dyDescent="0.2"/>
    <row r="305" s="69" customFormat="1" x14ac:dyDescent="0.2"/>
    <row r="306" s="69" customFormat="1" x14ac:dyDescent="0.2"/>
    <row r="307" s="69" customFormat="1" x14ac:dyDescent="0.2"/>
    <row r="308" s="69" customFormat="1" x14ac:dyDescent="0.2"/>
    <row r="309" s="69" customFormat="1" x14ac:dyDescent="0.2"/>
    <row r="310" s="69" customFormat="1" x14ac:dyDescent="0.2"/>
    <row r="311" s="69" customFormat="1" x14ac:dyDescent="0.2"/>
    <row r="312" s="69" customFormat="1" x14ac:dyDescent="0.2"/>
    <row r="313" s="69" customFormat="1" x14ac:dyDescent="0.2"/>
    <row r="314" s="69" customFormat="1" x14ac:dyDescent="0.2"/>
    <row r="315" s="69" customFormat="1" x14ac:dyDescent="0.2"/>
    <row r="316" s="69" customFormat="1" x14ac:dyDescent="0.2"/>
    <row r="317" s="69" customFormat="1" x14ac:dyDescent="0.2"/>
    <row r="318" s="69" customFormat="1" x14ac:dyDescent="0.2"/>
    <row r="319" s="69" customFormat="1" x14ac:dyDescent="0.2"/>
    <row r="320" s="69" customFormat="1" x14ac:dyDescent="0.2"/>
    <row r="321" s="69" customFormat="1" x14ac:dyDescent="0.2"/>
    <row r="322" s="69" customFormat="1" x14ac:dyDescent="0.2"/>
    <row r="323" s="69" customFormat="1" x14ac:dyDescent="0.2"/>
    <row r="324" s="69" customFormat="1" x14ac:dyDescent="0.2"/>
    <row r="325" s="69" customFormat="1" x14ac:dyDescent="0.2"/>
    <row r="326" s="69" customFormat="1" x14ac:dyDescent="0.2"/>
    <row r="327" s="69" customFormat="1" x14ac:dyDescent="0.2"/>
    <row r="328" s="69" customFormat="1" x14ac:dyDescent="0.2"/>
    <row r="329" s="69" customFormat="1" x14ac:dyDescent="0.2"/>
    <row r="330" s="69" customFormat="1" x14ac:dyDescent="0.2"/>
    <row r="331" s="69" customFormat="1" x14ac:dyDescent="0.2"/>
    <row r="332" s="69" customFormat="1" x14ac:dyDescent="0.2"/>
    <row r="333" s="69" customFormat="1" x14ac:dyDescent="0.2"/>
    <row r="334" s="69" customFormat="1" x14ac:dyDescent="0.2"/>
    <row r="335" s="69" customFormat="1" x14ac:dyDescent="0.2"/>
    <row r="336" s="69" customFormat="1" x14ac:dyDescent="0.2"/>
    <row r="337" s="69" customFormat="1" x14ac:dyDescent="0.2"/>
    <row r="338" s="69" customFormat="1" x14ac:dyDescent="0.2"/>
    <row r="339" s="69" customFormat="1" x14ac:dyDescent="0.2"/>
    <row r="340" s="69" customFormat="1" x14ac:dyDescent="0.2"/>
    <row r="341" s="69" customFormat="1" x14ac:dyDescent="0.2"/>
    <row r="342" s="69" customFormat="1" x14ac:dyDescent="0.2"/>
    <row r="343" s="69" customFormat="1" x14ac:dyDescent="0.2"/>
    <row r="344" s="69" customFormat="1" x14ac:dyDescent="0.2"/>
    <row r="345" s="69" customFormat="1" x14ac:dyDescent="0.2"/>
    <row r="346" s="69" customFormat="1" x14ac:dyDescent="0.2"/>
    <row r="347" s="69" customFormat="1" x14ac:dyDescent="0.2"/>
    <row r="348" s="69" customFormat="1" x14ac:dyDescent="0.2"/>
    <row r="349" s="69" customFormat="1" x14ac:dyDescent="0.2"/>
    <row r="350" s="69" customFormat="1" x14ac:dyDescent="0.2"/>
    <row r="351" s="69" customFormat="1" x14ac:dyDescent="0.2"/>
    <row r="352" s="69" customFormat="1" x14ac:dyDescent="0.2"/>
    <row r="353" s="69" customFormat="1" x14ac:dyDescent="0.2"/>
    <row r="354" s="69" customFormat="1" x14ac:dyDescent="0.2"/>
    <row r="355" s="69" customFormat="1" x14ac:dyDescent="0.2"/>
    <row r="356" s="69" customFormat="1" x14ac:dyDescent="0.2"/>
    <row r="357" s="69" customFormat="1" x14ac:dyDescent="0.2"/>
    <row r="358" s="69" customFormat="1" x14ac:dyDescent="0.2"/>
    <row r="359" s="69" customFormat="1" x14ac:dyDescent="0.2"/>
    <row r="360" s="69" customFormat="1" x14ac:dyDescent="0.2"/>
    <row r="361" s="69" customFormat="1" x14ac:dyDescent="0.2"/>
    <row r="362" s="69" customFormat="1" x14ac:dyDescent="0.2"/>
    <row r="363" s="69" customFormat="1" x14ac:dyDescent="0.2"/>
    <row r="364" s="69" customFormat="1" x14ac:dyDescent="0.2"/>
    <row r="365" s="69" customFormat="1" x14ac:dyDescent="0.2"/>
    <row r="366" s="69" customFormat="1" x14ac:dyDescent="0.2"/>
    <row r="367" s="69" customFormat="1" x14ac:dyDescent="0.2"/>
    <row r="368" s="69" customFormat="1" x14ac:dyDescent="0.2"/>
    <row r="369" s="69" customFormat="1" x14ac:dyDescent="0.2"/>
    <row r="370" s="69" customFormat="1" x14ac:dyDescent="0.2"/>
    <row r="371" s="69" customFormat="1" x14ac:dyDescent="0.2"/>
    <row r="372" s="69" customFormat="1" x14ac:dyDescent="0.2"/>
    <row r="373" s="69" customFormat="1" x14ac:dyDescent="0.2"/>
    <row r="374" s="69" customFormat="1" x14ac:dyDescent="0.2"/>
    <row r="375" s="69" customFormat="1" x14ac:dyDescent="0.2"/>
    <row r="376" s="69" customFormat="1" x14ac:dyDescent="0.2"/>
    <row r="377" s="69" customFormat="1" x14ac:dyDescent="0.2"/>
    <row r="378" s="69" customFormat="1" x14ac:dyDescent="0.2"/>
    <row r="379" s="69" customFormat="1" x14ac:dyDescent="0.2"/>
    <row r="380" s="69" customFormat="1" x14ac:dyDescent="0.2"/>
    <row r="381" s="69" customFormat="1" x14ac:dyDescent="0.2"/>
    <row r="382" s="69" customFormat="1" x14ac:dyDescent="0.2"/>
    <row r="383" s="69" customFormat="1" x14ac:dyDescent="0.2"/>
    <row r="384" s="69" customFormat="1" x14ac:dyDescent="0.2"/>
    <row r="385" s="69" customFormat="1" x14ac:dyDescent="0.2"/>
    <row r="386" s="69" customFormat="1" x14ac:dyDescent="0.2"/>
    <row r="387" s="69" customFormat="1" x14ac:dyDescent="0.2"/>
    <row r="388" s="69" customFormat="1" x14ac:dyDescent="0.2"/>
    <row r="389" s="69" customFormat="1" x14ac:dyDescent="0.2"/>
    <row r="390" s="69" customFormat="1" x14ac:dyDescent="0.2"/>
    <row r="391" s="69" customFormat="1" x14ac:dyDescent="0.2"/>
    <row r="392" s="69" customFormat="1" x14ac:dyDescent="0.2"/>
    <row r="393" s="69" customFormat="1" x14ac:dyDescent="0.2"/>
    <row r="394" s="69" customFormat="1" x14ac:dyDescent="0.2"/>
    <row r="395" s="69" customFormat="1" x14ac:dyDescent="0.2"/>
    <row r="396" s="69" customFormat="1" x14ac:dyDescent="0.2"/>
    <row r="397" s="69" customFormat="1" x14ac:dyDescent="0.2"/>
    <row r="398" s="69" customFormat="1" x14ac:dyDescent="0.2"/>
    <row r="399" s="69" customFormat="1" x14ac:dyDescent="0.2"/>
    <row r="400" s="69" customFormat="1" x14ac:dyDescent="0.2"/>
    <row r="401" s="69" customFormat="1" x14ac:dyDescent="0.2"/>
    <row r="402" s="69" customFormat="1" x14ac:dyDescent="0.2"/>
    <row r="403" s="69" customFormat="1" x14ac:dyDescent="0.2"/>
    <row r="404" s="69" customFormat="1" x14ac:dyDescent="0.2"/>
    <row r="405" s="69" customFormat="1" x14ac:dyDescent="0.2"/>
    <row r="406" s="69" customFormat="1" x14ac:dyDescent="0.2"/>
    <row r="407" s="69" customFormat="1" x14ac:dyDescent="0.2"/>
    <row r="408" s="69" customFormat="1" x14ac:dyDescent="0.2"/>
    <row r="409" s="69" customFormat="1" x14ac:dyDescent="0.2"/>
    <row r="410" s="69" customFormat="1" x14ac:dyDescent="0.2"/>
    <row r="411" s="69" customFormat="1" x14ac:dyDescent="0.2"/>
    <row r="412" s="69" customFormat="1" x14ac:dyDescent="0.2"/>
    <row r="413" s="69" customFormat="1" x14ac:dyDescent="0.2"/>
    <row r="414" s="69" customFormat="1" x14ac:dyDescent="0.2"/>
    <row r="415" s="69" customFormat="1" x14ac:dyDescent="0.2"/>
    <row r="416" s="69" customFormat="1" x14ac:dyDescent="0.2"/>
    <row r="417" s="69" customFormat="1" x14ac:dyDescent="0.2"/>
    <row r="418" s="69" customFormat="1" x14ac:dyDescent="0.2"/>
    <row r="419" s="69" customFormat="1" x14ac:dyDescent="0.2"/>
    <row r="420" s="69" customFormat="1" x14ac:dyDescent="0.2"/>
    <row r="421" s="69" customFormat="1" x14ac:dyDescent="0.2"/>
    <row r="422" s="69" customFormat="1" x14ac:dyDescent="0.2"/>
    <row r="423" s="69" customFormat="1" x14ac:dyDescent="0.2"/>
    <row r="424" s="69" customFormat="1" x14ac:dyDescent="0.2"/>
    <row r="425" s="69" customFormat="1" x14ac:dyDescent="0.2"/>
    <row r="426" s="69" customFormat="1" x14ac:dyDescent="0.2"/>
    <row r="427" s="69" customFormat="1" x14ac:dyDescent="0.2"/>
    <row r="428" s="69" customFormat="1" x14ac:dyDescent="0.2"/>
    <row r="429" s="69" customFormat="1" x14ac:dyDescent="0.2"/>
    <row r="430" s="69" customFormat="1" x14ac:dyDescent="0.2"/>
    <row r="431" s="69" customFormat="1" x14ac:dyDescent="0.2"/>
    <row r="432" s="69" customFormat="1" x14ac:dyDescent="0.2"/>
    <row r="433" s="69" customFormat="1" x14ac:dyDescent="0.2"/>
    <row r="434" s="69" customFormat="1" x14ac:dyDescent="0.2"/>
    <row r="435" s="69" customFormat="1" x14ac:dyDescent="0.2"/>
    <row r="436" s="69" customFormat="1" x14ac:dyDescent="0.2"/>
    <row r="437" s="69" customFormat="1" x14ac:dyDescent="0.2"/>
    <row r="438" s="69" customFormat="1" x14ac:dyDescent="0.2"/>
    <row r="439" s="69" customFormat="1" x14ac:dyDescent="0.2"/>
    <row r="440" s="69" customFormat="1" x14ac:dyDescent="0.2"/>
    <row r="441" s="69" customFormat="1" x14ac:dyDescent="0.2"/>
    <row r="442" s="69" customFormat="1" x14ac:dyDescent="0.2"/>
    <row r="443" s="69" customFormat="1" x14ac:dyDescent="0.2"/>
    <row r="444" s="69" customFormat="1" x14ac:dyDescent="0.2"/>
    <row r="445" s="69" customFormat="1" x14ac:dyDescent="0.2"/>
    <row r="446" s="69" customFormat="1" x14ac:dyDescent="0.2"/>
    <row r="447" s="69" customFormat="1" x14ac:dyDescent="0.2"/>
    <row r="448" s="69" customFormat="1" x14ac:dyDescent="0.2"/>
    <row r="449" s="69" customFormat="1" x14ac:dyDescent="0.2"/>
    <row r="450" s="69" customFormat="1" x14ac:dyDescent="0.2"/>
    <row r="451" s="69" customFormat="1" x14ac:dyDescent="0.2"/>
    <row r="452" s="69" customFormat="1" x14ac:dyDescent="0.2"/>
    <row r="453" s="69" customFormat="1" x14ac:dyDescent="0.2"/>
    <row r="454" s="69" customFormat="1" x14ac:dyDescent="0.2"/>
    <row r="455" s="69" customFormat="1" x14ac:dyDescent="0.2"/>
    <row r="456" s="69" customFormat="1" x14ac:dyDescent="0.2"/>
    <row r="457" s="69" customFormat="1" x14ac:dyDescent="0.2"/>
    <row r="458" s="69" customFormat="1" x14ac:dyDescent="0.2"/>
    <row r="459" s="69" customFormat="1" x14ac:dyDescent="0.2"/>
    <row r="460" s="69" customFormat="1" x14ac:dyDescent="0.2"/>
    <row r="461" s="69" customFormat="1" x14ac:dyDescent="0.2"/>
    <row r="462" s="69" customFormat="1" x14ac:dyDescent="0.2"/>
    <row r="463" s="69" customFormat="1" x14ac:dyDescent="0.2"/>
    <row r="464" s="69" customFormat="1" x14ac:dyDescent="0.2"/>
    <row r="465" s="69" customFormat="1" x14ac:dyDescent="0.2"/>
    <row r="466" s="69" customFormat="1" x14ac:dyDescent="0.2"/>
    <row r="467" s="69" customFormat="1" x14ac:dyDescent="0.2"/>
    <row r="468" s="69" customFormat="1" x14ac:dyDescent="0.2"/>
    <row r="469" s="69" customFormat="1" x14ac:dyDescent="0.2"/>
    <row r="470" s="69" customFormat="1" x14ac:dyDescent="0.2"/>
    <row r="471" s="69" customFormat="1" x14ac:dyDescent="0.2"/>
    <row r="472" s="69" customFormat="1" x14ac:dyDescent="0.2"/>
    <row r="473" s="69" customFormat="1" x14ac:dyDescent="0.2"/>
    <row r="474" s="69" customFormat="1" x14ac:dyDescent="0.2"/>
    <row r="475" s="69" customFormat="1" x14ac:dyDescent="0.2"/>
    <row r="476" s="69" customFormat="1" x14ac:dyDescent="0.2"/>
    <row r="477" s="69" customFormat="1" x14ac:dyDescent="0.2"/>
    <row r="478" s="69" customFormat="1" x14ac:dyDescent="0.2"/>
    <row r="479" s="69" customFormat="1" x14ac:dyDescent="0.2"/>
    <row r="480" s="69" customFormat="1" x14ac:dyDescent="0.2"/>
    <row r="481" s="69" customFormat="1" x14ac:dyDescent="0.2"/>
    <row r="482" s="69" customFormat="1" x14ac:dyDescent="0.2"/>
    <row r="483" s="69" customFormat="1" x14ac:dyDescent="0.2"/>
    <row r="484" s="69" customFormat="1" x14ac:dyDescent="0.2"/>
    <row r="485" s="69" customFormat="1" x14ac:dyDescent="0.2"/>
    <row r="486" s="69" customFormat="1" x14ac:dyDescent="0.2"/>
    <row r="487" s="69" customFormat="1" x14ac:dyDescent="0.2"/>
    <row r="488" s="69" customFormat="1" x14ac:dyDescent="0.2"/>
    <row r="489" s="69" customFormat="1" x14ac:dyDescent="0.2"/>
    <row r="490" s="69" customFormat="1" x14ac:dyDescent="0.2"/>
    <row r="491" s="69" customFormat="1" x14ac:dyDescent="0.2"/>
    <row r="492" s="69" customFormat="1" x14ac:dyDescent="0.2"/>
    <row r="493" s="69" customFormat="1" x14ac:dyDescent="0.2"/>
    <row r="494" s="69" customFormat="1" x14ac:dyDescent="0.2"/>
    <row r="495" s="69" customFormat="1" x14ac:dyDescent="0.2"/>
    <row r="496" s="69" customFormat="1" x14ac:dyDescent="0.2"/>
    <row r="497" s="69" customFormat="1" x14ac:dyDescent="0.2"/>
    <row r="498" s="69" customFormat="1" x14ac:dyDescent="0.2"/>
    <row r="499" s="69" customFormat="1" x14ac:dyDescent="0.2"/>
    <row r="500" s="69" customFormat="1" x14ac:dyDescent="0.2"/>
    <row r="501" s="69" customFormat="1" x14ac:dyDescent="0.2"/>
    <row r="502" s="69" customFormat="1" x14ac:dyDescent="0.2"/>
    <row r="503" s="69" customFormat="1" x14ac:dyDescent="0.2"/>
    <row r="504" s="69" customFormat="1" x14ac:dyDescent="0.2"/>
    <row r="505" s="69" customFormat="1" x14ac:dyDescent="0.2"/>
    <row r="506" s="69" customFormat="1" x14ac:dyDescent="0.2"/>
    <row r="507" s="69" customFormat="1" x14ac:dyDescent="0.2"/>
    <row r="508" s="69" customFormat="1" x14ac:dyDescent="0.2"/>
    <row r="509" s="69" customFormat="1" x14ac:dyDescent="0.2"/>
    <row r="510" s="69" customFormat="1" x14ac:dyDescent="0.2"/>
    <row r="511" s="69" customFormat="1" x14ac:dyDescent="0.2"/>
    <row r="512" s="69" customFormat="1" x14ac:dyDescent="0.2"/>
    <row r="513" s="69" customFormat="1" x14ac:dyDescent="0.2"/>
    <row r="514" s="69" customFormat="1" x14ac:dyDescent="0.2"/>
    <row r="515" s="69" customFormat="1" x14ac:dyDescent="0.2"/>
    <row r="516" s="69" customFormat="1" x14ac:dyDescent="0.2"/>
    <row r="517" s="69" customFormat="1" x14ac:dyDescent="0.2"/>
    <row r="518" s="69" customFormat="1" x14ac:dyDescent="0.2"/>
    <row r="519" s="69" customFormat="1" x14ac:dyDescent="0.2"/>
    <row r="520" s="69" customFormat="1" x14ac:dyDescent="0.2"/>
    <row r="521" s="69" customFormat="1" x14ac:dyDescent="0.2"/>
    <row r="522" s="69" customFormat="1" x14ac:dyDescent="0.2"/>
    <row r="523" s="69" customFormat="1" x14ac:dyDescent="0.2"/>
    <row r="524" s="69" customFormat="1" x14ac:dyDescent="0.2"/>
    <row r="525" s="69" customFormat="1" x14ac:dyDescent="0.2"/>
    <row r="526" s="69" customFormat="1" x14ac:dyDescent="0.2"/>
    <row r="527" s="69" customFormat="1" x14ac:dyDescent="0.2"/>
    <row r="528" s="69" customFormat="1" x14ac:dyDescent="0.2"/>
    <row r="529" s="69" customFormat="1" x14ac:dyDescent="0.2"/>
    <row r="530" s="69" customFormat="1" x14ac:dyDescent="0.2"/>
    <row r="531" s="69" customFormat="1" x14ac:dyDescent="0.2"/>
    <row r="532" s="69" customFormat="1" x14ac:dyDescent="0.2"/>
    <row r="533" s="69" customFormat="1" x14ac:dyDescent="0.2"/>
    <row r="534" s="69" customFormat="1" x14ac:dyDescent="0.2"/>
    <row r="535" s="69" customFormat="1" x14ac:dyDescent="0.2"/>
    <row r="536" s="69" customFormat="1" x14ac:dyDescent="0.2"/>
    <row r="537" s="69" customFormat="1" x14ac:dyDescent="0.2"/>
    <row r="538" s="69" customFormat="1" x14ac:dyDescent="0.2"/>
    <row r="539" s="69" customFormat="1" x14ac:dyDescent="0.2"/>
    <row r="540" s="69" customFormat="1" x14ac:dyDescent="0.2"/>
    <row r="541" s="69" customFormat="1" x14ac:dyDescent="0.2"/>
    <row r="542" s="69" customFormat="1" x14ac:dyDescent="0.2"/>
    <row r="543" s="69" customFormat="1" x14ac:dyDescent="0.2"/>
    <row r="544" s="69" customFormat="1" x14ac:dyDescent="0.2"/>
    <row r="545" s="69" customFormat="1" x14ac:dyDescent="0.2"/>
    <row r="546" s="69" customFormat="1" x14ac:dyDescent="0.2"/>
    <row r="547" s="69" customFormat="1" x14ac:dyDescent="0.2"/>
    <row r="548" s="69" customFormat="1" x14ac:dyDescent="0.2"/>
    <row r="549" s="69" customFormat="1" x14ac:dyDescent="0.2"/>
    <row r="550" s="69" customFormat="1" x14ac:dyDescent="0.2"/>
    <row r="551" s="69" customFormat="1" x14ac:dyDescent="0.2"/>
    <row r="552" s="69" customFormat="1" x14ac:dyDescent="0.2"/>
    <row r="553" s="69" customFormat="1" x14ac:dyDescent="0.2"/>
    <row r="554" s="69" customFormat="1" x14ac:dyDescent="0.2"/>
    <row r="555" s="69" customFormat="1" x14ac:dyDescent="0.2"/>
    <row r="556" s="69" customFormat="1" x14ac:dyDescent="0.2"/>
    <row r="557" s="69" customFormat="1" x14ac:dyDescent="0.2"/>
    <row r="558" s="69" customFormat="1" x14ac:dyDescent="0.2"/>
    <row r="559" s="69" customFormat="1" x14ac:dyDescent="0.2"/>
    <row r="560" s="69" customFormat="1" x14ac:dyDescent="0.2"/>
    <row r="561" s="69" customFormat="1" x14ac:dyDescent="0.2"/>
    <row r="562" s="69" customFormat="1" x14ac:dyDescent="0.2"/>
    <row r="563" s="69" customFormat="1" x14ac:dyDescent="0.2"/>
    <row r="564" s="69" customFormat="1" x14ac:dyDescent="0.2"/>
    <row r="565" s="69" customFormat="1" x14ac:dyDescent="0.2"/>
    <row r="566" s="69" customFormat="1" x14ac:dyDescent="0.2"/>
    <row r="567" s="69" customFormat="1" x14ac:dyDescent="0.2"/>
    <row r="568" s="69" customFormat="1" x14ac:dyDescent="0.2"/>
    <row r="569" s="69" customFormat="1" x14ac:dyDescent="0.2"/>
    <row r="570" s="69" customFormat="1" x14ac:dyDescent="0.2"/>
    <row r="571" s="69" customFormat="1" x14ac:dyDescent="0.2"/>
    <row r="572" s="69" customFormat="1" x14ac:dyDescent="0.2"/>
    <row r="573" s="69" customFormat="1" x14ac:dyDescent="0.2"/>
    <row r="574" s="69" customFormat="1" x14ac:dyDescent="0.2"/>
    <row r="575" s="69" customFormat="1" x14ac:dyDescent="0.2"/>
    <row r="576" s="69" customFormat="1" x14ac:dyDescent="0.2"/>
    <row r="577" s="69" customFormat="1" x14ac:dyDescent="0.2"/>
    <row r="578" s="69" customFormat="1" x14ac:dyDescent="0.2"/>
    <row r="579" s="69" customFormat="1" x14ac:dyDescent="0.2"/>
    <row r="580" s="69" customFormat="1" x14ac:dyDescent="0.2"/>
    <row r="581" s="69" customFormat="1" x14ac:dyDescent="0.2"/>
    <row r="582" s="69" customFormat="1" x14ac:dyDescent="0.2"/>
    <row r="583" s="69" customFormat="1" x14ac:dyDescent="0.2"/>
    <row r="584" s="69" customFormat="1" x14ac:dyDescent="0.2"/>
    <row r="585" s="69" customFormat="1" x14ac:dyDescent="0.2"/>
    <row r="586" s="69" customFormat="1" x14ac:dyDescent="0.2"/>
    <row r="587" s="69" customFormat="1" x14ac:dyDescent="0.2"/>
    <row r="588" s="69" customFormat="1" x14ac:dyDescent="0.2"/>
    <row r="589" s="69" customFormat="1" x14ac:dyDescent="0.2"/>
    <row r="590" s="69" customFormat="1" x14ac:dyDescent="0.2"/>
    <row r="591" s="69" customFormat="1" x14ac:dyDescent="0.2"/>
    <row r="592" s="69" customFormat="1" x14ac:dyDescent="0.2"/>
    <row r="593" s="69" customFormat="1" x14ac:dyDescent="0.2"/>
    <row r="594" s="69" customFormat="1" x14ac:dyDescent="0.2"/>
    <row r="595" s="69" customFormat="1" x14ac:dyDescent="0.2"/>
    <row r="596" s="69" customFormat="1" x14ac:dyDescent="0.2"/>
    <row r="597" s="69" customFormat="1" x14ac:dyDescent="0.2"/>
    <row r="598" s="69" customFormat="1" x14ac:dyDescent="0.2"/>
    <row r="599" s="69" customFormat="1" x14ac:dyDescent="0.2"/>
    <row r="600" s="69" customFormat="1" x14ac:dyDescent="0.2"/>
    <row r="601" s="69" customFormat="1" x14ac:dyDescent="0.2"/>
    <row r="602" s="69" customFormat="1" x14ac:dyDescent="0.2"/>
    <row r="603" s="69" customFormat="1" x14ac:dyDescent="0.2"/>
    <row r="604" s="69" customFormat="1" x14ac:dyDescent="0.2"/>
    <row r="605" s="69" customFormat="1" x14ac:dyDescent="0.2"/>
    <row r="606" s="69" customFormat="1" x14ac:dyDescent="0.2"/>
    <row r="607" s="69" customFormat="1" x14ac:dyDescent="0.2"/>
    <row r="608" s="69" customFormat="1" x14ac:dyDescent="0.2"/>
    <row r="609" s="69" customFormat="1" x14ac:dyDescent="0.2"/>
    <row r="610" s="69" customFormat="1" x14ac:dyDescent="0.2"/>
    <row r="611" s="69" customFormat="1" x14ac:dyDescent="0.2"/>
    <row r="612" s="69" customFormat="1" x14ac:dyDescent="0.2"/>
    <row r="613" s="69" customFormat="1" x14ac:dyDescent="0.2"/>
    <row r="614" s="69" customFormat="1" x14ac:dyDescent="0.2"/>
    <row r="615" s="69" customFormat="1" x14ac:dyDescent="0.2"/>
    <row r="616" s="69" customFormat="1" x14ac:dyDescent="0.2"/>
    <row r="617" s="69" customFormat="1" x14ac:dyDescent="0.2"/>
    <row r="618" s="69" customFormat="1" x14ac:dyDescent="0.2"/>
    <row r="619" s="69" customFormat="1" x14ac:dyDescent="0.2"/>
    <row r="620" s="69" customFormat="1" x14ac:dyDescent="0.2"/>
    <row r="621" s="69" customFormat="1" x14ac:dyDescent="0.2"/>
    <row r="622" s="69" customFormat="1" x14ac:dyDescent="0.2"/>
    <row r="623" s="69" customFormat="1" x14ac:dyDescent="0.2"/>
    <row r="624" s="69" customFormat="1" x14ac:dyDescent="0.2"/>
    <row r="625" s="69" customFormat="1" x14ac:dyDescent="0.2"/>
    <row r="626" s="69" customFormat="1" x14ac:dyDescent="0.2"/>
    <row r="627" s="69" customFormat="1" x14ac:dyDescent="0.2"/>
    <row r="628" s="69" customFormat="1" x14ac:dyDescent="0.2"/>
    <row r="629" s="69" customFormat="1" x14ac:dyDescent="0.2"/>
    <row r="630" s="69" customFormat="1" x14ac:dyDescent="0.2"/>
    <row r="631" s="69" customFormat="1" x14ac:dyDescent="0.2"/>
    <row r="632" s="69" customFormat="1" x14ac:dyDescent="0.2"/>
    <row r="633" s="69" customFormat="1" x14ac:dyDescent="0.2"/>
    <row r="634" s="69" customFormat="1" x14ac:dyDescent="0.2"/>
    <row r="635" s="69" customFormat="1" x14ac:dyDescent="0.2"/>
    <row r="636" s="69" customFormat="1" x14ac:dyDescent="0.2"/>
    <row r="637" s="69" customFormat="1" x14ac:dyDescent="0.2"/>
    <row r="638" s="69" customFormat="1" x14ac:dyDescent="0.2"/>
    <row r="639" s="69" customFormat="1" x14ac:dyDescent="0.2"/>
    <row r="640" s="69" customFormat="1" x14ac:dyDescent="0.2"/>
    <row r="641" s="69" customFormat="1" x14ac:dyDescent="0.2"/>
    <row r="642" s="69" customFormat="1" x14ac:dyDescent="0.2"/>
    <row r="643" s="69" customFormat="1" x14ac:dyDescent="0.2"/>
    <row r="644" s="69" customFormat="1" x14ac:dyDescent="0.2"/>
    <row r="645" s="69" customFormat="1" x14ac:dyDescent="0.2"/>
    <row r="646" s="69" customFormat="1" x14ac:dyDescent="0.2"/>
    <row r="647" s="69" customFormat="1" x14ac:dyDescent="0.2"/>
    <row r="648" s="69" customFormat="1" x14ac:dyDescent="0.2"/>
    <row r="649" s="69" customFormat="1" x14ac:dyDescent="0.2"/>
    <row r="650" s="69" customFormat="1" x14ac:dyDescent="0.2"/>
    <row r="651" s="69" customFormat="1" x14ac:dyDescent="0.2"/>
    <row r="652" s="69" customFormat="1" x14ac:dyDescent="0.2"/>
    <row r="653" s="69" customFormat="1" x14ac:dyDescent="0.2"/>
    <row r="654" s="69" customFormat="1" x14ac:dyDescent="0.2"/>
    <row r="655" s="69" customFormat="1" x14ac:dyDescent="0.2"/>
    <row r="656" s="69" customFormat="1" x14ac:dyDescent="0.2"/>
    <row r="657" s="69" customFormat="1" x14ac:dyDescent="0.2"/>
    <row r="658" s="69" customFormat="1" x14ac:dyDescent="0.2"/>
    <row r="659" s="69" customFormat="1" x14ac:dyDescent="0.2"/>
    <row r="660" s="69" customFormat="1" x14ac:dyDescent="0.2"/>
    <row r="661" s="69" customFormat="1" x14ac:dyDescent="0.2"/>
    <row r="662" s="69" customFormat="1" x14ac:dyDescent="0.2"/>
    <row r="663" s="69" customFormat="1" x14ac:dyDescent="0.2"/>
    <row r="664" s="69" customFormat="1" x14ac:dyDescent="0.2"/>
    <row r="665" s="69" customFormat="1" x14ac:dyDescent="0.2"/>
    <row r="666" s="69" customFormat="1" x14ac:dyDescent="0.2"/>
    <row r="667" s="69" customFormat="1" x14ac:dyDescent="0.2"/>
    <row r="668" s="69" customFormat="1" x14ac:dyDescent="0.2"/>
    <row r="669" s="69" customFormat="1" x14ac:dyDescent="0.2"/>
    <row r="670" s="69" customFormat="1" x14ac:dyDescent="0.2"/>
    <row r="671" s="69" customFormat="1" x14ac:dyDescent="0.2"/>
    <row r="672" s="69" customFormat="1" x14ac:dyDescent="0.2"/>
    <row r="673" s="69" customFormat="1" x14ac:dyDescent="0.2"/>
    <row r="674" s="69" customFormat="1" x14ac:dyDescent="0.2"/>
    <row r="675" s="69" customFormat="1" x14ac:dyDescent="0.2"/>
    <row r="676" s="69" customFormat="1" x14ac:dyDescent="0.2"/>
    <row r="677" s="69" customFormat="1" x14ac:dyDescent="0.2"/>
    <row r="678" s="69" customFormat="1" x14ac:dyDescent="0.2"/>
    <row r="679" s="69" customFormat="1" x14ac:dyDescent="0.2"/>
    <row r="680" s="69" customFormat="1" x14ac:dyDescent="0.2"/>
    <row r="681" s="69" customFormat="1" x14ac:dyDescent="0.2"/>
    <row r="682" s="69" customFormat="1" x14ac:dyDescent="0.2"/>
    <row r="683" s="69" customFormat="1" x14ac:dyDescent="0.2"/>
    <row r="684" s="69" customFormat="1" x14ac:dyDescent="0.2"/>
    <row r="685" s="69" customFormat="1" x14ac:dyDescent="0.2"/>
    <row r="686" s="69" customFormat="1" x14ac:dyDescent="0.2"/>
    <row r="687" s="69" customFormat="1" x14ac:dyDescent="0.2"/>
    <row r="688" s="69" customFormat="1" x14ac:dyDescent="0.2"/>
    <row r="689" s="69" customFormat="1" x14ac:dyDescent="0.2"/>
    <row r="690" s="69" customFormat="1" x14ac:dyDescent="0.2"/>
    <row r="691" s="69" customFormat="1" x14ac:dyDescent="0.2"/>
    <row r="692" s="69" customFormat="1" x14ac:dyDescent="0.2"/>
    <row r="693" s="69" customFormat="1" x14ac:dyDescent="0.2"/>
    <row r="694" s="69" customFormat="1" x14ac:dyDescent="0.2"/>
    <row r="695" s="69" customFormat="1" x14ac:dyDescent="0.2"/>
    <row r="696" s="69" customFormat="1" x14ac:dyDescent="0.2"/>
    <row r="697" s="69" customFormat="1" x14ac:dyDescent="0.2"/>
    <row r="698" s="69" customFormat="1" x14ac:dyDescent="0.2"/>
    <row r="699" s="69" customFormat="1" x14ac:dyDescent="0.2"/>
    <row r="700" s="69" customFormat="1" x14ac:dyDescent="0.2"/>
    <row r="701" s="69" customFormat="1" x14ac:dyDescent="0.2"/>
    <row r="702" s="69" customFormat="1" x14ac:dyDescent="0.2"/>
    <row r="703" s="69" customFormat="1" x14ac:dyDescent="0.2"/>
    <row r="704" s="69" customFormat="1" x14ac:dyDescent="0.2"/>
    <row r="705" s="69" customFormat="1" x14ac:dyDescent="0.2"/>
    <row r="706" s="69" customFormat="1" x14ac:dyDescent="0.2"/>
    <row r="707" s="69" customFormat="1" x14ac:dyDescent="0.2"/>
    <row r="708" s="69" customFormat="1" x14ac:dyDescent="0.2"/>
    <row r="709" s="69" customFormat="1" x14ac:dyDescent="0.2"/>
    <row r="710" s="69" customFormat="1" x14ac:dyDescent="0.2"/>
    <row r="711" s="69" customFormat="1" x14ac:dyDescent="0.2"/>
    <row r="712" s="69" customFormat="1" x14ac:dyDescent="0.2"/>
    <row r="713" s="69" customFormat="1" x14ac:dyDescent="0.2"/>
    <row r="714" s="69" customFormat="1" x14ac:dyDescent="0.2"/>
    <row r="715" s="69" customFormat="1" x14ac:dyDescent="0.2"/>
    <row r="716" s="69" customFormat="1" x14ac:dyDescent="0.2"/>
    <row r="717" s="69" customFormat="1" x14ac:dyDescent="0.2"/>
    <row r="718" s="69" customFormat="1" x14ac:dyDescent="0.2"/>
    <row r="719" s="69" customFormat="1" x14ac:dyDescent="0.2"/>
    <row r="720" s="69" customFormat="1" x14ac:dyDescent="0.2"/>
    <row r="721" s="69" customFormat="1" x14ac:dyDescent="0.2"/>
    <row r="722" s="69" customFormat="1" x14ac:dyDescent="0.2"/>
    <row r="723" s="69" customFormat="1" x14ac:dyDescent="0.2"/>
    <row r="724" s="69" customFormat="1" x14ac:dyDescent="0.2"/>
    <row r="725" s="69" customFormat="1" x14ac:dyDescent="0.2"/>
    <row r="726" s="69" customFormat="1" x14ac:dyDescent="0.2"/>
    <row r="727" s="69" customFormat="1" x14ac:dyDescent="0.2"/>
    <row r="728" s="69" customFormat="1" x14ac:dyDescent="0.2"/>
    <row r="729" s="69" customFormat="1" x14ac:dyDescent="0.2"/>
    <row r="730" s="69" customFormat="1" x14ac:dyDescent="0.2"/>
    <row r="731" s="69" customFormat="1" x14ac:dyDescent="0.2"/>
    <row r="732" s="69" customFormat="1" x14ac:dyDescent="0.2"/>
    <row r="733" s="69" customFormat="1" x14ac:dyDescent="0.2"/>
    <row r="734" s="69" customFormat="1" x14ac:dyDescent="0.2"/>
    <row r="735" s="69" customFormat="1" x14ac:dyDescent="0.2"/>
    <row r="736" s="69" customFormat="1" x14ac:dyDescent="0.2"/>
    <row r="737" s="69" customFormat="1" x14ac:dyDescent="0.2"/>
    <row r="738" s="69" customFormat="1" x14ac:dyDescent="0.2"/>
    <row r="739" s="69" customFormat="1" x14ac:dyDescent="0.2"/>
    <row r="740" s="69" customFormat="1" x14ac:dyDescent="0.2"/>
    <row r="741" s="69" customFormat="1" x14ac:dyDescent="0.2"/>
    <row r="742" s="69" customFormat="1" x14ac:dyDescent="0.2"/>
    <row r="743" s="69" customFormat="1" x14ac:dyDescent="0.2"/>
    <row r="744" s="69" customFormat="1" x14ac:dyDescent="0.2"/>
    <row r="745" s="69" customFormat="1" x14ac:dyDescent="0.2"/>
    <row r="746" s="69" customFormat="1" x14ac:dyDescent="0.2"/>
    <row r="747" s="69" customFormat="1" x14ac:dyDescent="0.2"/>
    <row r="748" s="69" customFormat="1" x14ac:dyDescent="0.2"/>
    <row r="749" s="69" customFormat="1" x14ac:dyDescent="0.2"/>
    <row r="750" s="69" customFormat="1" x14ac:dyDescent="0.2"/>
    <row r="751" s="69" customFormat="1" x14ac:dyDescent="0.2"/>
    <row r="752" s="69" customFormat="1" x14ac:dyDescent="0.2"/>
    <row r="753" s="69" customFormat="1" x14ac:dyDescent="0.2"/>
    <row r="754" s="69" customFormat="1" x14ac:dyDescent="0.2"/>
    <row r="755" s="69" customFormat="1" x14ac:dyDescent="0.2"/>
    <row r="756" s="69" customFormat="1" x14ac:dyDescent="0.2"/>
    <row r="757" s="69" customFormat="1" x14ac:dyDescent="0.2"/>
    <row r="758" s="69" customFormat="1" x14ac:dyDescent="0.2"/>
    <row r="759" s="69" customFormat="1" x14ac:dyDescent="0.2"/>
    <row r="760" s="69" customFormat="1" x14ac:dyDescent="0.2"/>
    <row r="761" s="69" customFormat="1" x14ac:dyDescent="0.2"/>
    <row r="762" s="69" customFormat="1" x14ac:dyDescent="0.2"/>
    <row r="763" s="69" customFormat="1" x14ac:dyDescent="0.2"/>
    <row r="764" s="69" customFormat="1" x14ac:dyDescent="0.2"/>
    <row r="765" s="69" customFormat="1" x14ac:dyDescent="0.2"/>
    <row r="766" s="69" customFormat="1" x14ac:dyDescent="0.2"/>
    <row r="767" s="69" customFormat="1" x14ac:dyDescent="0.2"/>
    <row r="768" s="69" customFormat="1" x14ac:dyDescent="0.2"/>
    <row r="769" s="69" customFormat="1" x14ac:dyDescent="0.2"/>
    <row r="770" s="69" customFormat="1" x14ac:dyDescent="0.2"/>
    <row r="771" s="69" customFormat="1" x14ac:dyDescent="0.2"/>
    <row r="772" s="69" customFormat="1" x14ac:dyDescent="0.2"/>
    <row r="773" s="69" customFormat="1" x14ac:dyDescent="0.2"/>
    <row r="774" s="69" customFormat="1" x14ac:dyDescent="0.2"/>
    <row r="775" s="69" customFormat="1" x14ac:dyDescent="0.2"/>
    <row r="776" s="69" customFormat="1" x14ac:dyDescent="0.2"/>
    <row r="777" s="69" customFormat="1" x14ac:dyDescent="0.2"/>
    <row r="778" s="69" customFormat="1" x14ac:dyDescent="0.2"/>
    <row r="779" s="69" customFormat="1" x14ac:dyDescent="0.2"/>
    <row r="780" s="69" customFormat="1" x14ac:dyDescent="0.2"/>
    <row r="781" s="69" customFormat="1" x14ac:dyDescent="0.2"/>
    <row r="782" s="69" customFormat="1" x14ac:dyDescent="0.2"/>
    <row r="783" s="69" customFormat="1" x14ac:dyDescent="0.2"/>
    <row r="784" s="69" customFormat="1" x14ac:dyDescent="0.2"/>
    <row r="785" s="69" customFormat="1" x14ac:dyDescent="0.2"/>
    <row r="786" s="69" customFormat="1" x14ac:dyDescent="0.2"/>
    <row r="787" s="69" customFormat="1" x14ac:dyDescent="0.2"/>
    <row r="788" s="69" customFormat="1" x14ac:dyDescent="0.2"/>
    <row r="789" s="69" customFormat="1" x14ac:dyDescent="0.2"/>
    <row r="790" s="69" customFormat="1" x14ac:dyDescent="0.2"/>
    <row r="791" s="69" customFormat="1" x14ac:dyDescent="0.2"/>
    <row r="792" s="69" customFormat="1" x14ac:dyDescent="0.2"/>
    <row r="793" s="69" customFormat="1" x14ac:dyDescent="0.2"/>
    <row r="794" s="69" customFormat="1" x14ac:dyDescent="0.2"/>
    <row r="795" s="69" customFormat="1" x14ac:dyDescent="0.2"/>
    <row r="796" s="69" customFormat="1" x14ac:dyDescent="0.2"/>
    <row r="797" s="69" customFormat="1" x14ac:dyDescent="0.2"/>
    <row r="798" s="69" customFormat="1" x14ac:dyDescent="0.2"/>
    <row r="799" s="69" customFormat="1" x14ac:dyDescent="0.2"/>
    <row r="800" s="69" customFormat="1" x14ac:dyDescent="0.2"/>
    <row r="801" s="69" customFormat="1" x14ac:dyDescent="0.2"/>
    <row r="802" s="69" customFormat="1" x14ac:dyDescent="0.2"/>
    <row r="803" s="69" customFormat="1" x14ac:dyDescent="0.2"/>
    <row r="804" s="69" customFormat="1" x14ac:dyDescent="0.2"/>
    <row r="805" s="69" customFormat="1" x14ac:dyDescent="0.2"/>
    <row r="806" s="69" customFormat="1" x14ac:dyDescent="0.2"/>
    <row r="807" s="69" customFormat="1" x14ac:dyDescent="0.2"/>
    <row r="808" s="69" customFormat="1" x14ac:dyDescent="0.2"/>
    <row r="809" s="69" customFormat="1" x14ac:dyDescent="0.2"/>
    <row r="810" s="69" customFormat="1" x14ac:dyDescent="0.2"/>
    <row r="811" s="69" customFormat="1" x14ac:dyDescent="0.2"/>
    <row r="812" s="69" customFormat="1" x14ac:dyDescent="0.2"/>
    <row r="813" s="69" customFormat="1" x14ac:dyDescent="0.2"/>
    <row r="814" s="69" customFormat="1" x14ac:dyDescent="0.2"/>
    <row r="815" s="69" customFormat="1" x14ac:dyDescent="0.2"/>
    <row r="816" s="69" customFormat="1" x14ac:dyDescent="0.2"/>
    <row r="817" s="69" customFormat="1" x14ac:dyDescent="0.2"/>
    <row r="818" s="69" customFormat="1" x14ac:dyDescent="0.2"/>
    <row r="819" s="69" customFormat="1" x14ac:dyDescent="0.2"/>
    <row r="820" s="69" customFormat="1" x14ac:dyDescent="0.2"/>
    <row r="821" s="69" customFormat="1" x14ac:dyDescent="0.2"/>
    <row r="822" s="69" customFormat="1" x14ac:dyDescent="0.2"/>
    <row r="823" s="69" customFormat="1" x14ac:dyDescent="0.2"/>
    <row r="824" s="69" customFormat="1" x14ac:dyDescent="0.2"/>
    <row r="825" s="69" customFormat="1" x14ac:dyDescent="0.2"/>
    <row r="826" s="69" customFormat="1" x14ac:dyDescent="0.2"/>
    <row r="827" s="69" customFormat="1" x14ac:dyDescent="0.2"/>
    <row r="828" s="69" customFormat="1" x14ac:dyDescent="0.2"/>
    <row r="829" s="69" customFormat="1" x14ac:dyDescent="0.2"/>
    <row r="830" s="69" customFormat="1" x14ac:dyDescent="0.2"/>
    <row r="831" s="69" customFormat="1" x14ac:dyDescent="0.2"/>
    <row r="832" s="69" customFormat="1" x14ac:dyDescent="0.2"/>
    <row r="833" s="69" customFormat="1" x14ac:dyDescent="0.2"/>
    <row r="834" s="69" customFormat="1" x14ac:dyDescent="0.2"/>
    <row r="835" s="69" customFormat="1" x14ac:dyDescent="0.2"/>
    <row r="836" s="69" customFormat="1" x14ac:dyDescent="0.2"/>
    <row r="837" s="69" customFormat="1" x14ac:dyDescent="0.2"/>
    <row r="838" s="69" customFormat="1" x14ac:dyDescent="0.2"/>
    <row r="839" s="69" customFormat="1" x14ac:dyDescent="0.2"/>
    <row r="840" s="69" customFormat="1" x14ac:dyDescent="0.2"/>
    <row r="841" s="69" customFormat="1" x14ac:dyDescent="0.2"/>
    <row r="842" s="69" customFormat="1" x14ac:dyDescent="0.2"/>
    <row r="843" s="69" customFormat="1" x14ac:dyDescent="0.2"/>
    <row r="844" s="69" customFormat="1" x14ac:dyDescent="0.2"/>
    <row r="845" s="69" customFormat="1" x14ac:dyDescent="0.2"/>
    <row r="846" s="69" customFormat="1" x14ac:dyDescent="0.2"/>
    <row r="847" s="69" customFormat="1" x14ac:dyDescent="0.2"/>
    <row r="848" s="69" customFormat="1" x14ac:dyDescent="0.2"/>
    <row r="849" s="69" customFormat="1" x14ac:dyDescent="0.2"/>
    <row r="850" s="69" customFormat="1" x14ac:dyDescent="0.2"/>
    <row r="851" s="69" customFormat="1" x14ac:dyDescent="0.2"/>
    <row r="852" s="69" customFormat="1" x14ac:dyDescent="0.2"/>
    <row r="853" s="69" customFormat="1" x14ac:dyDescent="0.2"/>
    <row r="854" s="69" customFormat="1" x14ac:dyDescent="0.2"/>
    <row r="855" s="69" customFormat="1" x14ac:dyDescent="0.2"/>
    <row r="856" s="69" customFormat="1" x14ac:dyDescent="0.2"/>
    <row r="857" s="69" customFormat="1" x14ac:dyDescent="0.2"/>
    <row r="858" s="69" customFormat="1" x14ac:dyDescent="0.2"/>
    <row r="859" s="69" customFormat="1" x14ac:dyDescent="0.2"/>
    <row r="860" s="69" customFormat="1" x14ac:dyDescent="0.2"/>
    <row r="861" s="69" customFormat="1" x14ac:dyDescent="0.2"/>
    <row r="862" s="69" customFormat="1" x14ac:dyDescent="0.2"/>
    <row r="863" s="69" customFormat="1" x14ac:dyDescent="0.2"/>
    <row r="864" s="69" customFormat="1" x14ac:dyDescent="0.2"/>
    <row r="865" s="69" customFormat="1" x14ac:dyDescent="0.2"/>
    <row r="866" s="69" customFormat="1" x14ac:dyDescent="0.2"/>
    <row r="867" s="69" customFormat="1" x14ac:dyDescent="0.2"/>
    <row r="868" s="69" customFormat="1" x14ac:dyDescent="0.2"/>
    <row r="869" s="69" customFormat="1" x14ac:dyDescent="0.2"/>
    <row r="870" s="69" customFormat="1" x14ac:dyDescent="0.2"/>
    <row r="871" s="69" customFormat="1" x14ac:dyDescent="0.2"/>
    <row r="872" s="69" customFormat="1" x14ac:dyDescent="0.2"/>
    <row r="873" s="69" customFormat="1" x14ac:dyDescent="0.2"/>
    <row r="874" s="69" customFormat="1" x14ac:dyDescent="0.2"/>
    <row r="875" s="69" customFormat="1" x14ac:dyDescent="0.2"/>
    <row r="876" s="69" customFormat="1" x14ac:dyDescent="0.2"/>
    <row r="877" s="69" customFormat="1" x14ac:dyDescent="0.2"/>
    <row r="878" s="69" customFormat="1" x14ac:dyDescent="0.2"/>
    <row r="879" s="69" customFormat="1" x14ac:dyDescent="0.2"/>
    <row r="880" s="69" customFormat="1" x14ac:dyDescent="0.2"/>
    <row r="881" s="69" customFormat="1" x14ac:dyDescent="0.2"/>
    <row r="882" s="69" customFormat="1" x14ac:dyDescent="0.2"/>
    <row r="883" s="69" customFormat="1" x14ac:dyDescent="0.2"/>
    <row r="884" s="69" customFormat="1" x14ac:dyDescent="0.2"/>
    <row r="885" s="69" customFormat="1" x14ac:dyDescent="0.2"/>
    <row r="886" s="69" customFormat="1" x14ac:dyDescent="0.2"/>
    <row r="887" s="69" customFormat="1" x14ac:dyDescent="0.2"/>
    <row r="888" s="69" customFormat="1" x14ac:dyDescent="0.2"/>
    <row r="889" s="69" customFormat="1" x14ac:dyDescent="0.2"/>
    <row r="890" s="69" customFormat="1" x14ac:dyDescent="0.2"/>
    <row r="891" s="69" customFormat="1" x14ac:dyDescent="0.2"/>
    <row r="892" s="69" customFormat="1" x14ac:dyDescent="0.2"/>
    <row r="893" s="69" customFormat="1" x14ac:dyDescent="0.2"/>
    <row r="894" s="69" customFormat="1" x14ac:dyDescent="0.2"/>
    <row r="895" s="69" customFormat="1" x14ac:dyDescent="0.2"/>
    <row r="896" s="69" customFormat="1" x14ac:dyDescent="0.2"/>
    <row r="897" s="69" customFormat="1" x14ac:dyDescent="0.2"/>
    <row r="898" s="69" customFormat="1" x14ac:dyDescent="0.2"/>
    <row r="899" s="69" customFormat="1" x14ac:dyDescent="0.2"/>
    <row r="900" s="69" customFormat="1" x14ac:dyDescent="0.2"/>
    <row r="901" s="69" customFormat="1" x14ac:dyDescent="0.2"/>
    <row r="902" s="69" customFormat="1" x14ac:dyDescent="0.2"/>
    <row r="903" s="69" customFormat="1" x14ac:dyDescent="0.2"/>
    <row r="904" s="69" customFormat="1" x14ac:dyDescent="0.2"/>
    <row r="905" s="69" customFormat="1" x14ac:dyDescent="0.2"/>
    <row r="906" s="69" customFormat="1" x14ac:dyDescent="0.2"/>
    <row r="907" s="69" customFormat="1" x14ac:dyDescent="0.2"/>
    <row r="908" s="69" customFormat="1" x14ac:dyDescent="0.2"/>
    <row r="909" s="69" customFormat="1" x14ac:dyDescent="0.2"/>
    <row r="910" s="69" customFormat="1" x14ac:dyDescent="0.2"/>
    <row r="911" s="69" customFormat="1" x14ac:dyDescent="0.2"/>
    <row r="912" s="69" customFormat="1" x14ac:dyDescent="0.2"/>
    <row r="913" s="69" customFormat="1" x14ac:dyDescent="0.2"/>
    <row r="914" s="69" customFormat="1" x14ac:dyDescent="0.2"/>
    <row r="915" s="69" customFormat="1" x14ac:dyDescent="0.2"/>
    <row r="916" s="69" customFormat="1" x14ac:dyDescent="0.2"/>
    <row r="917" s="69" customFormat="1" x14ac:dyDescent="0.2"/>
    <row r="918" s="69" customFormat="1" x14ac:dyDescent="0.2"/>
    <row r="919" s="69" customFormat="1" x14ac:dyDescent="0.2"/>
    <row r="920" s="69" customFormat="1" x14ac:dyDescent="0.2"/>
    <row r="921" s="69" customFormat="1" x14ac:dyDescent="0.2"/>
    <row r="922" s="69" customFormat="1" x14ac:dyDescent="0.2"/>
    <row r="923" s="69" customFormat="1" x14ac:dyDescent="0.2"/>
    <row r="924" s="69" customFormat="1" x14ac:dyDescent="0.2"/>
    <row r="925" s="69" customFormat="1" x14ac:dyDescent="0.2"/>
    <row r="926" s="69" customFormat="1" x14ac:dyDescent="0.2"/>
    <row r="927" s="69" customFormat="1" x14ac:dyDescent="0.2"/>
    <row r="928" s="69" customFormat="1" x14ac:dyDescent="0.2"/>
    <row r="929" s="69" customFormat="1" x14ac:dyDescent="0.2"/>
    <row r="930" s="69" customFormat="1" x14ac:dyDescent="0.2"/>
    <row r="931" s="69" customFormat="1" x14ac:dyDescent="0.2"/>
    <row r="932" s="69" customFormat="1" x14ac:dyDescent="0.2"/>
    <row r="933" s="69" customFormat="1" x14ac:dyDescent="0.2"/>
    <row r="934" s="69" customFormat="1" x14ac:dyDescent="0.2"/>
    <row r="935" s="69" customFormat="1" x14ac:dyDescent="0.2"/>
    <row r="936" s="69" customFormat="1" x14ac:dyDescent="0.2"/>
    <row r="937" s="69" customFormat="1" x14ac:dyDescent="0.2"/>
    <row r="938" s="69" customFormat="1" x14ac:dyDescent="0.2"/>
    <row r="939" s="69" customFormat="1" x14ac:dyDescent="0.2"/>
    <row r="940" s="69" customFormat="1" x14ac:dyDescent="0.2"/>
    <row r="941" s="69" customFormat="1" x14ac:dyDescent="0.2"/>
    <row r="942" s="69" customFormat="1" x14ac:dyDescent="0.2"/>
    <row r="943" s="69" customFormat="1" x14ac:dyDescent="0.2"/>
    <row r="944" s="69" customFormat="1" x14ac:dyDescent="0.2"/>
    <row r="945" s="69" customFormat="1" x14ac:dyDescent="0.2"/>
    <row r="946" s="69" customFormat="1" x14ac:dyDescent="0.2"/>
    <row r="947" s="69" customFormat="1" x14ac:dyDescent="0.2"/>
    <row r="948" s="69" customFormat="1" x14ac:dyDescent="0.2"/>
    <row r="949" s="69" customFormat="1" x14ac:dyDescent="0.2"/>
    <row r="950" s="69" customFormat="1" x14ac:dyDescent="0.2"/>
    <row r="951" s="69" customFormat="1" x14ac:dyDescent="0.2"/>
    <row r="952" s="69" customFormat="1" x14ac:dyDescent="0.2"/>
    <row r="953" s="69" customFormat="1" x14ac:dyDescent="0.2"/>
    <row r="954" s="69" customFormat="1" x14ac:dyDescent="0.2"/>
    <row r="955" s="69" customFormat="1" x14ac:dyDescent="0.2"/>
    <row r="956" s="69" customFormat="1" x14ac:dyDescent="0.2"/>
    <row r="957" s="69" customFormat="1" x14ac:dyDescent="0.2"/>
    <row r="958" s="69" customFormat="1" x14ac:dyDescent="0.2"/>
    <row r="959" s="69" customFormat="1" x14ac:dyDescent="0.2"/>
    <row r="960" s="69" customFormat="1" x14ac:dyDescent="0.2"/>
    <row r="961" s="69" customFormat="1" x14ac:dyDescent="0.2"/>
    <row r="962" s="69" customFormat="1" x14ac:dyDescent="0.2"/>
    <row r="963" s="69" customFormat="1" x14ac:dyDescent="0.2"/>
    <row r="964" s="69" customFormat="1" x14ac:dyDescent="0.2"/>
    <row r="965" s="69" customFormat="1" x14ac:dyDescent="0.2"/>
    <row r="966" s="69" customFormat="1" x14ac:dyDescent="0.2"/>
    <row r="967" s="69" customFormat="1" x14ac:dyDescent="0.2"/>
    <row r="968" s="69" customFormat="1" x14ac:dyDescent="0.2"/>
    <row r="969" s="69" customFormat="1" x14ac:dyDescent="0.2"/>
    <row r="970" s="69" customFormat="1" x14ac:dyDescent="0.2"/>
    <row r="971" s="69" customFormat="1" x14ac:dyDescent="0.2"/>
    <row r="972" s="69" customFormat="1" x14ac:dyDescent="0.2"/>
    <row r="973" s="69" customFormat="1" x14ac:dyDescent="0.2"/>
    <row r="974" s="69" customFormat="1" x14ac:dyDescent="0.2"/>
    <row r="975" s="69" customFormat="1" x14ac:dyDescent="0.2"/>
    <row r="976" s="69" customFormat="1" x14ac:dyDescent="0.2"/>
    <row r="977" s="69" customFormat="1" x14ac:dyDescent="0.2"/>
    <row r="978" s="69" customFormat="1" x14ac:dyDescent="0.2"/>
    <row r="979" s="69" customFormat="1" x14ac:dyDescent="0.2"/>
    <row r="980" s="69" customFormat="1" x14ac:dyDescent="0.2"/>
    <row r="981" s="69" customFormat="1" x14ac:dyDescent="0.2"/>
    <row r="982" s="69" customFormat="1" x14ac:dyDescent="0.2"/>
    <row r="983" s="69" customFormat="1" x14ac:dyDescent="0.2"/>
    <row r="984" s="69" customFormat="1" x14ac:dyDescent="0.2"/>
    <row r="985" s="69" customFormat="1" x14ac:dyDescent="0.2"/>
    <row r="986" s="69" customFormat="1" x14ac:dyDescent="0.2"/>
    <row r="987" s="69" customFormat="1" x14ac:dyDescent="0.2"/>
    <row r="988" s="69" customFormat="1" x14ac:dyDescent="0.2"/>
    <row r="989" s="69" customFormat="1" x14ac:dyDescent="0.2"/>
    <row r="990" s="69" customFormat="1" x14ac:dyDescent="0.2"/>
    <row r="991" s="69" customFormat="1" x14ac:dyDescent="0.2"/>
    <row r="992" s="69" customFormat="1" x14ac:dyDescent="0.2"/>
    <row r="993" s="69" customFormat="1" x14ac:dyDescent="0.2"/>
    <row r="994" s="69" customFormat="1" x14ac:dyDescent="0.2"/>
    <row r="995" s="69" customFormat="1" x14ac:dyDescent="0.2"/>
    <row r="996" s="69" customFormat="1" x14ac:dyDescent="0.2"/>
    <row r="997" s="69" customFormat="1" x14ac:dyDescent="0.2"/>
    <row r="998" s="69" customFormat="1" x14ac:dyDescent="0.2"/>
    <row r="999" s="69" customFormat="1" x14ac:dyDescent="0.2"/>
    <row r="1000" s="69" customFormat="1" x14ac:dyDescent="0.2"/>
    <row r="1001" s="69" customFormat="1" x14ac:dyDescent="0.2"/>
    <row r="1002" s="69" customFormat="1" x14ac:dyDescent="0.2"/>
    <row r="1003" s="69" customFormat="1" x14ac:dyDescent="0.2"/>
    <row r="1004" s="69" customFormat="1" x14ac:dyDescent="0.2"/>
    <row r="1005" s="69" customFormat="1" x14ac:dyDescent="0.2"/>
    <row r="1006" s="69" customFormat="1" x14ac:dyDescent="0.2"/>
    <row r="1007" s="69" customFormat="1" x14ac:dyDescent="0.2"/>
    <row r="1008" s="69" customFormat="1" x14ac:dyDescent="0.2"/>
    <row r="1009" s="69" customFormat="1" x14ac:dyDescent="0.2"/>
    <row r="1010" s="69" customFormat="1" x14ac:dyDescent="0.2"/>
    <row r="1011" s="69" customFormat="1" x14ac:dyDescent="0.2"/>
    <row r="1012" s="69" customFormat="1" x14ac:dyDescent="0.2"/>
    <row r="1013" s="69" customFormat="1" x14ac:dyDescent="0.2"/>
    <row r="1014" s="69" customFormat="1" x14ac:dyDescent="0.2"/>
    <row r="1015" s="69" customFormat="1" x14ac:dyDescent="0.2"/>
    <row r="1016" s="69" customFormat="1" x14ac:dyDescent="0.2"/>
    <row r="1017" s="69" customFormat="1" x14ac:dyDescent="0.2"/>
    <row r="1018" s="69" customFormat="1" x14ac:dyDescent="0.2"/>
    <row r="1019" s="69" customFormat="1" x14ac:dyDescent="0.2"/>
    <row r="1020" s="69" customFormat="1" x14ac:dyDescent="0.2"/>
    <row r="1021" s="69" customFormat="1" x14ac:dyDescent="0.2"/>
    <row r="1022" s="69" customFormat="1" x14ac:dyDescent="0.2"/>
    <row r="1023" s="69" customFormat="1" x14ac:dyDescent="0.2"/>
    <row r="1024" s="69" customFormat="1" x14ac:dyDescent="0.2"/>
    <row r="1025" s="69" customFormat="1" x14ac:dyDescent="0.2"/>
    <row r="1026" s="69" customFormat="1" x14ac:dyDescent="0.2"/>
    <row r="1027" s="69" customFormat="1" x14ac:dyDescent="0.2"/>
    <row r="1028" s="69" customFormat="1" x14ac:dyDescent="0.2"/>
    <row r="1029" s="69" customFormat="1" x14ac:dyDescent="0.2"/>
    <row r="1030" s="69" customFormat="1" x14ac:dyDescent="0.2"/>
    <row r="1031" s="69" customFormat="1" x14ac:dyDescent="0.2"/>
    <row r="1032" s="69" customFormat="1" x14ac:dyDescent="0.2"/>
    <row r="1033" s="69" customFormat="1" x14ac:dyDescent="0.2"/>
    <row r="1034" s="69" customFormat="1" x14ac:dyDescent="0.2"/>
    <row r="1035" s="69" customFormat="1" x14ac:dyDescent="0.2"/>
    <row r="1036" s="69" customFormat="1" x14ac:dyDescent="0.2"/>
    <row r="1037" s="69" customFormat="1" x14ac:dyDescent="0.2"/>
    <row r="1038" s="69" customFormat="1" x14ac:dyDescent="0.2"/>
    <row r="1039" s="69" customFormat="1" x14ac:dyDescent="0.2"/>
    <row r="1040" s="69" customFormat="1" x14ac:dyDescent="0.2"/>
    <row r="1041" s="69" customFormat="1" x14ac:dyDescent="0.2"/>
    <row r="1042" s="69" customFormat="1" x14ac:dyDescent="0.2"/>
    <row r="1043" s="69" customFormat="1" x14ac:dyDescent="0.2"/>
    <row r="1044" s="69" customFormat="1" x14ac:dyDescent="0.2"/>
    <row r="1045" s="69" customFormat="1" x14ac:dyDescent="0.2"/>
    <row r="1046" s="69" customFormat="1" x14ac:dyDescent="0.2"/>
    <row r="1047" s="69" customFormat="1" x14ac:dyDescent="0.2"/>
    <row r="1048" s="69" customFormat="1" x14ac:dyDescent="0.2"/>
    <row r="1049" s="69" customFormat="1" x14ac:dyDescent="0.2"/>
    <row r="1050" s="69" customFormat="1" x14ac:dyDescent="0.2"/>
    <row r="1051" s="69" customFormat="1" x14ac:dyDescent="0.2"/>
    <row r="1052" s="69" customFormat="1" x14ac:dyDescent="0.2"/>
    <row r="1053" s="69" customFormat="1" x14ac:dyDescent="0.2"/>
    <row r="1054" s="69" customFormat="1" x14ac:dyDescent="0.2"/>
    <row r="1055" s="69" customFormat="1" x14ac:dyDescent="0.2"/>
    <row r="1056" s="69" customFormat="1" x14ac:dyDescent="0.2"/>
    <row r="1057" s="69" customFormat="1" x14ac:dyDescent="0.2"/>
    <row r="1058" s="69" customFormat="1" x14ac:dyDescent="0.2"/>
    <row r="1059" s="69" customFormat="1" x14ac:dyDescent="0.2"/>
    <row r="1060" s="69" customFormat="1" x14ac:dyDescent="0.2"/>
    <row r="1061" s="69" customFormat="1" x14ac:dyDescent="0.2"/>
    <row r="1062" s="69" customFormat="1" x14ac:dyDescent="0.2"/>
    <row r="1063" s="69" customFormat="1" x14ac:dyDescent="0.2"/>
    <row r="1064" s="69" customFormat="1" x14ac:dyDescent="0.2"/>
    <row r="1065" s="69" customFormat="1" x14ac:dyDescent="0.2"/>
    <row r="1066" s="69" customFormat="1" x14ac:dyDescent="0.2"/>
    <row r="1067" s="69" customFormat="1" x14ac:dyDescent="0.2"/>
    <row r="1068" s="69" customFormat="1" x14ac:dyDescent="0.2"/>
    <row r="1069" s="69" customFormat="1" x14ac:dyDescent="0.2"/>
    <row r="1070" s="69" customFormat="1" x14ac:dyDescent="0.2"/>
    <row r="1071" s="69" customFormat="1" x14ac:dyDescent="0.2"/>
    <row r="1072" s="69" customFormat="1" x14ac:dyDescent="0.2"/>
    <row r="1073" s="69" customFormat="1" x14ac:dyDescent="0.2"/>
    <row r="1074" s="69" customFormat="1" x14ac:dyDescent="0.2"/>
    <row r="1075" s="69" customFormat="1" x14ac:dyDescent="0.2"/>
    <row r="1076" s="69" customFormat="1" x14ac:dyDescent="0.2"/>
    <row r="1077" s="69" customFormat="1" x14ac:dyDescent="0.2"/>
    <row r="1078" s="69" customFormat="1" x14ac:dyDescent="0.2"/>
    <row r="1079" s="69" customFormat="1" x14ac:dyDescent="0.2"/>
    <row r="1080" s="69" customFormat="1" x14ac:dyDescent="0.2"/>
    <row r="1081" s="69" customFormat="1" x14ac:dyDescent="0.2"/>
    <row r="1082" s="69" customFormat="1" x14ac:dyDescent="0.2"/>
    <row r="1083" s="69" customFormat="1" x14ac:dyDescent="0.2"/>
    <row r="1084" s="69" customFormat="1" x14ac:dyDescent="0.2"/>
    <row r="1085" s="69" customFormat="1" x14ac:dyDescent="0.2"/>
    <row r="1086" s="69" customFormat="1" x14ac:dyDescent="0.2"/>
    <row r="1087" s="69" customFormat="1" x14ac:dyDescent="0.2"/>
    <row r="1088" s="69" customFormat="1" x14ac:dyDescent="0.2"/>
    <row r="1089" s="69" customFormat="1" x14ac:dyDescent="0.2"/>
    <row r="1090" s="69" customFormat="1" x14ac:dyDescent="0.2"/>
    <row r="1091" s="69" customFormat="1" x14ac:dyDescent="0.2"/>
    <row r="1092" s="69" customFormat="1" x14ac:dyDescent="0.2"/>
    <row r="1093" s="69" customFormat="1" x14ac:dyDescent="0.2"/>
    <row r="1094" s="69" customFormat="1" x14ac:dyDescent="0.2"/>
    <row r="1095" s="69" customFormat="1" x14ac:dyDescent="0.2"/>
    <row r="1096" s="69" customFormat="1" x14ac:dyDescent="0.2"/>
    <row r="1097" s="69" customFormat="1" x14ac:dyDescent="0.2"/>
    <row r="1098" s="69" customFormat="1" x14ac:dyDescent="0.2"/>
    <row r="1099" s="69" customFormat="1" x14ac:dyDescent="0.2"/>
    <row r="1100" s="69" customFormat="1" x14ac:dyDescent="0.2"/>
    <row r="1101" s="69" customFormat="1" x14ac:dyDescent="0.2"/>
    <row r="1102" s="69" customFormat="1" x14ac:dyDescent="0.2"/>
    <row r="1103" s="69" customFormat="1" x14ac:dyDescent="0.2"/>
    <row r="1104" s="69" customFormat="1" x14ac:dyDescent="0.2"/>
    <row r="1105" s="69" customFormat="1" x14ac:dyDescent="0.2"/>
    <row r="1106" s="69" customFormat="1" x14ac:dyDescent="0.2"/>
    <row r="1107" s="69" customFormat="1" x14ac:dyDescent="0.2"/>
    <row r="1108" s="69" customFormat="1" x14ac:dyDescent="0.2"/>
    <row r="1109" s="69" customFormat="1" x14ac:dyDescent="0.2"/>
    <row r="1110" s="69" customFormat="1" x14ac:dyDescent="0.2"/>
    <row r="1111" s="69" customFormat="1" x14ac:dyDescent="0.2"/>
    <row r="1112" s="69" customFormat="1" x14ac:dyDescent="0.2"/>
    <row r="1113" s="69" customFormat="1" x14ac:dyDescent="0.2"/>
    <row r="1114" s="69" customFormat="1" x14ac:dyDescent="0.2"/>
    <row r="1115" s="69" customFormat="1" x14ac:dyDescent="0.2"/>
    <row r="1116" s="69" customFormat="1" x14ac:dyDescent="0.2"/>
    <row r="1117" s="69" customFormat="1" x14ac:dyDescent="0.2"/>
    <row r="1118" s="69" customFormat="1" x14ac:dyDescent="0.2"/>
    <row r="1119" s="69" customFormat="1" x14ac:dyDescent="0.2"/>
    <row r="1120" s="69" customFormat="1" x14ac:dyDescent="0.2"/>
    <row r="1121" s="69" customFormat="1" x14ac:dyDescent="0.2"/>
    <row r="1122" s="69" customFormat="1" x14ac:dyDescent="0.2"/>
    <row r="1123" s="69" customFormat="1" x14ac:dyDescent="0.2"/>
    <row r="1124" s="69" customFormat="1" x14ac:dyDescent="0.2"/>
    <row r="1125" s="69" customFormat="1" x14ac:dyDescent="0.2"/>
    <row r="1126" s="69" customFormat="1" x14ac:dyDescent="0.2"/>
    <row r="1127" s="69" customFormat="1" x14ac:dyDescent="0.2"/>
    <row r="1128" s="69" customFormat="1" x14ac:dyDescent="0.2"/>
    <row r="1129" s="69" customFormat="1" x14ac:dyDescent="0.2"/>
    <row r="1130" s="69" customFormat="1" x14ac:dyDescent="0.2"/>
    <row r="1131" s="69" customFormat="1" x14ac:dyDescent="0.2"/>
    <row r="1132" s="69" customFormat="1" x14ac:dyDescent="0.2"/>
    <row r="1133" s="69" customFormat="1" x14ac:dyDescent="0.2"/>
    <row r="1134" s="69" customFormat="1" x14ac:dyDescent="0.2"/>
    <row r="1135" s="69" customFormat="1" x14ac:dyDescent="0.2"/>
    <row r="1136" s="69" customFormat="1" x14ac:dyDescent="0.2"/>
    <row r="1137" s="69" customFormat="1" x14ac:dyDescent="0.2"/>
    <row r="1138" s="69" customFormat="1" x14ac:dyDescent="0.2"/>
    <row r="1139" s="69" customFormat="1" x14ac:dyDescent="0.2"/>
    <row r="1140" s="69" customFormat="1" x14ac:dyDescent="0.2"/>
    <row r="1141" s="69" customFormat="1" x14ac:dyDescent="0.2"/>
    <row r="1142" s="69" customFormat="1" x14ac:dyDescent="0.2"/>
    <row r="1143" s="69" customFormat="1" x14ac:dyDescent="0.2"/>
    <row r="1144" s="69" customFormat="1" x14ac:dyDescent="0.2"/>
    <row r="1145" s="69" customFormat="1" x14ac:dyDescent="0.2"/>
    <row r="1146" s="69" customFormat="1" x14ac:dyDescent="0.2"/>
    <row r="1147" s="69" customFormat="1" x14ac:dyDescent="0.2"/>
    <row r="1148" s="69" customFormat="1" x14ac:dyDescent="0.2"/>
    <row r="1149" s="69" customFormat="1" x14ac:dyDescent="0.2"/>
    <row r="1150" s="69" customFormat="1" x14ac:dyDescent="0.2"/>
    <row r="1151" s="69" customFormat="1" x14ac:dyDescent="0.2"/>
    <row r="1152" s="69" customFormat="1" x14ac:dyDescent="0.2"/>
    <row r="1153" s="69" customFormat="1" x14ac:dyDescent="0.2"/>
    <row r="1154" s="69" customFormat="1" x14ac:dyDescent="0.2"/>
    <row r="1155" s="69" customFormat="1" x14ac:dyDescent="0.2"/>
    <row r="1156" s="69" customFormat="1" x14ac:dyDescent="0.2"/>
    <row r="1157" s="69" customFormat="1" x14ac:dyDescent="0.2"/>
    <row r="1158" s="69" customFormat="1" x14ac:dyDescent="0.2"/>
    <row r="1159" s="69" customFormat="1" x14ac:dyDescent="0.2"/>
    <row r="1160" s="69" customFormat="1" x14ac:dyDescent="0.2"/>
    <row r="1161" s="69" customFormat="1" x14ac:dyDescent="0.2"/>
    <row r="1162" s="69" customFormat="1" x14ac:dyDescent="0.2"/>
    <row r="1163" s="69" customFormat="1" x14ac:dyDescent="0.2"/>
    <row r="1164" s="69" customFormat="1" x14ac:dyDescent="0.2"/>
    <row r="1165" s="69" customFormat="1" x14ac:dyDescent="0.2"/>
    <row r="1166" s="69" customFormat="1" x14ac:dyDescent="0.2"/>
    <row r="1167" s="69" customFormat="1" x14ac:dyDescent="0.2"/>
    <row r="1168" s="69" customFormat="1" x14ac:dyDescent="0.2"/>
    <row r="1169" s="69" customFormat="1" x14ac:dyDescent="0.2"/>
    <row r="1170" s="69" customFormat="1" x14ac:dyDescent="0.2"/>
    <row r="1171" s="69" customFormat="1" x14ac:dyDescent="0.2"/>
    <row r="1172" s="69" customFormat="1" x14ac:dyDescent="0.2"/>
    <row r="1173" s="69" customFormat="1" x14ac:dyDescent="0.2"/>
    <row r="1174" s="69" customFormat="1" x14ac:dyDescent="0.2"/>
    <row r="1175" s="69" customFormat="1" x14ac:dyDescent="0.2"/>
    <row r="1176" s="69" customFormat="1" x14ac:dyDescent="0.2"/>
    <row r="1177" s="69" customFormat="1" x14ac:dyDescent="0.2"/>
    <row r="1178" s="69" customFormat="1" x14ac:dyDescent="0.2"/>
    <row r="1179" s="69" customFormat="1" x14ac:dyDescent="0.2"/>
    <row r="1180" s="69" customFormat="1" x14ac:dyDescent="0.2"/>
    <row r="1181" s="69" customFormat="1" x14ac:dyDescent="0.2"/>
    <row r="1182" s="69" customFormat="1" x14ac:dyDescent="0.2"/>
    <row r="1183" s="69" customFormat="1" x14ac:dyDescent="0.2"/>
    <row r="1184" s="69" customFormat="1" x14ac:dyDescent="0.2"/>
    <row r="1185" s="69" customFormat="1" x14ac:dyDescent="0.2"/>
    <row r="1186" s="69" customFormat="1" x14ac:dyDescent="0.2"/>
    <row r="1187" s="69" customFormat="1" x14ac:dyDescent="0.2"/>
    <row r="1188" s="69" customFormat="1" x14ac:dyDescent="0.2"/>
    <row r="1189" s="69" customFormat="1" x14ac:dyDescent="0.2"/>
    <row r="1190" s="69" customFormat="1" x14ac:dyDescent="0.2"/>
    <row r="1191" s="69" customFormat="1" x14ac:dyDescent="0.2"/>
    <row r="1192" s="69" customFormat="1" x14ac:dyDescent="0.2"/>
    <row r="1193" s="69" customFormat="1" x14ac:dyDescent="0.2"/>
    <row r="1194" s="69" customFormat="1" x14ac:dyDescent="0.2"/>
    <row r="1195" s="69" customFormat="1" x14ac:dyDescent="0.2"/>
    <row r="1196" s="69" customFormat="1" x14ac:dyDescent="0.2"/>
    <row r="1197" s="69" customFormat="1" x14ac:dyDescent="0.2"/>
    <row r="1198" s="69" customFormat="1" x14ac:dyDescent="0.2"/>
    <row r="1199" s="69" customFormat="1" x14ac:dyDescent="0.2"/>
    <row r="1200" s="69" customFormat="1" x14ac:dyDescent="0.2"/>
    <row r="1201" s="69" customFormat="1" x14ac:dyDescent="0.2"/>
    <row r="1202" s="69" customFormat="1" x14ac:dyDescent="0.2"/>
    <row r="1203" s="69" customFormat="1" x14ac:dyDescent="0.2"/>
    <row r="1204" s="69" customFormat="1" x14ac:dyDescent="0.2"/>
    <row r="1205" s="69" customFormat="1" x14ac:dyDescent="0.2"/>
    <row r="1206" s="69" customFormat="1" x14ac:dyDescent="0.2"/>
    <row r="1207" s="69" customFormat="1" x14ac:dyDescent="0.2"/>
    <row r="1208" s="69" customFormat="1" x14ac:dyDescent="0.2"/>
    <row r="1209" s="69" customFormat="1" x14ac:dyDescent="0.2"/>
    <row r="1210" s="69" customFormat="1" x14ac:dyDescent="0.2"/>
    <row r="1211" s="69" customFormat="1" x14ac:dyDescent="0.2"/>
    <row r="1212" s="69" customFormat="1" x14ac:dyDescent="0.2"/>
    <row r="1213" s="69" customFormat="1" x14ac:dyDescent="0.2"/>
    <row r="1214" s="69" customFormat="1" x14ac:dyDescent="0.2"/>
    <row r="1215" s="69" customFormat="1" x14ac:dyDescent="0.2"/>
    <row r="1216" s="69" customFormat="1" x14ac:dyDescent="0.2"/>
    <row r="1217" s="69" customFormat="1" x14ac:dyDescent="0.2"/>
    <row r="1218" s="69" customFormat="1" x14ac:dyDescent="0.2"/>
    <row r="1219" s="69" customFormat="1" x14ac:dyDescent="0.2"/>
    <row r="1220" s="69" customFormat="1" x14ac:dyDescent="0.2"/>
    <row r="1221" s="69" customFormat="1" x14ac:dyDescent="0.2"/>
    <row r="1222" s="69" customFormat="1" x14ac:dyDescent="0.2"/>
    <row r="1223" s="69" customFormat="1" x14ac:dyDescent="0.2"/>
    <row r="1224" s="69" customFormat="1" x14ac:dyDescent="0.2"/>
    <row r="1225" s="69" customFormat="1" x14ac:dyDescent="0.2"/>
    <row r="1226" s="69" customFormat="1" x14ac:dyDescent="0.2"/>
    <row r="1227" s="69" customFormat="1" x14ac:dyDescent="0.2"/>
    <row r="1228" s="69" customFormat="1" x14ac:dyDescent="0.2"/>
    <row r="1229" s="69" customFormat="1" x14ac:dyDescent="0.2"/>
    <row r="1230" s="69" customFormat="1" x14ac:dyDescent="0.2"/>
    <row r="1231" s="69" customFormat="1" x14ac:dyDescent="0.2"/>
    <row r="1232" s="69" customFormat="1" x14ac:dyDescent="0.2"/>
    <row r="1233" s="69" customFormat="1" x14ac:dyDescent="0.2"/>
    <row r="1234" s="69" customFormat="1" x14ac:dyDescent="0.2"/>
    <row r="1235" s="69" customFormat="1" x14ac:dyDescent="0.2"/>
    <row r="1236" s="69" customFormat="1" x14ac:dyDescent="0.2"/>
    <row r="1237" s="69" customFormat="1" x14ac:dyDescent="0.2"/>
    <row r="1238" s="69" customFormat="1" x14ac:dyDescent="0.2"/>
    <row r="1239" s="69" customFormat="1" x14ac:dyDescent="0.2"/>
    <row r="1240" s="69" customFormat="1" x14ac:dyDescent="0.2"/>
    <row r="1241" s="69" customFormat="1" x14ac:dyDescent="0.2"/>
    <row r="1242" s="69" customFormat="1" x14ac:dyDescent="0.2"/>
    <row r="1243" s="69" customFormat="1" x14ac:dyDescent="0.2"/>
    <row r="1244" s="69" customFormat="1" x14ac:dyDescent="0.2"/>
    <row r="1245" s="69" customFormat="1" x14ac:dyDescent="0.2"/>
    <row r="1246" s="69" customFormat="1" x14ac:dyDescent="0.2"/>
    <row r="1247" s="69" customFormat="1" x14ac:dyDescent="0.2"/>
    <row r="1248" s="69" customFormat="1" x14ac:dyDescent="0.2"/>
    <row r="1249" s="69" customFormat="1" x14ac:dyDescent="0.2"/>
    <row r="1250" s="69" customFormat="1" x14ac:dyDescent="0.2"/>
    <row r="1251" s="69" customFormat="1" x14ac:dyDescent="0.2"/>
    <row r="1252" s="69" customFormat="1" x14ac:dyDescent="0.2"/>
    <row r="1253" s="69" customFormat="1" x14ac:dyDescent="0.2"/>
    <row r="1254" s="69" customFormat="1" x14ac:dyDescent="0.2"/>
    <row r="1255" s="69" customFormat="1" x14ac:dyDescent="0.2"/>
    <row r="1256" s="69" customFormat="1" x14ac:dyDescent="0.2"/>
    <row r="1257" s="69" customFormat="1" x14ac:dyDescent="0.2"/>
    <row r="1258" s="69" customFormat="1" x14ac:dyDescent="0.2"/>
    <row r="1259" s="69" customFormat="1" x14ac:dyDescent="0.2"/>
    <row r="1260" s="69" customFormat="1" x14ac:dyDescent="0.2"/>
    <row r="1261" s="69" customFormat="1" x14ac:dyDescent="0.2"/>
    <row r="1262" s="69" customFormat="1" x14ac:dyDescent="0.2"/>
    <row r="1263" s="69" customFormat="1" x14ac:dyDescent="0.2"/>
    <row r="1264" s="69" customFormat="1" x14ac:dyDescent="0.2"/>
    <row r="1265" s="69" customFormat="1" x14ac:dyDescent="0.2"/>
    <row r="1266" s="69" customFormat="1" x14ac:dyDescent="0.2"/>
    <row r="1267" s="69" customFormat="1" x14ac:dyDescent="0.2"/>
    <row r="1268" s="69" customFormat="1" x14ac:dyDescent="0.2"/>
    <row r="1269" s="69" customFormat="1" x14ac:dyDescent="0.2"/>
    <row r="1270" s="69" customFormat="1" x14ac:dyDescent="0.2"/>
    <row r="1271" s="69" customFormat="1" x14ac:dyDescent="0.2"/>
    <row r="1272" s="69" customFormat="1" x14ac:dyDescent="0.2"/>
    <row r="1273" s="69" customFormat="1" x14ac:dyDescent="0.2"/>
    <row r="1274" s="69" customFormat="1" x14ac:dyDescent="0.2"/>
    <row r="1275" s="69" customFormat="1" x14ac:dyDescent="0.2"/>
    <row r="1276" s="69" customFormat="1" x14ac:dyDescent="0.2"/>
    <row r="1277" s="69" customFormat="1" x14ac:dyDescent="0.2"/>
    <row r="1278" s="69" customFormat="1" x14ac:dyDescent="0.2"/>
    <row r="1279" s="69" customFormat="1" x14ac:dyDescent="0.2"/>
    <row r="1280" s="69" customFormat="1" x14ac:dyDescent="0.2"/>
    <row r="1281" s="69" customFormat="1" x14ac:dyDescent="0.2"/>
    <row r="1282" s="69" customFormat="1" x14ac:dyDescent="0.2"/>
    <row r="1283" s="69" customFormat="1" x14ac:dyDescent="0.2"/>
    <row r="1284" s="69" customFormat="1" x14ac:dyDescent="0.2"/>
    <row r="1285" s="69" customFormat="1" x14ac:dyDescent="0.2"/>
    <row r="1286" s="69" customFormat="1" x14ac:dyDescent="0.2"/>
    <row r="1287" s="69" customFormat="1" x14ac:dyDescent="0.2"/>
    <row r="1288" s="69" customFormat="1" x14ac:dyDescent="0.2"/>
    <row r="1289" s="69" customFormat="1" x14ac:dyDescent="0.2"/>
    <row r="1290" s="69" customFormat="1" x14ac:dyDescent="0.2"/>
    <row r="1291" s="69" customFormat="1" x14ac:dyDescent="0.2"/>
    <row r="1292" s="69" customFormat="1" x14ac:dyDescent="0.2"/>
    <row r="1293" s="69" customFormat="1" x14ac:dyDescent="0.2"/>
    <row r="1294" s="69" customFormat="1" x14ac:dyDescent="0.2"/>
    <row r="1295" s="69" customFormat="1" x14ac:dyDescent="0.2"/>
    <row r="1296" s="69" customFormat="1" x14ac:dyDescent="0.2"/>
    <row r="1297" s="69" customFormat="1" x14ac:dyDescent="0.2"/>
    <row r="1298" s="69" customFormat="1" x14ac:dyDescent="0.2"/>
    <row r="1299" s="69" customFormat="1" x14ac:dyDescent="0.2"/>
    <row r="1300" s="69" customFormat="1" x14ac:dyDescent="0.2"/>
    <row r="1301" s="69" customFormat="1" x14ac:dyDescent="0.2"/>
    <row r="1302" s="69" customFormat="1" x14ac:dyDescent="0.2"/>
    <row r="1303" s="69" customFormat="1" x14ac:dyDescent="0.2"/>
    <row r="1304" s="69" customFormat="1" x14ac:dyDescent="0.2"/>
    <row r="1305" s="69" customFormat="1" x14ac:dyDescent="0.2"/>
    <row r="1306" s="69" customFormat="1" x14ac:dyDescent="0.2"/>
    <row r="1307" s="69" customFormat="1" x14ac:dyDescent="0.2"/>
    <row r="1308" s="69" customFormat="1" x14ac:dyDescent="0.2"/>
    <row r="1309" s="69" customFormat="1" x14ac:dyDescent="0.2"/>
    <row r="1310" s="69" customFormat="1" x14ac:dyDescent="0.2"/>
    <row r="1311" s="69" customFormat="1" x14ac:dyDescent="0.2"/>
    <row r="1312" s="69" customFormat="1" x14ac:dyDescent="0.2"/>
    <row r="1313" s="69" customFormat="1" x14ac:dyDescent="0.2"/>
    <row r="1314" s="69" customFormat="1" x14ac:dyDescent="0.2"/>
    <row r="1315" s="69" customFormat="1" x14ac:dyDescent="0.2"/>
    <row r="1316" s="69" customFormat="1" x14ac:dyDescent="0.2"/>
    <row r="1317" s="69" customFormat="1" x14ac:dyDescent="0.2"/>
    <row r="1318" s="69" customFormat="1" x14ac:dyDescent="0.2"/>
    <row r="1319" s="69" customFormat="1" x14ac:dyDescent="0.2"/>
    <row r="1320" s="69" customFormat="1" x14ac:dyDescent="0.2"/>
    <row r="1321" s="69" customFormat="1" x14ac:dyDescent="0.2"/>
    <row r="1322" s="69" customFormat="1" x14ac:dyDescent="0.2"/>
    <row r="1323" s="69" customFormat="1" x14ac:dyDescent="0.2"/>
    <row r="1324" s="69" customFormat="1" x14ac:dyDescent="0.2"/>
    <row r="1325" s="69" customFormat="1" x14ac:dyDescent="0.2"/>
    <row r="1326" s="69" customFormat="1" x14ac:dyDescent="0.2"/>
    <row r="1327" s="69" customFormat="1" x14ac:dyDescent="0.2"/>
    <row r="1328" s="69" customFormat="1" x14ac:dyDescent="0.2"/>
    <row r="1329" s="69" customFormat="1" x14ac:dyDescent="0.2"/>
    <row r="1330" s="69" customFormat="1" x14ac:dyDescent="0.2"/>
    <row r="1331" s="69" customFormat="1" x14ac:dyDescent="0.2"/>
    <row r="1332" s="69" customFormat="1" x14ac:dyDescent="0.2"/>
    <row r="1333" s="69" customFormat="1" x14ac:dyDescent="0.2"/>
    <row r="1334" s="69" customFormat="1" x14ac:dyDescent="0.2"/>
    <row r="1335" s="69" customFormat="1" x14ac:dyDescent="0.2"/>
    <row r="1336" s="69" customFormat="1" x14ac:dyDescent="0.2"/>
    <row r="1337" s="69" customFormat="1" x14ac:dyDescent="0.2"/>
    <row r="1338" s="69" customFormat="1" x14ac:dyDescent="0.2"/>
    <row r="1339" s="69" customFormat="1" x14ac:dyDescent="0.2"/>
    <row r="1340" s="69" customFormat="1" x14ac:dyDescent="0.2"/>
    <row r="1341" s="69" customFormat="1" x14ac:dyDescent="0.2"/>
    <row r="1342" s="69" customFormat="1" x14ac:dyDescent="0.2"/>
    <row r="1343" s="69" customFormat="1" x14ac:dyDescent="0.2"/>
    <row r="1344" s="69" customFormat="1" x14ac:dyDescent="0.2"/>
    <row r="1345" s="69" customFormat="1" x14ac:dyDescent="0.2"/>
    <row r="1346" s="69" customFormat="1" x14ac:dyDescent="0.2"/>
    <row r="1347" s="69" customFormat="1" x14ac:dyDescent="0.2"/>
    <row r="1348" s="69" customFormat="1" x14ac:dyDescent="0.2"/>
    <row r="1349" s="69" customFormat="1" x14ac:dyDescent="0.2"/>
    <row r="1350" s="69" customFormat="1" x14ac:dyDescent="0.2"/>
    <row r="1351" s="69" customFormat="1" x14ac:dyDescent="0.2"/>
  </sheetData>
  <sheetProtection password="C404" sheet="1" objects="1" scenarios="1" selectLockedCells="1"/>
  <mergeCells count="54">
    <mergeCell ref="A2:AJ4"/>
    <mergeCell ref="A5:AJ5"/>
    <mergeCell ref="A6:AJ6"/>
    <mergeCell ref="A7:AJ7"/>
    <mergeCell ref="A48:AJ48"/>
    <mergeCell ref="A45:AJ45"/>
    <mergeCell ref="A46:AJ46"/>
    <mergeCell ref="A39:AJ39"/>
    <mergeCell ref="A34:AJ34"/>
    <mergeCell ref="A23:AJ23"/>
    <mergeCell ref="A56:AJ56"/>
    <mergeCell ref="A1:AJ1"/>
    <mergeCell ref="A52:AJ52"/>
    <mergeCell ref="A53:AJ53"/>
    <mergeCell ref="A54:AJ54"/>
    <mergeCell ref="A12:AJ12"/>
    <mergeCell ref="A13:AJ13"/>
    <mergeCell ref="A14:AJ14"/>
    <mergeCell ref="A8:AJ8"/>
    <mergeCell ref="A44:AJ44"/>
    <mergeCell ref="A51:AJ51"/>
    <mergeCell ref="A43:AJ43"/>
    <mergeCell ref="A9:AJ9"/>
    <mergeCell ref="A49:AJ49"/>
    <mergeCell ref="A10:AJ10"/>
    <mergeCell ref="A55:AJ55"/>
    <mergeCell ref="A27:AJ27"/>
    <mergeCell ref="A28:AJ28"/>
    <mergeCell ref="A29:AJ29"/>
    <mergeCell ref="A30:AJ30"/>
    <mergeCell ref="A31:AJ31"/>
    <mergeCell ref="A50:AJ50"/>
    <mergeCell ref="A40:AJ40"/>
    <mergeCell ref="A47:AJ47"/>
    <mergeCell ref="A41:AJ41"/>
    <mergeCell ref="A42:AJ42"/>
    <mergeCell ref="A36:AJ36"/>
    <mergeCell ref="A11:AJ11"/>
    <mergeCell ref="A15:AJ15"/>
    <mergeCell ref="A24:AJ24"/>
    <mergeCell ref="A25:AJ25"/>
    <mergeCell ref="A26:AJ26"/>
    <mergeCell ref="A38:AJ38"/>
    <mergeCell ref="A37:AJ37"/>
    <mergeCell ref="A35:AJ35"/>
    <mergeCell ref="A33:AJ33"/>
    <mergeCell ref="A32:AJ32"/>
    <mergeCell ref="A20:AJ20"/>
    <mergeCell ref="A21:AJ21"/>
    <mergeCell ref="A22:AJ22"/>
    <mergeCell ref="A16:AJ16"/>
    <mergeCell ref="A17:AJ17"/>
    <mergeCell ref="A18:AJ18"/>
    <mergeCell ref="A19:AJ19"/>
  </mergeCells>
  <phoneticPr fontId="2" type="noConversion"/>
  <printOptions horizontalCentered="1" verticalCentered="1"/>
  <pageMargins left="0.43" right="0.32" top="0.48" bottom="0.52" header="0.2" footer="0.3"/>
  <pageSetup orientation="portrait" blackAndWhite="1" r:id="rId1"/>
  <headerFooter alignWithMargins="0">
    <oddFooter>&amp;L&amp;CPage 5 [Annex]&amp;RSEL / REV-02 / 01-AUG-05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H1:IV891"/>
  <sheetViews>
    <sheetView topLeftCell="AK1" workbookViewId="0">
      <selection activeCell="BC1" sqref="BC1:BC9"/>
    </sheetView>
  </sheetViews>
  <sheetFormatPr defaultColWidth="6.140625" defaultRowHeight="12.75" x14ac:dyDescent="0.2"/>
  <cols>
    <col min="1" max="7" width="6.140625" customWidth="1"/>
    <col min="8" max="8" width="11.28515625" customWidth="1"/>
    <col min="9" max="25" width="6.140625" customWidth="1"/>
    <col min="26" max="26" width="1" customWidth="1"/>
    <col min="27" max="28" width="6.140625" hidden="1" customWidth="1"/>
    <col min="29" max="29" width="29.140625" customWidth="1"/>
    <col min="30" max="30" width="19.140625" hidden="1" customWidth="1"/>
    <col min="31" max="31" width="25.140625" customWidth="1"/>
    <col min="32" max="32" width="10.85546875" customWidth="1"/>
    <col min="33" max="33" width="13.7109375" hidden="1" customWidth="1"/>
    <col min="34" max="34" width="21.85546875" customWidth="1"/>
    <col min="35" max="39" width="6.140625" customWidth="1"/>
    <col min="40" max="40" width="36.7109375" customWidth="1"/>
    <col min="41" max="41" width="13.5703125" customWidth="1"/>
    <col min="55" max="55" width="10" customWidth="1"/>
  </cols>
  <sheetData>
    <row r="1" spans="8:256" x14ac:dyDescent="0.2">
      <c r="AC1" t="s">
        <v>3568</v>
      </c>
      <c r="AD1" t="s">
        <v>3592</v>
      </c>
      <c r="AE1" t="s">
        <v>3753</v>
      </c>
      <c r="AG1" t="s">
        <v>1453</v>
      </c>
      <c r="AH1" t="s">
        <v>2344</v>
      </c>
      <c r="AI1" t="s">
        <v>2524</v>
      </c>
      <c r="AJ1" t="s">
        <v>2551</v>
      </c>
      <c r="AK1" t="s">
        <v>2569</v>
      </c>
      <c r="AL1" t="s">
        <v>2579</v>
      </c>
      <c r="AM1" t="s">
        <v>2640</v>
      </c>
      <c r="AN1" t="s">
        <v>2685</v>
      </c>
      <c r="AO1" t="s">
        <v>2712</v>
      </c>
      <c r="AP1" t="s">
        <v>2747</v>
      </c>
      <c r="AQ1" t="s">
        <v>2764</v>
      </c>
      <c r="AR1" t="s">
        <v>2868</v>
      </c>
      <c r="AT1" t="s">
        <v>3067</v>
      </c>
      <c r="AU1" t="s">
        <v>2880</v>
      </c>
      <c r="AV1" t="s">
        <v>3068</v>
      </c>
      <c r="AW1" t="s">
        <v>3111</v>
      </c>
      <c r="AZ1" t="s">
        <v>458</v>
      </c>
    </row>
    <row r="2" spans="8:256" x14ac:dyDescent="0.2">
      <c r="AC2" t="s">
        <v>3520</v>
      </c>
      <c r="AD2" t="s">
        <v>3593</v>
      </c>
      <c r="AE2" t="s">
        <v>3754</v>
      </c>
      <c r="AG2" t="s">
        <v>1454</v>
      </c>
      <c r="AH2" t="s">
        <v>1467</v>
      </c>
      <c r="AI2" t="s">
        <v>785</v>
      </c>
      <c r="AJ2" t="s">
        <v>2552</v>
      </c>
      <c r="AK2" t="s">
        <v>2570</v>
      </c>
      <c r="AL2" t="s">
        <v>2580</v>
      </c>
      <c r="AM2" t="s">
        <v>2641</v>
      </c>
      <c r="AN2" t="s">
        <v>2686</v>
      </c>
      <c r="AO2" t="s">
        <v>2713</v>
      </c>
      <c r="AP2" t="s">
        <v>2748</v>
      </c>
      <c r="AQ2" t="s">
        <v>2765</v>
      </c>
      <c r="AR2" t="s">
        <v>2869</v>
      </c>
      <c r="AT2" s="93" t="s">
        <v>786</v>
      </c>
      <c r="AU2" t="s">
        <v>2881</v>
      </c>
      <c r="AV2" t="s">
        <v>3069</v>
      </c>
      <c r="AW2" t="s">
        <v>3112</v>
      </c>
      <c r="AZ2">
        <v>9</v>
      </c>
      <c r="IV2" t="s">
        <v>787</v>
      </c>
    </row>
    <row r="3" spans="8:256" x14ac:dyDescent="0.2">
      <c r="AC3" t="s">
        <v>3517</v>
      </c>
      <c r="AD3" t="s">
        <v>3594</v>
      </c>
      <c r="AE3" t="s">
        <v>3755</v>
      </c>
      <c r="AG3" t="s">
        <v>1455</v>
      </c>
      <c r="AH3" t="s">
        <v>2345</v>
      </c>
      <c r="AI3" t="s">
        <v>788</v>
      </c>
      <c r="AJ3" t="s">
        <v>2553</v>
      </c>
      <c r="AK3" t="s">
        <v>2571</v>
      </c>
      <c r="AL3" t="s">
        <v>2581</v>
      </c>
      <c r="AM3" t="s">
        <v>2642</v>
      </c>
      <c r="AN3" t="s">
        <v>2687</v>
      </c>
      <c r="AO3" t="s">
        <v>2714</v>
      </c>
      <c r="AP3" t="s">
        <v>2367</v>
      </c>
      <c r="AQ3" t="s">
        <v>2346</v>
      </c>
      <c r="AR3" t="s">
        <v>2870</v>
      </c>
      <c r="AT3" s="93" t="s">
        <v>789</v>
      </c>
      <c r="AU3" t="s">
        <v>2882</v>
      </c>
      <c r="AV3" t="s">
        <v>3070</v>
      </c>
      <c r="AW3" t="s">
        <v>3113</v>
      </c>
      <c r="AZ3">
        <v>6</v>
      </c>
      <c r="IV3" t="s">
        <v>790</v>
      </c>
    </row>
    <row r="4" spans="8:256" x14ac:dyDescent="0.2">
      <c r="AC4" t="s">
        <v>3521</v>
      </c>
      <c r="AD4" t="s">
        <v>3595</v>
      </c>
      <c r="AE4" t="s">
        <v>3756</v>
      </c>
      <c r="AG4" t="s">
        <v>1456</v>
      </c>
      <c r="AH4" t="s">
        <v>791</v>
      </c>
      <c r="AI4" t="s">
        <v>792</v>
      </c>
      <c r="AJ4" t="s">
        <v>2554</v>
      </c>
      <c r="AK4" t="s">
        <v>2572</v>
      </c>
      <c r="AL4" t="s">
        <v>2582</v>
      </c>
      <c r="AM4" t="s">
        <v>2643</v>
      </c>
      <c r="AN4" t="s">
        <v>2688</v>
      </c>
      <c r="AO4" t="s">
        <v>2715</v>
      </c>
      <c r="AP4" t="s">
        <v>2749</v>
      </c>
      <c r="AQ4" t="s">
        <v>2347</v>
      </c>
      <c r="AR4" t="s">
        <v>2871</v>
      </c>
      <c r="AT4" s="93" t="s">
        <v>793</v>
      </c>
      <c r="AU4" t="s">
        <v>2883</v>
      </c>
      <c r="AV4" t="s">
        <v>3071</v>
      </c>
      <c r="AW4" t="s">
        <v>3114</v>
      </c>
      <c r="AZ4">
        <v>5</v>
      </c>
    </row>
    <row r="5" spans="8:256" x14ac:dyDescent="0.2">
      <c r="AC5" t="s">
        <v>3518</v>
      </c>
      <c r="AD5" t="s">
        <v>3596</v>
      </c>
      <c r="AE5" t="s">
        <v>3757</v>
      </c>
      <c r="AG5" t="s">
        <v>1457</v>
      </c>
      <c r="AH5" t="s">
        <v>794</v>
      </c>
      <c r="AI5" t="s">
        <v>2348</v>
      </c>
      <c r="AJ5" t="s">
        <v>2555</v>
      </c>
      <c r="AK5" t="s">
        <v>2573</v>
      </c>
      <c r="AL5" t="s">
        <v>2583</v>
      </c>
      <c r="AM5" t="s">
        <v>2644</v>
      </c>
      <c r="AN5" t="s">
        <v>2689</v>
      </c>
      <c r="AO5" t="s">
        <v>2716</v>
      </c>
      <c r="AP5" t="s">
        <v>2750</v>
      </c>
      <c r="AQ5" t="s">
        <v>795</v>
      </c>
      <c r="AR5" t="s">
        <v>2872</v>
      </c>
      <c r="AT5" s="93" t="s">
        <v>796</v>
      </c>
      <c r="AU5" t="s">
        <v>2884</v>
      </c>
      <c r="AV5" t="s">
        <v>3072</v>
      </c>
      <c r="AW5" t="s">
        <v>3115</v>
      </c>
      <c r="AZ5">
        <v>4</v>
      </c>
    </row>
    <row r="6" spans="8:256" x14ac:dyDescent="0.2">
      <c r="AC6" t="s">
        <v>3569</v>
      </c>
      <c r="AD6" t="s">
        <v>3597</v>
      </c>
      <c r="AE6" t="s">
        <v>3758</v>
      </c>
      <c r="AG6" t="s">
        <v>1458</v>
      </c>
      <c r="AH6" t="s">
        <v>797</v>
      </c>
      <c r="AI6" t="s">
        <v>2349</v>
      </c>
      <c r="AJ6" t="s">
        <v>2556</v>
      </c>
      <c r="AK6" t="s">
        <v>2574</v>
      </c>
      <c r="AL6" t="s">
        <v>2584</v>
      </c>
      <c r="AM6" t="s">
        <v>2645</v>
      </c>
      <c r="AN6" t="s">
        <v>2690</v>
      </c>
      <c r="AO6" t="s">
        <v>798</v>
      </c>
      <c r="AP6" t="s">
        <v>2373</v>
      </c>
      <c r="AQ6" t="s">
        <v>799</v>
      </c>
      <c r="AR6" t="s">
        <v>2873</v>
      </c>
      <c r="AT6" s="93" t="s">
        <v>800</v>
      </c>
      <c r="AU6" t="s">
        <v>2885</v>
      </c>
      <c r="AV6" t="s">
        <v>3073</v>
      </c>
      <c r="AW6" t="s">
        <v>3116</v>
      </c>
      <c r="AZ6" t="s">
        <v>459</v>
      </c>
    </row>
    <row r="7" spans="8:256" x14ac:dyDescent="0.2">
      <c r="AC7" t="s">
        <v>3570</v>
      </c>
      <c r="AD7" t="s">
        <v>3598</v>
      </c>
      <c r="AE7" t="s">
        <v>3759</v>
      </c>
      <c r="AG7" t="s">
        <v>1459</v>
      </c>
      <c r="AH7" t="s">
        <v>801</v>
      </c>
      <c r="AI7" t="s">
        <v>2350</v>
      </c>
      <c r="AJ7" t="s">
        <v>2557</v>
      </c>
      <c r="AK7" t="s">
        <v>2575</v>
      </c>
      <c r="AL7" t="s">
        <v>2585</v>
      </c>
      <c r="AM7" t="s">
        <v>2646</v>
      </c>
      <c r="AN7" t="s">
        <v>2541</v>
      </c>
      <c r="AO7" t="s">
        <v>2717</v>
      </c>
      <c r="AP7" t="s">
        <v>2379</v>
      </c>
      <c r="AQ7" t="s">
        <v>802</v>
      </c>
      <c r="AR7" t="s">
        <v>2874</v>
      </c>
      <c r="AT7" s="93" t="s">
        <v>803</v>
      </c>
      <c r="AU7" t="s">
        <v>2886</v>
      </c>
      <c r="AV7" t="s">
        <v>3074</v>
      </c>
      <c r="AW7" t="s">
        <v>3117</v>
      </c>
      <c r="AZ7">
        <v>3</v>
      </c>
    </row>
    <row r="8" spans="8:256" x14ac:dyDescent="0.2">
      <c r="AC8" t="s">
        <v>3571</v>
      </c>
      <c r="AD8" t="s">
        <v>3599</v>
      </c>
      <c r="AE8" t="s">
        <v>3760</v>
      </c>
      <c r="AG8" t="s">
        <v>1460</v>
      </c>
      <c r="AH8" t="s">
        <v>804</v>
      </c>
      <c r="AI8" t="s">
        <v>2351</v>
      </c>
      <c r="AJ8" t="s">
        <v>2558</v>
      </c>
      <c r="AK8" t="s">
        <v>2576</v>
      </c>
      <c r="AL8" t="s">
        <v>2586</v>
      </c>
      <c r="AM8" t="s">
        <v>2647</v>
      </c>
      <c r="AN8" t="s">
        <v>2691</v>
      </c>
      <c r="AO8" t="s">
        <v>2718</v>
      </c>
      <c r="AP8" t="s">
        <v>2382</v>
      </c>
      <c r="AQ8" t="s">
        <v>2766</v>
      </c>
      <c r="AR8" t="s">
        <v>2875</v>
      </c>
      <c r="AT8" s="93" t="s">
        <v>805</v>
      </c>
      <c r="AU8" t="s">
        <v>2887</v>
      </c>
      <c r="AV8" t="s">
        <v>3075</v>
      </c>
      <c r="AW8" t="s">
        <v>3118</v>
      </c>
      <c r="AZ8">
        <v>2</v>
      </c>
    </row>
    <row r="9" spans="8:256" x14ac:dyDescent="0.2">
      <c r="AC9" t="s">
        <v>806</v>
      </c>
      <c r="AD9" t="s">
        <v>3600</v>
      </c>
      <c r="AE9" t="s">
        <v>3761</v>
      </c>
      <c r="AG9" t="s">
        <v>1461</v>
      </c>
      <c r="AH9" t="s">
        <v>807</v>
      </c>
      <c r="AI9" t="s">
        <v>2352</v>
      </c>
      <c r="AJ9" t="s">
        <v>2559</v>
      </c>
      <c r="AK9" t="s">
        <v>2577</v>
      </c>
      <c r="AL9" t="s">
        <v>2587</v>
      </c>
      <c r="AM9" t="s">
        <v>2648</v>
      </c>
      <c r="AN9" t="s">
        <v>2692</v>
      </c>
      <c r="AO9" t="s">
        <v>2719</v>
      </c>
      <c r="AP9" t="s">
        <v>2383</v>
      </c>
      <c r="AQ9" t="s">
        <v>2767</v>
      </c>
      <c r="AR9" t="s">
        <v>2876</v>
      </c>
      <c r="AT9" s="93" t="s">
        <v>808</v>
      </c>
      <c r="AU9" t="s">
        <v>2888</v>
      </c>
      <c r="AV9" t="s">
        <v>3076</v>
      </c>
      <c r="AW9" t="s">
        <v>3119</v>
      </c>
      <c r="AZ9">
        <v>1</v>
      </c>
    </row>
    <row r="10" spans="8:256" x14ac:dyDescent="0.2">
      <c r="AC10" t="s">
        <v>3519</v>
      </c>
      <c r="AD10" t="s">
        <v>3601</v>
      </c>
      <c r="AE10" t="s">
        <v>3762</v>
      </c>
      <c r="AG10" t="s">
        <v>1462</v>
      </c>
      <c r="AH10" t="s">
        <v>809</v>
      </c>
      <c r="AI10" t="s">
        <v>1498</v>
      </c>
      <c r="AJ10" t="s">
        <v>2560</v>
      </c>
      <c r="AK10" t="s">
        <v>2578</v>
      </c>
      <c r="AL10" t="s">
        <v>2588</v>
      </c>
      <c r="AM10" t="s">
        <v>2649</v>
      </c>
      <c r="AN10" t="s">
        <v>2693</v>
      </c>
      <c r="AO10" t="s">
        <v>2720</v>
      </c>
      <c r="AP10" t="s">
        <v>2751</v>
      </c>
      <c r="AQ10" t="s">
        <v>810</v>
      </c>
      <c r="AR10" t="s">
        <v>2877</v>
      </c>
      <c r="AT10" s="93" t="s">
        <v>811</v>
      </c>
      <c r="AU10" t="s">
        <v>2889</v>
      </c>
      <c r="AV10" t="s">
        <v>3077</v>
      </c>
      <c r="AW10" t="s">
        <v>3120</v>
      </c>
      <c r="AZ10">
        <v>0</v>
      </c>
    </row>
    <row r="11" spans="8:256" x14ac:dyDescent="0.2">
      <c r="AC11" t="s">
        <v>3516</v>
      </c>
      <c r="AD11" t="s">
        <v>3602</v>
      </c>
      <c r="AE11" t="s">
        <v>3763</v>
      </c>
      <c r="AG11" t="s">
        <v>1463</v>
      </c>
      <c r="AH11" t="s">
        <v>812</v>
      </c>
      <c r="AI11" t="s">
        <v>2354</v>
      </c>
      <c r="AJ11" t="s">
        <v>2561</v>
      </c>
      <c r="AL11" t="s">
        <v>2589</v>
      </c>
      <c r="AM11" t="s">
        <v>2650</v>
      </c>
      <c r="AN11" t="s">
        <v>2694</v>
      </c>
      <c r="AO11" t="s">
        <v>2721</v>
      </c>
      <c r="AP11" t="s">
        <v>2752</v>
      </c>
      <c r="AQ11" t="s">
        <v>2353</v>
      </c>
      <c r="AR11" t="s">
        <v>2878</v>
      </c>
      <c r="AT11" s="93" t="s">
        <v>813</v>
      </c>
      <c r="AU11" t="s">
        <v>2890</v>
      </c>
      <c r="AV11" t="s">
        <v>3078</v>
      </c>
      <c r="AW11" t="s">
        <v>3121</v>
      </c>
    </row>
    <row r="12" spans="8:256" x14ac:dyDescent="0.2">
      <c r="AC12" t="s">
        <v>3572</v>
      </c>
      <c r="AD12" t="s">
        <v>3603</v>
      </c>
      <c r="AE12" t="s">
        <v>3764</v>
      </c>
      <c r="AG12" t="s">
        <v>1464</v>
      </c>
      <c r="AH12" t="s">
        <v>814</v>
      </c>
      <c r="AI12" t="s">
        <v>2356</v>
      </c>
      <c r="AJ12" t="s">
        <v>2562</v>
      </c>
      <c r="AL12" t="s">
        <v>2590</v>
      </c>
      <c r="AM12" t="s">
        <v>2651</v>
      </c>
      <c r="AN12" t="s">
        <v>2695</v>
      </c>
      <c r="AO12" t="s">
        <v>2722</v>
      </c>
      <c r="AP12" t="s">
        <v>2389</v>
      </c>
      <c r="AQ12" t="s">
        <v>2768</v>
      </c>
      <c r="AR12" t="s">
        <v>2879</v>
      </c>
      <c r="AT12" s="93" t="s">
        <v>815</v>
      </c>
      <c r="AU12" t="s">
        <v>2891</v>
      </c>
      <c r="AV12" t="s">
        <v>3079</v>
      </c>
      <c r="AW12" t="s">
        <v>3122</v>
      </c>
    </row>
    <row r="13" spans="8:256" x14ac:dyDescent="0.2">
      <c r="AC13" t="s">
        <v>3573</v>
      </c>
      <c r="AD13" t="s">
        <v>3604</v>
      </c>
      <c r="AE13" t="s">
        <v>3765</v>
      </c>
      <c r="AG13" t="s">
        <v>1465</v>
      </c>
      <c r="AH13" t="s">
        <v>816</v>
      </c>
      <c r="AI13" t="s">
        <v>2357</v>
      </c>
      <c r="AJ13" t="s">
        <v>817</v>
      </c>
      <c r="AL13" t="s">
        <v>2591</v>
      </c>
      <c r="AM13" t="s">
        <v>2652</v>
      </c>
      <c r="AN13" t="s">
        <v>2696</v>
      </c>
      <c r="AO13" t="s">
        <v>2723</v>
      </c>
      <c r="AP13" t="s">
        <v>2394</v>
      </c>
      <c r="AQ13" t="s">
        <v>2769</v>
      </c>
      <c r="AT13" s="93" t="s">
        <v>818</v>
      </c>
      <c r="AU13" t="s">
        <v>2892</v>
      </c>
      <c r="AV13" t="s">
        <v>3080</v>
      </c>
      <c r="AW13" t="s">
        <v>3123</v>
      </c>
    </row>
    <row r="14" spans="8:256" x14ac:dyDescent="0.2">
      <c r="AC14" t="s">
        <v>3574</v>
      </c>
      <c r="AD14" t="s">
        <v>3605</v>
      </c>
      <c r="AE14" t="s">
        <v>3766</v>
      </c>
      <c r="AG14" t="s">
        <v>1466</v>
      </c>
      <c r="AH14" t="s">
        <v>2355</v>
      </c>
      <c r="AI14" t="s">
        <v>2358</v>
      </c>
      <c r="AJ14" t="s">
        <v>2563</v>
      </c>
      <c r="AL14" t="s">
        <v>2592</v>
      </c>
      <c r="AM14" t="s">
        <v>2653</v>
      </c>
      <c r="AN14" t="s">
        <v>2697</v>
      </c>
      <c r="AO14" t="s">
        <v>2724</v>
      </c>
      <c r="AP14" t="s">
        <v>2396</v>
      </c>
      <c r="AQ14" t="s">
        <v>819</v>
      </c>
      <c r="AT14" s="93" t="s">
        <v>820</v>
      </c>
      <c r="AU14" t="s">
        <v>2893</v>
      </c>
      <c r="AV14" t="s">
        <v>3081</v>
      </c>
      <c r="AW14" t="s">
        <v>3124</v>
      </c>
    </row>
    <row r="15" spans="8:256" x14ac:dyDescent="0.2">
      <c r="H15" s="13"/>
      <c r="AC15" t="s">
        <v>3575</v>
      </c>
      <c r="AD15" t="s">
        <v>3606</v>
      </c>
      <c r="AE15" t="s">
        <v>3767</v>
      </c>
      <c r="AG15" t="s">
        <v>821</v>
      </c>
      <c r="AH15" t="s">
        <v>822</v>
      </c>
      <c r="AI15" t="s">
        <v>1509</v>
      </c>
      <c r="AJ15" t="s">
        <v>2564</v>
      </c>
      <c r="AL15" t="s">
        <v>2593</v>
      </c>
      <c r="AM15" t="s">
        <v>2654</v>
      </c>
      <c r="AN15" t="s">
        <v>2698</v>
      </c>
      <c r="AO15" t="s">
        <v>2725</v>
      </c>
      <c r="AP15" t="s">
        <v>2401</v>
      </c>
      <c r="AQ15" t="s">
        <v>823</v>
      </c>
      <c r="AT15" s="93" t="s">
        <v>824</v>
      </c>
      <c r="AU15" t="s">
        <v>2894</v>
      </c>
      <c r="AV15" t="s">
        <v>3082</v>
      </c>
      <c r="AW15" t="s">
        <v>3125</v>
      </c>
    </row>
    <row r="16" spans="8:256" x14ac:dyDescent="0.2">
      <c r="AC16" t="s">
        <v>3576</v>
      </c>
      <c r="AD16" t="s">
        <v>3607</v>
      </c>
      <c r="AE16" t="s">
        <v>3768</v>
      </c>
      <c r="AG16" t="s">
        <v>1468</v>
      </c>
      <c r="AH16" t="s">
        <v>825</v>
      </c>
      <c r="AI16" t="s">
        <v>2359</v>
      </c>
      <c r="AJ16" t="s">
        <v>2565</v>
      </c>
      <c r="AL16" t="s">
        <v>1666</v>
      </c>
      <c r="AM16" t="s">
        <v>2655</v>
      </c>
      <c r="AN16" t="s">
        <v>2699</v>
      </c>
      <c r="AO16" t="s">
        <v>2726</v>
      </c>
      <c r="AP16" t="s">
        <v>2404</v>
      </c>
      <c r="AQ16" t="s">
        <v>2770</v>
      </c>
      <c r="AT16" s="93" t="s">
        <v>826</v>
      </c>
      <c r="AU16" t="s">
        <v>2895</v>
      </c>
      <c r="AV16" t="s">
        <v>3083</v>
      </c>
      <c r="AW16" t="s">
        <v>3126</v>
      </c>
    </row>
    <row r="17" spans="29:49" x14ac:dyDescent="0.2">
      <c r="AC17" t="s">
        <v>3577</v>
      </c>
      <c r="AD17" t="s">
        <v>3608</v>
      </c>
      <c r="AE17" t="s">
        <v>3769</v>
      </c>
      <c r="AG17" t="s">
        <v>1469</v>
      </c>
      <c r="AH17" t="s">
        <v>827</v>
      </c>
      <c r="AI17" t="s">
        <v>1522</v>
      </c>
      <c r="AJ17" t="s">
        <v>2566</v>
      </c>
      <c r="AL17" t="s">
        <v>2594</v>
      </c>
      <c r="AM17" t="s">
        <v>2656</v>
      </c>
      <c r="AN17" t="s">
        <v>2700</v>
      </c>
      <c r="AO17" t="s">
        <v>2727</v>
      </c>
      <c r="AP17" t="s">
        <v>2753</v>
      </c>
      <c r="AQ17" t="s">
        <v>828</v>
      </c>
      <c r="AT17" s="93" t="s">
        <v>829</v>
      </c>
      <c r="AU17" t="s">
        <v>2896</v>
      </c>
      <c r="AV17" t="s">
        <v>3084</v>
      </c>
      <c r="AW17" t="s">
        <v>3127</v>
      </c>
    </row>
    <row r="18" spans="29:49" x14ac:dyDescent="0.2">
      <c r="AC18" t="s">
        <v>3578</v>
      </c>
      <c r="AD18" t="s">
        <v>3609</v>
      </c>
      <c r="AE18" t="s">
        <v>3770</v>
      </c>
      <c r="AG18" t="s">
        <v>1470</v>
      </c>
      <c r="AH18" t="s">
        <v>830</v>
      </c>
      <c r="AI18" t="s">
        <v>2360</v>
      </c>
      <c r="AJ18" t="s">
        <v>2567</v>
      </c>
      <c r="AL18" t="s">
        <v>2595</v>
      </c>
      <c r="AM18" t="s">
        <v>2657</v>
      </c>
      <c r="AN18" t="s">
        <v>2701</v>
      </c>
      <c r="AO18" t="s">
        <v>2728</v>
      </c>
      <c r="AP18" t="s">
        <v>2417</v>
      </c>
      <c r="AQ18" t="s">
        <v>831</v>
      </c>
      <c r="AT18" s="93" t="s">
        <v>832</v>
      </c>
      <c r="AU18" t="s">
        <v>2897</v>
      </c>
      <c r="AV18" t="s">
        <v>3085</v>
      </c>
      <c r="AW18" t="s">
        <v>3128</v>
      </c>
    </row>
    <row r="19" spans="29:49" x14ac:dyDescent="0.2">
      <c r="AC19" t="s">
        <v>3579</v>
      </c>
      <c r="AD19" t="s">
        <v>3610</v>
      </c>
      <c r="AE19" t="s">
        <v>3771</v>
      </c>
      <c r="AG19" t="s">
        <v>1471</v>
      </c>
      <c r="AH19" t="s">
        <v>833</v>
      </c>
      <c r="AI19" t="s">
        <v>1542</v>
      </c>
      <c r="AJ19" t="s">
        <v>2568</v>
      </c>
      <c r="AL19" t="s">
        <v>2596</v>
      </c>
      <c r="AM19" t="s">
        <v>2658</v>
      </c>
      <c r="AN19" t="s">
        <v>2702</v>
      </c>
      <c r="AO19" t="s">
        <v>2729</v>
      </c>
      <c r="AP19" t="s">
        <v>2424</v>
      </c>
      <c r="AQ19" t="s">
        <v>834</v>
      </c>
      <c r="AT19" s="93" t="s">
        <v>835</v>
      </c>
      <c r="AU19" t="s">
        <v>2898</v>
      </c>
      <c r="AV19" t="s">
        <v>3086</v>
      </c>
      <c r="AW19" t="s">
        <v>3129</v>
      </c>
    </row>
    <row r="20" spans="29:49" x14ac:dyDescent="0.2">
      <c r="AC20" t="s">
        <v>3580</v>
      </c>
      <c r="AD20" t="s">
        <v>3611</v>
      </c>
      <c r="AE20" t="s">
        <v>3772</v>
      </c>
      <c r="AG20" t="s">
        <v>1472</v>
      </c>
      <c r="AH20" t="s">
        <v>836</v>
      </c>
      <c r="AI20" t="s">
        <v>2361</v>
      </c>
      <c r="AL20" t="s">
        <v>2597</v>
      </c>
      <c r="AM20" t="s">
        <v>2659</v>
      </c>
      <c r="AN20" t="s">
        <v>2703</v>
      </c>
      <c r="AO20" t="s">
        <v>2730</v>
      </c>
      <c r="AP20" t="s">
        <v>2427</v>
      </c>
      <c r="AQ20" t="s">
        <v>2771</v>
      </c>
      <c r="AT20" t="s">
        <v>837</v>
      </c>
      <c r="AU20" t="s">
        <v>2899</v>
      </c>
      <c r="AV20" t="s">
        <v>3087</v>
      </c>
      <c r="AW20" t="s">
        <v>3130</v>
      </c>
    </row>
    <row r="21" spans="29:49" x14ac:dyDescent="0.2">
      <c r="AC21" t="s">
        <v>3581</v>
      </c>
      <c r="AD21" t="s">
        <v>3612</v>
      </c>
      <c r="AE21" t="s">
        <v>3773</v>
      </c>
      <c r="AG21" t="s">
        <v>1473</v>
      </c>
      <c r="AH21" t="s">
        <v>838</v>
      </c>
      <c r="AI21" t="s">
        <v>2362</v>
      </c>
      <c r="AL21" t="s">
        <v>2598</v>
      </c>
      <c r="AM21" t="s">
        <v>2660</v>
      </c>
      <c r="AN21" t="s">
        <v>2704</v>
      </c>
      <c r="AO21" t="s">
        <v>2731</v>
      </c>
      <c r="AP21" t="s">
        <v>2431</v>
      </c>
      <c r="AQ21" t="s">
        <v>839</v>
      </c>
      <c r="AT21" t="s">
        <v>840</v>
      </c>
      <c r="AU21" t="s">
        <v>2900</v>
      </c>
      <c r="AV21" t="s">
        <v>3088</v>
      </c>
      <c r="AW21" t="s">
        <v>3131</v>
      </c>
    </row>
    <row r="22" spans="29:49" x14ac:dyDescent="0.2">
      <c r="AC22" t="s">
        <v>841</v>
      </c>
      <c r="AD22" t="s">
        <v>3613</v>
      </c>
      <c r="AE22" t="s">
        <v>3774</v>
      </c>
      <c r="AG22" t="s">
        <v>1474</v>
      </c>
      <c r="AH22" t="s">
        <v>842</v>
      </c>
      <c r="AI22" t="s">
        <v>2363</v>
      </c>
      <c r="AL22" t="s">
        <v>2599</v>
      </c>
      <c r="AM22" t="s">
        <v>2661</v>
      </c>
      <c r="AN22" t="s">
        <v>2705</v>
      </c>
      <c r="AO22" t="s">
        <v>2732</v>
      </c>
      <c r="AP22" t="s">
        <v>2754</v>
      </c>
      <c r="AQ22" t="s">
        <v>2772</v>
      </c>
      <c r="AT22" t="s">
        <v>843</v>
      </c>
      <c r="AU22" t="s">
        <v>2901</v>
      </c>
      <c r="AV22" t="s">
        <v>3089</v>
      </c>
      <c r="AW22" t="s">
        <v>3132</v>
      </c>
    </row>
    <row r="23" spans="29:49" x14ac:dyDescent="0.2">
      <c r="AC23" t="s">
        <v>3582</v>
      </c>
      <c r="AD23" t="s">
        <v>3614</v>
      </c>
      <c r="AE23" t="s">
        <v>3775</v>
      </c>
      <c r="AG23" t="s">
        <v>1475</v>
      </c>
      <c r="AH23" t="s">
        <v>844</v>
      </c>
      <c r="AI23" t="s">
        <v>2525</v>
      </c>
      <c r="AL23" t="s">
        <v>2600</v>
      </c>
      <c r="AM23" t="s">
        <v>2662</v>
      </c>
      <c r="AN23" t="s">
        <v>2706</v>
      </c>
      <c r="AO23" t="s">
        <v>2733</v>
      </c>
      <c r="AP23" t="s">
        <v>2755</v>
      </c>
      <c r="AQ23" t="s">
        <v>845</v>
      </c>
      <c r="AT23" t="s">
        <v>846</v>
      </c>
      <c r="AU23" t="s">
        <v>2902</v>
      </c>
      <c r="AV23" t="s">
        <v>3090</v>
      </c>
      <c r="AW23" t="s">
        <v>3133</v>
      </c>
    </row>
    <row r="24" spans="29:49" x14ac:dyDescent="0.2">
      <c r="AC24" t="s">
        <v>3583</v>
      </c>
      <c r="AD24" t="s">
        <v>3615</v>
      </c>
      <c r="AE24" t="s">
        <v>3776</v>
      </c>
      <c r="AG24" t="s">
        <v>1476</v>
      </c>
      <c r="AH24" t="s">
        <v>847</v>
      </c>
      <c r="AI24" t="s">
        <v>2364</v>
      </c>
      <c r="AL24" t="s">
        <v>2601</v>
      </c>
      <c r="AM24" t="s">
        <v>2663</v>
      </c>
      <c r="AN24" t="s">
        <v>2707</v>
      </c>
      <c r="AO24" t="s">
        <v>2734</v>
      </c>
      <c r="AP24" t="s">
        <v>2756</v>
      </c>
      <c r="AQ24" t="s">
        <v>1552</v>
      </c>
      <c r="AT24" t="s">
        <v>848</v>
      </c>
      <c r="AU24" t="s">
        <v>2903</v>
      </c>
      <c r="AV24" t="s">
        <v>3522</v>
      </c>
      <c r="AW24" t="s">
        <v>3134</v>
      </c>
    </row>
    <row r="25" spans="29:49" x14ac:dyDescent="0.2">
      <c r="AC25" t="s">
        <v>849</v>
      </c>
      <c r="AD25" t="s">
        <v>3616</v>
      </c>
      <c r="AE25" t="s">
        <v>3777</v>
      </c>
      <c r="AG25" t="s">
        <v>1477</v>
      </c>
      <c r="AH25" t="s">
        <v>850</v>
      </c>
      <c r="AI25" t="s">
        <v>2365</v>
      </c>
      <c r="AL25" t="s">
        <v>2602</v>
      </c>
      <c r="AM25" t="s">
        <v>2664</v>
      </c>
      <c r="AN25" t="s">
        <v>2708</v>
      </c>
      <c r="AO25" t="s">
        <v>2735</v>
      </c>
      <c r="AP25" t="s">
        <v>2757</v>
      </c>
      <c r="AQ25" t="s">
        <v>2773</v>
      </c>
      <c r="AT25" t="s">
        <v>851</v>
      </c>
      <c r="AU25" t="s">
        <v>2904</v>
      </c>
      <c r="AV25" t="s">
        <v>3091</v>
      </c>
      <c r="AW25" t="s">
        <v>3135</v>
      </c>
    </row>
    <row r="26" spans="29:49" x14ac:dyDescent="0.2">
      <c r="AC26" t="s">
        <v>3584</v>
      </c>
      <c r="AD26" t="s">
        <v>3617</v>
      </c>
      <c r="AE26" t="s">
        <v>3778</v>
      </c>
      <c r="AG26" t="s">
        <v>1478</v>
      </c>
      <c r="AH26" t="s">
        <v>852</v>
      </c>
      <c r="AI26" t="s">
        <v>2366</v>
      </c>
      <c r="AL26" t="s">
        <v>2603</v>
      </c>
      <c r="AM26" t="s">
        <v>2665</v>
      </c>
      <c r="AN26" t="s">
        <v>2709</v>
      </c>
      <c r="AO26" t="s">
        <v>2736</v>
      </c>
      <c r="AP26" t="s">
        <v>2461</v>
      </c>
      <c r="AQ26" t="s">
        <v>853</v>
      </c>
      <c r="AT26" t="s">
        <v>854</v>
      </c>
      <c r="AU26" t="s">
        <v>2905</v>
      </c>
      <c r="AV26" t="s">
        <v>3092</v>
      </c>
      <c r="AW26" t="s">
        <v>3136</v>
      </c>
    </row>
    <row r="27" spans="29:49" x14ac:dyDescent="0.2">
      <c r="AC27" t="s">
        <v>3585</v>
      </c>
      <c r="AD27" t="s">
        <v>3618</v>
      </c>
      <c r="AE27" t="s">
        <v>3779</v>
      </c>
      <c r="AG27" t="s">
        <v>1479</v>
      </c>
      <c r="AH27" t="s">
        <v>855</v>
      </c>
      <c r="AI27" t="s">
        <v>856</v>
      </c>
      <c r="AL27" t="s">
        <v>2604</v>
      </c>
      <c r="AM27" t="s">
        <v>2666</v>
      </c>
      <c r="AN27" t="s">
        <v>2710</v>
      </c>
      <c r="AO27" t="s">
        <v>2737</v>
      </c>
      <c r="AP27" t="s">
        <v>2469</v>
      </c>
      <c r="AQ27" t="s">
        <v>2774</v>
      </c>
      <c r="AT27" t="s">
        <v>857</v>
      </c>
      <c r="AU27" t="s">
        <v>2906</v>
      </c>
      <c r="AV27" t="s">
        <v>3093</v>
      </c>
      <c r="AW27" t="s">
        <v>3137</v>
      </c>
    </row>
    <row r="28" spans="29:49" x14ac:dyDescent="0.2">
      <c r="AC28" t="s">
        <v>3586</v>
      </c>
      <c r="AD28" t="s">
        <v>3619</v>
      </c>
      <c r="AE28" t="s">
        <v>3780</v>
      </c>
      <c r="AG28" t="s">
        <v>1480</v>
      </c>
      <c r="AH28" t="s">
        <v>858</v>
      </c>
      <c r="AI28" t="s">
        <v>2368</v>
      </c>
      <c r="AL28" t="s">
        <v>2605</v>
      </c>
      <c r="AM28" t="s">
        <v>2667</v>
      </c>
      <c r="AN28" t="s">
        <v>2711</v>
      </c>
      <c r="AO28" t="s">
        <v>2738</v>
      </c>
      <c r="AP28" t="s">
        <v>2758</v>
      </c>
      <c r="AQ28" t="s">
        <v>2775</v>
      </c>
      <c r="AT28" t="s">
        <v>859</v>
      </c>
      <c r="AU28" t="s">
        <v>2907</v>
      </c>
      <c r="AV28" t="s">
        <v>3094</v>
      </c>
      <c r="AW28" t="s">
        <v>3138</v>
      </c>
    </row>
    <row r="29" spans="29:49" x14ac:dyDescent="0.2">
      <c r="AC29" t="s">
        <v>860</v>
      </c>
      <c r="AD29" t="s">
        <v>3620</v>
      </c>
      <c r="AE29" t="s">
        <v>3781</v>
      </c>
      <c r="AG29" t="s">
        <v>1481</v>
      </c>
      <c r="AH29" t="s">
        <v>861</v>
      </c>
      <c r="AI29" t="s">
        <v>2369</v>
      </c>
      <c r="AL29" t="s">
        <v>2606</v>
      </c>
      <c r="AM29" t="s">
        <v>2668</v>
      </c>
      <c r="AO29" t="s">
        <v>2739</v>
      </c>
      <c r="AP29" t="s">
        <v>2475</v>
      </c>
      <c r="AQ29" t="s">
        <v>862</v>
      </c>
      <c r="AT29" t="s">
        <v>863</v>
      </c>
      <c r="AU29" t="s">
        <v>2908</v>
      </c>
      <c r="AV29" t="s">
        <v>3095</v>
      </c>
      <c r="AW29" t="s">
        <v>3139</v>
      </c>
    </row>
    <row r="30" spans="29:49" x14ac:dyDescent="0.2">
      <c r="AC30" t="s">
        <v>3587</v>
      </c>
      <c r="AD30" t="s">
        <v>3621</v>
      </c>
      <c r="AE30" t="s">
        <v>3782</v>
      </c>
      <c r="AG30" t="s">
        <v>1482</v>
      </c>
      <c r="AH30" t="s">
        <v>864</v>
      </c>
      <c r="AI30" t="s">
        <v>2370</v>
      </c>
      <c r="AL30" t="s">
        <v>2607</v>
      </c>
      <c r="AM30" t="s">
        <v>2669</v>
      </c>
      <c r="AO30" t="s">
        <v>2740</v>
      </c>
      <c r="AP30" t="s">
        <v>2759</v>
      </c>
      <c r="AQ30" t="s">
        <v>2776</v>
      </c>
      <c r="AT30" t="s">
        <v>865</v>
      </c>
      <c r="AU30" t="s">
        <v>2909</v>
      </c>
      <c r="AV30" t="s">
        <v>3096</v>
      </c>
      <c r="AW30" t="s">
        <v>3140</v>
      </c>
    </row>
    <row r="31" spans="29:49" x14ac:dyDescent="0.2">
      <c r="AC31" t="s">
        <v>3588</v>
      </c>
      <c r="AD31" t="s">
        <v>3622</v>
      </c>
      <c r="AE31" t="s">
        <v>3783</v>
      </c>
      <c r="AG31" t="s">
        <v>1483</v>
      </c>
      <c r="AH31" t="s">
        <v>866</v>
      </c>
      <c r="AI31" t="s">
        <v>2526</v>
      </c>
      <c r="AL31" t="s">
        <v>2608</v>
      </c>
      <c r="AM31" t="s">
        <v>2670</v>
      </c>
      <c r="AO31" t="s">
        <v>2741</v>
      </c>
      <c r="AP31" t="s">
        <v>2760</v>
      </c>
      <c r="AQ31" t="s">
        <v>2371</v>
      </c>
      <c r="AT31" t="s">
        <v>867</v>
      </c>
      <c r="AU31" t="s">
        <v>2910</v>
      </c>
      <c r="AV31" t="s">
        <v>3097</v>
      </c>
      <c r="AW31" t="s">
        <v>3141</v>
      </c>
    </row>
    <row r="32" spans="29:49" x14ac:dyDescent="0.2">
      <c r="AC32" t="s">
        <v>3589</v>
      </c>
      <c r="AD32" t="s">
        <v>3623</v>
      </c>
      <c r="AE32" t="s">
        <v>3784</v>
      </c>
      <c r="AG32" t="s">
        <v>1484</v>
      </c>
      <c r="AH32" t="s">
        <v>868</v>
      </c>
      <c r="AI32" t="s">
        <v>2527</v>
      </c>
      <c r="AL32" t="s">
        <v>2609</v>
      </c>
      <c r="AM32" t="s">
        <v>2671</v>
      </c>
      <c r="AO32" t="s">
        <v>2742</v>
      </c>
      <c r="AP32" t="s">
        <v>2492</v>
      </c>
      <c r="AQ32" t="s">
        <v>2777</v>
      </c>
      <c r="AT32" t="s">
        <v>869</v>
      </c>
      <c r="AU32" t="s">
        <v>2911</v>
      </c>
      <c r="AV32" t="s">
        <v>3098</v>
      </c>
      <c r="AW32" t="s">
        <v>3142</v>
      </c>
    </row>
    <row r="33" spans="29:49" x14ac:dyDescent="0.2">
      <c r="AC33" t="s">
        <v>3590</v>
      </c>
      <c r="AD33" t="s">
        <v>3624</v>
      </c>
      <c r="AE33" t="s">
        <v>3785</v>
      </c>
      <c r="AG33" t="s">
        <v>1485</v>
      </c>
      <c r="AH33" t="s">
        <v>870</v>
      </c>
      <c r="AI33" t="s">
        <v>871</v>
      </c>
      <c r="AL33" t="s">
        <v>2610</v>
      </c>
      <c r="AM33" t="s">
        <v>2672</v>
      </c>
      <c r="AO33" t="s">
        <v>2743</v>
      </c>
      <c r="AP33" t="s">
        <v>2498</v>
      </c>
      <c r="AQ33" t="s">
        <v>2778</v>
      </c>
      <c r="AT33" t="s">
        <v>872</v>
      </c>
      <c r="AU33" t="s">
        <v>2912</v>
      </c>
      <c r="AV33" t="s">
        <v>3099</v>
      </c>
      <c r="AW33" t="s">
        <v>3143</v>
      </c>
    </row>
    <row r="34" spans="29:49" x14ac:dyDescent="0.2">
      <c r="AC34" t="s">
        <v>3591</v>
      </c>
      <c r="AD34" t="s">
        <v>3625</v>
      </c>
      <c r="AE34" t="s">
        <v>3786</v>
      </c>
      <c r="AG34" t="s">
        <v>1486</v>
      </c>
      <c r="AH34" t="s">
        <v>2372</v>
      </c>
      <c r="AI34" t="s">
        <v>873</v>
      </c>
      <c r="AL34" t="s">
        <v>2611</v>
      </c>
      <c r="AM34" t="s">
        <v>2673</v>
      </c>
      <c r="AO34" t="s">
        <v>2744</v>
      </c>
      <c r="AP34" t="s">
        <v>2761</v>
      </c>
      <c r="AQ34" t="s">
        <v>2779</v>
      </c>
      <c r="AT34" t="s">
        <v>874</v>
      </c>
      <c r="AU34" t="s">
        <v>2913</v>
      </c>
      <c r="AV34" t="s">
        <v>3100</v>
      </c>
      <c r="AW34" t="s">
        <v>3144</v>
      </c>
    </row>
    <row r="35" spans="29:49" x14ac:dyDescent="0.2">
      <c r="AD35" t="s">
        <v>3626</v>
      </c>
      <c r="AE35" t="s">
        <v>3787</v>
      </c>
      <c r="AG35" t="s">
        <v>1487</v>
      </c>
      <c r="AH35" t="s">
        <v>875</v>
      </c>
      <c r="AI35" t="s">
        <v>876</v>
      </c>
      <c r="AL35" t="s">
        <v>2612</v>
      </c>
      <c r="AM35" t="s">
        <v>2674</v>
      </c>
      <c r="AO35" t="s">
        <v>2745</v>
      </c>
      <c r="AP35" t="s">
        <v>2762</v>
      </c>
      <c r="AQ35" t="s">
        <v>2375</v>
      </c>
      <c r="AU35" t="s">
        <v>2914</v>
      </c>
      <c r="AV35" t="s">
        <v>3101</v>
      </c>
      <c r="AW35" t="s">
        <v>3145</v>
      </c>
    </row>
    <row r="36" spans="29:49" x14ac:dyDescent="0.2">
      <c r="AD36" t="s">
        <v>3627</v>
      </c>
      <c r="AE36" t="s">
        <v>3788</v>
      </c>
      <c r="AG36" t="s">
        <v>1488</v>
      </c>
      <c r="AH36" t="s">
        <v>2374</v>
      </c>
      <c r="AI36" t="s">
        <v>877</v>
      </c>
      <c r="AL36" t="s">
        <v>2613</v>
      </c>
      <c r="AM36" t="s">
        <v>2675</v>
      </c>
      <c r="AO36" t="s">
        <v>2746</v>
      </c>
      <c r="AP36" t="s">
        <v>2763</v>
      </c>
      <c r="AQ36" t="s">
        <v>2376</v>
      </c>
      <c r="AU36" t="s">
        <v>2915</v>
      </c>
      <c r="AV36" t="s">
        <v>2547</v>
      </c>
      <c r="AW36" t="s">
        <v>3146</v>
      </c>
    </row>
    <row r="37" spans="29:49" x14ac:dyDescent="0.2">
      <c r="AD37" t="s">
        <v>3628</v>
      </c>
      <c r="AE37" t="s">
        <v>3789</v>
      </c>
      <c r="AG37" t="s">
        <v>1489</v>
      </c>
      <c r="AH37" t="s">
        <v>878</v>
      </c>
      <c r="AI37" t="s">
        <v>879</v>
      </c>
      <c r="AL37" t="s">
        <v>2614</v>
      </c>
      <c r="AM37" t="s">
        <v>2676</v>
      </c>
      <c r="AO37" t="s">
        <v>880</v>
      </c>
      <c r="AP37" t="s">
        <v>2521</v>
      </c>
      <c r="AQ37" t="s">
        <v>2377</v>
      </c>
      <c r="AU37" t="s">
        <v>2916</v>
      </c>
      <c r="AV37" t="s">
        <v>3102</v>
      </c>
      <c r="AW37" t="s">
        <v>3147</v>
      </c>
    </row>
    <row r="38" spans="29:49" x14ac:dyDescent="0.2">
      <c r="AD38" t="s">
        <v>3629</v>
      </c>
      <c r="AE38" t="s">
        <v>3790</v>
      </c>
      <c r="AG38" t="s">
        <v>1490</v>
      </c>
      <c r="AH38" t="s">
        <v>881</v>
      </c>
      <c r="AI38" t="s">
        <v>882</v>
      </c>
      <c r="AL38" t="s">
        <v>2615</v>
      </c>
      <c r="AM38" t="s">
        <v>2677</v>
      </c>
      <c r="AQ38" t="s">
        <v>2780</v>
      </c>
      <c r="AU38" t="s">
        <v>2917</v>
      </c>
      <c r="AV38" t="s">
        <v>3103</v>
      </c>
      <c r="AW38" t="s">
        <v>3148</v>
      </c>
    </row>
    <row r="39" spans="29:49" x14ac:dyDescent="0.2">
      <c r="AD39" t="s">
        <v>3630</v>
      </c>
      <c r="AE39" t="s">
        <v>3791</v>
      </c>
      <c r="AG39" t="s">
        <v>1491</v>
      </c>
      <c r="AH39" t="s">
        <v>883</v>
      </c>
      <c r="AI39" t="s">
        <v>884</v>
      </c>
      <c r="AL39" t="s">
        <v>2616</v>
      </c>
      <c r="AM39" t="s">
        <v>2678</v>
      </c>
      <c r="AQ39" t="s">
        <v>2781</v>
      </c>
      <c r="AU39" t="s">
        <v>2918</v>
      </c>
      <c r="AV39" t="s">
        <v>3104</v>
      </c>
      <c r="AW39" t="s">
        <v>3149</v>
      </c>
    </row>
    <row r="40" spans="29:49" x14ac:dyDescent="0.2">
      <c r="AD40" t="s">
        <v>3631</v>
      </c>
      <c r="AE40" t="s">
        <v>3792</v>
      </c>
      <c r="AG40" t="s">
        <v>1492</v>
      </c>
      <c r="AH40" t="s">
        <v>2378</v>
      </c>
      <c r="AI40" t="s">
        <v>885</v>
      </c>
      <c r="AL40" t="s">
        <v>2617</v>
      </c>
      <c r="AM40" t="s">
        <v>2679</v>
      </c>
      <c r="AQ40" t="s">
        <v>2782</v>
      </c>
      <c r="AU40" t="s">
        <v>2919</v>
      </c>
      <c r="AV40" t="s">
        <v>3105</v>
      </c>
      <c r="AW40" t="s">
        <v>3150</v>
      </c>
    </row>
    <row r="41" spans="29:49" x14ac:dyDescent="0.2">
      <c r="AD41" t="s">
        <v>3632</v>
      </c>
      <c r="AE41" t="s">
        <v>3793</v>
      </c>
      <c r="AG41" t="s">
        <v>1493</v>
      </c>
      <c r="AH41" t="s">
        <v>886</v>
      </c>
      <c r="AI41" t="s">
        <v>887</v>
      </c>
      <c r="AL41" t="s">
        <v>2618</v>
      </c>
      <c r="AM41" t="s">
        <v>2680</v>
      </c>
      <c r="AQ41" t="s">
        <v>1651</v>
      </c>
      <c r="AU41" t="s">
        <v>2920</v>
      </c>
      <c r="AV41" t="s">
        <v>3106</v>
      </c>
      <c r="AW41" t="s">
        <v>3151</v>
      </c>
    </row>
    <row r="42" spans="29:49" x14ac:dyDescent="0.2">
      <c r="AD42" t="s">
        <v>3633</v>
      </c>
      <c r="AE42" t="s">
        <v>3794</v>
      </c>
      <c r="AG42" t="s">
        <v>1494</v>
      </c>
      <c r="AH42" t="s">
        <v>2380</v>
      </c>
      <c r="AI42" t="s">
        <v>888</v>
      </c>
      <c r="AL42" t="s">
        <v>2619</v>
      </c>
      <c r="AM42" t="s">
        <v>2681</v>
      </c>
      <c r="AQ42" t="s">
        <v>2783</v>
      </c>
      <c r="AU42" t="s">
        <v>2921</v>
      </c>
      <c r="AV42" t="s">
        <v>3107</v>
      </c>
      <c r="AW42" t="s">
        <v>3152</v>
      </c>
    </row>
    <row r="43" spans="29:49" x14ac:dyDescent="0.2">
      <c r="AD43" t="s">
        <v>3634</v>
      </c>
      <c r="AE43" t="s">
        <v>3795</v>
      </c>
      <c r="AG43" t="s">
        <v>1495</v>
      </c>
      <c r="AH43" t="s">
        <v>889</v>
      </c>
      <c r="AI43" t="s">
        <v>890</v>
      </c>
      <c r="AL43" t="s">
        <v>2620</v>
      </c>
      <c r="AM43" t="s">
        <v>2682</v>
      </c>
      <c r="AQ43" t="s">
        <v>2784</v>
      </c>
      <c r="AU43" t="s">
        <v>2922</v>
      </c>
      <c r="AV43" t="s">
        <v>3108</v>
      </c>
      <c r="AW43" t="s">
        <v>3153</v>
      </c>
    </row>
    <row r="44" spans="29:49" x14ac:dyDescent="0.2">
      <c r="AD44" t="s">
        <v>3635</v>
      </c>
      <c r="AE44" t="s">
        <v>3796</v>
      </c>
      <c r="AG44" t="s">
        <v>1496</v>
      </c>
      <c r="AH44" t="s">
        <v>2381</v>
      </c>
      <c r="AI44" t="s">
        <v>891</v>
      </c>
      <c r="AL44" t="s">
        <v>2621</v>
      </c>
      <c r="AM44" t="s">
        <v>2683</v>
      </c>
      <c r="AQ44" t="s">
        <v>2785</v>
      </c>
      <c r="AU44" t="s">
        <v>2923</v>
      </c>
      <c r="AV44" t="s">
        <v>3109</v>
      </c>
      <c r="AW44" t="s">
        <v>3154</v>
      </c>
    </row>
    <row r="45" spans="29:49" x14ac:dyDescent="0.2">
      <c r="AD45" t="s">
        <v>3636</v>
      </c>
      <c r="AE45" t="s">
        <v>3797</v>
      </c>
      <c r="AG45" t="s">
        <v>1497</v>
      </c>
      <c r="AH45" t="s">
        <v>892</v>
      </c>
      <c r="AI45" t="s">
        <v>893</v>
      </c>
      <c r="AL45" t="s">
        <v>2622</v>
      </c>
      <c r="AM45" t="s">
        <v>2684</v>
      </c>
      <c r="AQ45" t="s">
        <v>2384</v>
      </c>
      <c r="AU45" t="s">
        <v>2924</v>
      </c>
      <c r="AV45" t="s">
        <v>3110</v>
      </c>
      <c r="AW45" t="s">
        <v>3155</v>
      </c>
    </row>
    <row r="46" spans="29:49" x14ac:dyDescent="0.2">
      <c r="AD46" t="s">
        <v>3637</v>
      </c>
      <c r="AE46" t="s">
        <v>3798</v>
      </c>
      <c r="AG46" t="s">
        <v>894</v>
      </c>
      <c r="AH46" t="s">
        <v>895</v>
      </c>
      <c r="AI46" t="s">
        <v>896</v>
      </c>
      <c r="AL46" t="s">
        <v>2623</v>
      </c>
      <c r="AQ46" t="s">
        <v>1672</v>
      </c>
      <c r="AU46" t="s">
        <v>2925</v>
      </c>
      <c r="AW46" t="s">
        <v>3156</v>
      </c>
    </row>
    <row r="47" spans="29:49" x14ac:dyDescent="0.2">
      <c r="AD47" t="s">
        <v>3638</v>
      </c>
      <c r="AE47" t="s">
        <v>3799</v>
      </c>
      <c r="AG47" t="s">
        <v>1499</v>
      </c>
      <c r="AH47" t="s">
        <v>897</v>
      </c>
      <c r="AI47" t="s">
        <v>898</v>
      </c>
      <c r="AL47" t="s">
        <v>2624</v>
      </c>
      <c r="AQ47" t="s">
        <v>2786</v>
      </c>
      <c r="AU47" t="s">
        <v>2926</v>
      </c>
      <c r="AW47" t="s">
        <v>3157</v>
      </c>
    </row>
    <row r="48" spans="29:49" x14ac:dyDescent="0.2">
      <c r="AD48" t="s">
        <v>3639</v>
      </c>
      <c r="AE48" t="s">
        <v>3800</v>
      </c>
      <c r="AG48" t="s">
        <v>1500</v>
      </c>
      <c r="AH48" t="s">
        <v>899</v>
      </c>
      <c r="AI48" t="s">
        <v>900</v>
      </c>
      <c r="AL48" t="s">
        <v>901</v>
      </c>
      <c r="AQ48" t="s">
        <v>2787</v>
      </c>
      <c r="AU48" t="s">
        <v>2927</v>
      </c>
      <c r="AW48" t="s">
        <v>902</v>
      </c>
    </row>
    <row r="49" spans="30:49" x14ac:dyDescent="0.2">
      <c r="AD49" t="s">
        <v>3640</v>
      </c>
      <c r="AE49" t="s">
        <v>3801</v>
      </c>
      <c r="AG49" t="s">
        <v>1501</v>
      </c>
      <c r="AH49" t="s">
        <v>2385</v>
      </c>
      <c r="AI49" t="s">
        <v>903</v>
      </c>
      <c r="AL49" t="s">
        <v>2625</v>
      </c>
      <c r="AQ49" t="s">
        <v>2788</v>
      </c>
      <c r="AU49" t="s">
        <v>2928</v>
      </c>
      <c r="AW49" t="s">
        <v>3158</v>
      </c>
    </row>
    <row r="50" spans="30:49" x14ac:dyDescent="0.2">
      <c r="AD50" t="s">
        <v>3641</v>
      </c>
      <c r="AE50" t="s">
        <v>3802</v>
      </c>
      <c r="AG50" t="s">
        <v>1502</v>
      </c>
      <c r="AH50" t="s">
        <v>2386</v>
      </c>
      <c r="AI50" t="s">
        <v>2528</v>
      </c>
      <c r="AL50" t="s">
        <v>2626</v>
      </c>
      <c r="AQ50" t="s">
        <v>2789</v>
      </c>
      <c r="AU50" t="s">
        <v>2929</v>
      </c>
      <c r="AW50" t="s">
        <v>3159</v>
      </c>
    </row>
    <row r="51" spans="30:49" x14ac:dyDescent="0.2">
      <c r="AD51" t="s">
        <v>3642</v>
      </c>
      <c r="AE51" t="s">
        <v>3803</v>
      </c>
      <c r="AG51" t="s">
        <v>1503</v>
      </c>
      <c r="AH51" t="s">
        <v>2387</v>
      </c>
      <c r="AI51" t="s">
        <v>904</v>
      </c>
      <c r="AL51" t="s">
        <v>2627</v>
      </c>
      <c r="AQ51" t="s">
        <v>2790</v>
      </c>
      <c r="AU51" t="s">
        <v>2930</v>
      </c>
      <c r="AW51" t="s">
        <v>3160</v>
      </c>
    </row>
    <row r="52" spans="30:49" x14ac:dyDescent="0.2">
      <c r="AD52" t="s">
        <v>3643</v>
      </c>
      <c r="AE52" t="s">
        <v>3804</v>
      </c>
      <c r="AG52" t="s">
        <v>1504</v>
      </c>
      <c r="AH52" t="s">
        <v>2388</v>
      </c>
      <c r="AI52" t="s">
        <v>905</v>
      </c>
      <c r="AL52" t="s">
        <v>2628</v>
      </c>
      <c r="AQ52" t="s">
        <v>2791</v>
      </c>
      <c r="AU52" t="s">
        <v>2931</v>
      </c>
      <c r="AW52" t="s">
        <v>3161</v>
      </c>
    </row>
    <row r="53" spans="30:49" x14ac:dyDescent="0.2">
      <c r="AD53" t="s">
        <v>3644</v>
      </c>
      <c r="AE53" t="s">
        <v>3805</v>
      </c>
      <c r="AG53" t="s">
        <v>1505</v>
      </c>
      <c r="AH53" t="s">
        <v>906</v>
      </c>
      <c r="AI53" t="s">
        <v>907</v>
      </c>
      <c r="AL53" t="s">
        <v>2629</v>
      </c>
      <c r="AQ53" t="s">
        <v>2792</v>
      </c>
      <c r="AU53" t="s">
        <v>2932</v>
      </c>
      <c r="AW53" t="s">
        <v>3162</v>
      </c>
    </row>
    <row r="54" spans="30:49" x14ac:dyDescent="0.2">
      <c r="AD54" t="s">
        <v>3645</v>
      </c>
      <c r="AE54" t="s">
        <v>3806</v>
      </c>
      <c r="AG54" t="s">
        <v>1506</v>
      </c>
      <c r="AH54" t="s">
        <v>2390</v>
      </c>
      <c r="AI54" t="s">
        <v>908</v>
      </c>
      <c r="AL54" t="s">
        <v>2630</v>
      </c>
      <c r="AQ54" t="s">
        <v>2391</v>
      </c>
      <c r="AU54" t="s">
        <v>2933</v>
      </c>
      <c r="AW54" t="s">
        <v>3163</v>
      </c>
    </row>
    <row r="55" spans="30:49" x14ac:dyDescent="0.2">
      <c r="AD55" t="s">
        <v>3646</v>
      </c>
      <c r="AE55" t="s">
        <v>3807</v>
      </c>
      <c r="AG55" t="s">
        <v>1507</v>
      </c>
      <c r="AH55" t="s">
        <v>909</v>
      </c>
      <c r="AI55" t="s">
        <v>910</v>
      </c>
      <c r="AL55" t="s">
        <v>2631</v>
      </c>
      <c r="AQ55" t="s">
        <v>2392</v>
      </c>
      <c r="AU55" t="s">
        <v>2934</v>
      </c>
      <c r="AW55" t="s">
        <v>3164</v>
      </c>
    </row>
    <row r="56" spans="30:49" x14ac:dyDescent="0.2">
      <c r="AD56" t="s">
        <v>3647</v>
      </c>
      <c r="AE56" t="s">
        <v>3808</v>
      </c>
      <c r="AG56" t="s">
        <v>1508</v>
      </c>
      <c r="AH56" t="s">
        <v>911</v>
      </c>
      <c r="AI56" t="s">
        <v>912</v>
      </c>
      <c r="AL56" t="s">
        <v>2632</v>
      </c>
      <c r="AQ56" t="s">
        <v>2393</v>
      </c>
      <c r="AU56" t="s">
        <v>2935</v>
      </c>
      <c r="AW56" t="s">
        <v>3165</v>
      </c>
    </row>
    <row r="57" spans="30:49" x14ac:dyDescent="0.2">
      <c r="AD57" t="s">
        <v>3648</v>
      </c>
      <c r="AE57" t="s">
        <v>3809</v>
      </c>
      <c r="AG57" t="s">
        <v>913</v>
      </c>
      <c r="AH57" t="s">
        <v>914</v>
      </c>
      <c r="AI57" t="s">
        <v>915</v>
      </c>
      <c r="AL57" t="s">
        <v>2633</v>
      </c>
      <c r="AQ57" t="s">
        <v>2529</v>
      </c>
      <c r="AU57" t="s">
        <v>2936</v>
      </c>
      <c r="AW57" t="s">
        <v>3166</v>
      </c>
    </row>
    <row r="58" spans="30:49" x14ac:dyDescent="0.2">
      <c r="AD58" t="s">
        <v>3649</v>
      </c>
      <c r="AE58" t="s">
        <v>3810</v>
      </c>
      <c r="AG58" t="s">
        <v>1510</v>
      </c>
      <c r="AH58" t="s">
        <v>916</v>
      </c>
      <c r="AI58" t="s">
        <v>917</v>
      </c>
      <c r="AL58" t="s">
        <v>2634</v>
      </c>
      <c r="AQ58" t="s">
        <v>2793</v>
      </c>
      <c r="AU58" t="s">
        <v>2937</v>
      </c>
      <c r="AW58" t="s">
        <v>3167</v>
      </c>
    </row>
    <row r="59" spans="30:49" x14ac:dyDescent="0.2">
      <c r="AD59" t="s">
        <v>3650</v>
      </c>
      <c r="AE59" t="s">
        <v>3811</v>
      </c>
      <c r="AG59" t="s">
        <v>1511</v>
      </c>
      <c r="AH59" t="s">
        <v>2395</v>
      </c>
      <c r="AI59" t="s">
        <v>918</v>
      </c>
      <c r="AL59" t="s">
        <v>2635</v>
      </c>
      <c r="AQ59" t="s">
        <v>2794</v>
      </c>
      <c r="AU59" t="s">
        <v>2938</v>
      </c>
      <c r="AW59" t="s">
        <v>3168</v>
      </c>
    </row>
    <row r="60" spans="30:49" x14ac:dyDescent="0.2">
      <c r="AD60" t="s">
        <v>3651</v>
      </c>
      <c r="AE60" t="s">
        <v>3812</v>
      </c>
      <c r="AG60" t="s">
        <v>1512</v>
      </c>
      <c r="AH60" t="s">
        <v>919</v>
      </c>
      <c r="AI60" t="s">
        <v>920</v>
      </c>
      <c r="AL60" t="s">
        <v>2636</v>
      </c>
      <c r="AQ60" t="s">
        <v>2398</v>
      </c>
      <c r="AU60" t="s">
        <v>2939</v>
      </c>
      <c r="AW60" t="s">
        <v>3169</v>
      </c>
    </row>
    <row r="61" spans="30:49" x14ac:dyDescent="0.2">
      <c r="AD61" t="s">
        <v>3652</v>
      </c>
      <c r="AE61" t="s">
        <v>3813</v>
      </c>
      <c r="AG61" t="s">
        <v>1513</v>
      </c>
      <c r="AH61" t="s">
        <v>2397</v>
      </c>
      <c r="AI61" t="s">
        <v>921</v>
      </c>
      <c r="AL61" t="s">
        <v>2637</v>
      </c>
      <c r="AQ61" t="s">
        <v>2795</v>
      </c>
      <c r="AU61" t="s">
        <v>2940</v>
      </c>
      <c r="AW61" t="s">
        <v>3170</v>
      </c>
    </row>
    <row r="62" spans="30:49" x14ac:dyDescent="0.2">
      <c r="AD62" t="s">
        <v>3653</v>
      </c>
      <c r="AE62" t="s">
        <v>3814</v>
      </c>
      <c r="AG62" t="s">
        <v>1514</v>
      </c>
      <c r="AH62" t="s">
        <v>922</v>
      </c>
      <c r="AI62" t="s">
        <v>923</v>
      </c>
      <c r="AL62" t="s">
        <v>2638</v>
      </c>
      <c r="AQ62" t="s">
        <v>2796</v>
      </c>
      <c r="AU62" t="s">
        <v>2941</v>
      </c>
      <c r="AW62" t="s">
        <v>3171</v>
      </c>
    </row>
    <row r="63" spans="30:49" x14ac:dyDescent="0.2">
      <c r="AD63" t="s">
        <v>3654</v>
      </c>
      <c r="AE63" t="s">
        <v>3815</v>
      </c>
      <c r="AG63" t="s">
        <v>1515</v>
      </c>
      <c r="AH63" t="s">
        <v>2399</v>
      </c>
      <c r="AI63" t="s">
        <v>924</v>
      </c>
      <c r="AL63" t="s">
        <v>2639</v>
      </c>
      <c r="AQ63" t="s">
        <v>2797</v>
      </c>
      <c r="AU63" t="s">
        <v>2942</v>
      </c>
      <c r="AW63" t="s">
        <v>3172</v>
      </c>
    </row>
    <row r="64" spans="30:49" x14ac:dyDescent="0.2">
      <c r="AD64" t="s">
        <v>3655</v>
      </c>
      <c r="AE64" t="s">
        <v>3816</v>
      </c>
      <c r="AG64" t="s">
        <v>1516</v>
      </c>
      <c r="AH64" t="s">
        <v>2400</v>
      </c>
      <c r="AI64" t="s">
        <v>2530</v>
      </c>
      <c r="AQ64" t="s">
        <v>2798</v>
      </c>
      <c r="AU64" t="s">
        <v>2943</v>
      </c>
      <c r="AW64" t="s">
        <v>3173</v>
      </c>
    </row>
    <row r="65" spans="30:49" x14ac:dyDescent="0.2">
      <c r="AD65" t="s">
        <v>3656</v>
      </c>
      <c r="AE65" t="s">
        <v>3817</v>
      </c>
      <c r="AG65" t="s">
        <v>1517</v>
      </c>
      <c r="AH65" t="s">
        <v>925</v>
      </c>
      <c r="AI65" t="s">
        <v>926</v>
      </c>
      <c r="AQ65" t="s">
        <v>2799</v>
      </c>
      <c r="AU65" t="s">
        <v>2944</v>
      </c>
      <c r="AW65" t="s">
        <v>3174</v>
      </c>
    </row>
    <row r="66" spans="30:49" x14ac:dyDescent="0.2">
      <c r="AD66" t="s">
        <v>3657</v>
      </c>
      <c r="AE66" t="s">
        <v>3818</v>
      </c>
      <c r="AG66" t="s">
        <v>1518</v>
      </c>
      <c r="AH66" t="s">
        <v>2402</v>
      </c>
      <c r="AI66" t="s">
        <v>927</v>
      </c>
      <c r="AQ66" t="s">
        <v>1720</v>
      </c>
      <c r="AU66" t="s">
        <v>2945</v>
      </c>
      <c r="AW66" t="s">
        <v>3175</v>
      </c>
    </row>
    <row r="67" spans="30:49" x14ac:dyDescent="0.2">
      <c r="AD67" t="s">
        <v>3658</v>
      </c>
      <c r="AE67" t="s">
        <v>3819</v>
      </c>
      <c r="AG67" t="s">
        <v>1519</v>
      </c>
      <c r="AH67" t="s">
        <v>2403</v>
      </c>
      <c r="AI67" t="s">
        <v>928</v>
      </c>
      <c r="AQ67" t="s">
        <v>2800</v>
      </c>
      <c r="AU67" t="s">
        <v>2946</v>
      </c>
      <c r="AW67" t="s">
        <v>3176</v>
      </c>
    </row>
    <row r="68" spans="30:49" x14ac:dyDescent="0.2">
      <c r="AD68" t="s">
        <v>3659</v>
      </c>
      <c r="AE68" t="s">
        <v>3820</v>
      </c>
      <c r="AG68" t="s">
        <v>1520</v>
      </c>
      <c r="AH68" t="s">
        <v>929</v>
      </c>
      <c r="AI68" t="s">
        <v>930</v>
      </c>
      <c r="AQ68" t="s">
        <v>2405</v>
      </c>
      <c r="AU68" t="s">
        <v>2947</v>
      </c>
      <c r="AW68" t="s">
        <v>3177</v>
      </c>
    </row>
    <row r="69" spans="30:49" x14ac:dyDescent="0.2">
      <c r="AD69" t="s">
        <v>3660</v>
      </c>
      <c r="AE69" t="s">
        <v>3821</v>
      </c>
      <c r="AG69" t="s">
        <v>1521</v>
      </c>
      <c r="AH69" t="s">
        <v>931</v>
      </c>
      <c r="AI69" t="s">
        <v>932</v>
      </c>
      <c r="AQ69" t="s">
        <v>1734</v>
      </c>
      <c r="AU69" t="s">
        <v>2948</v>
      </c>
      <c r="AW69" t="s">
        <v>3178</v>
      </c>
    </row>
    <row r="70" spans="30:49" x14ac:dyDescent="0.2">
      <c r="AD70" t="s">
        <v>3661</v>
      </c>
      <c r="AE70" t="s">
        <v>3822</v>
      </c>
      <c r="AG70" t="s">
        <v>933</v>
      </c>
      <c r="AH70" t="s">
        <v>934</v>
      </c>
      <c r="AI70" t="s">
        <v>935</v>
      </c>
      <c r="AQ70" t="s">
        <v>2407</v>
      </c>
      <c r="AU70" t="s">
        <v>2949</v>
      </c>
      <c r="AW70" t="s">
        <v>3179</v>
      </c>
    </row>
    <row r="71" spans="30:49" x14ac:dyDescent="0.2">
      <c r="AD71" t="s">
        <v>3662</v>
      </c>
      <c r="AE71" t="s">
        <v>3823</v>
      </c>
      <c r="AG71" t="s">
        <v>1523</v>
      </c>
      <c r="AH71" t="s">
        <v>2406</v>
      </c>
      <c r="AI71" t="s">
        <v>936</v>
      </c>
      <c r="AQ71" t="s">
        <v>1738</v>
      </c>
      <c r="AU71" t="s">
        <v>2950</v>
      </c>
      <c r="AW71" t="s">
        <v>3180</v>
      </c>
    </row>
    <row r="72" spans="30:49" x14ac:dyDescent="0.2">
      <c r="AD72" t="s">
        <v>3663</v>
      </c>
      <c r="AE72" t="s">
        <v>3824</v>
      </c>
      <c r="AG72" t="s">
        <v>1524</v>
      </c>
      <c r="AH72" t="s">
        <v>937</v>
      </c>
      <c r="AI72" t="s">
        <v>2531</v>
      </c>
      <c r="AQ72" t="s">
        <v>2801</v>
      </c>
      <c r="AU72" t="s">
        <v>2951</v>
      </c>
      <c r="AW72" t="s">
        <v>3181</v>
      </c>
    </row>
    <row r="73" spans="30:49" x14ac:dyDescent="0.2">
      <c r="AD73" t="s">
        <v>3664</v>
      </c>
      <c r="AE73" t="s">
        <v>3825</v>
      </c>
      <c r="AG73" t="s">
        <v>1525</v>
      </c>
      <c r="AH73" t="s">
        <v>938</v>
      </c>
      <c r="AI73" t="s">
        <v>939</v>
      </c>
      <c r="AQ73" t="s">
        <v>2802</v>
      </c>
      <c r="AU73" t="s">
        <v>2952</v>
      </c>
      <c r="AW73" t="s">
        <v>3182</v>
      </c>
    </row>
    <row r="74" spans="30:49" x14ac:dyDescent="0.2">
      <c r="AD74" t="s">
        <v>3665</v>
      </c>
      <c r="AE74" t="s">
        <v>3826</v>
      </c>
      <c r="AG74" t="s">
        <v>1526</v>
      </c>
      <c r="AH74" t="s">
        <v>2408</v>
      </c>
      <c r="AI74" t="s">
        <v>940</v>
      </c>
      <c r="AQ74" t="s">
        <v>2409</v>
      </c>
      <c r="AU74" t="s">
        <v>2953</v>
      </c>
      <c r="AW74" t="s">
        <v>3183</v>
      </c>
    </row>
    <row r="75" spans="30:49" x14ac:dyDescent="0.2">
      <c r="AD75" t="s">
        <v>3666</v>
      </c>
      <c r="AE75" t="s">
        <v>3827</v>
      </c>
      <c r="AG75" t="s">
        <v>1527</v>
      </c>
      <c r="AH75" t="s">
        <v>941</v>
      </c>
      <c r="AI75" t="s">
        <v>942</v>
      </c>
      <c r="AQ75" t="s">
        <v>2803</v>
      </c>
      <c r="AU75" t="s">
        <v>2954</v>
      </c>
      <c r="AW75" t="s">
        <v>3184</v>
      </c>
    </row>
    <row r="76" spans="30:49" x14ac:dyDescent="0.2">
      <c r="AD76" t="s">
        <v>3667</v>
      </c>
      <c r="AE76" t="s">
        <v>3828</v>
      </c>
      <c r="AG76" t="s">
        <v>1528</v>
      </c>
      <c r="AH76" t="s">
        <v>2410</v>
      </c>
      <c r="AI76" t="s">
        <v>943</v>
      </c>
      <c r="AQ76" t="s">
        <v>2804</v>
      </c>
      <c r="AU76" t="s">
        <v>2955</v>
      </c>
      <c r="AW76" t="s">
        <v>3185</v>
      </c>
    </row>
    <row r="77" spans="30:49" x14ac:dyDescent="0.2">
      <c r="AD77" t="s">
        <v>3668</v>
      </c>
      <c r="AE77" t="s">
        <v>3829</v>
      </c>
      <c r="AG77" t="s">
        <v>1529</v>
      </c>
      <c r="AH77" t="s">
        <v>2411</v>
      </c>
      <c r="AI77" t="s">
        <v>944</v>
      </c>
      <c r="AQ77" t="s">
        <v>2413</v>
      </c>
      <c r="AU77" t="s">
        <v>2956</v>
      </c>
      <c r="AW77" t="s">
        <v>3186</v>
      </c>
    </row>
    <row r="78" spans="30:49" x14ac:dyDescent="0.2">
      <c r="AD78" t="s">
        <v>3669</v>
      </c>
      <c r="AE78" t="s">
        <v>3830</v>
      </c>
      <c r="AG78" t="s">
        <v>1530</v>
      </c>
      <c r="AH78" t="s">
        <v>2412</v>
      </c>
      <c r="AI78" t="s">
        <v>945</v>
      </c>
      <c r="AQ78" t="s">
        <v>2414</v>
      </c>
      <c r="AU78" t="s">
        <v>2957</v>
      </c>
      <c r="AW78" t="s">
        <v>3187</v>
      </c>
    </row>
    <row r="79" spans="30:49" x14ac:dyDescent="0.2">
      <c r="AD79" t="s">
        <v>3670</v>
      </c>
      <c r="AE79" t="s">
        <v>3831</v>
      </c>
      <c r="AG79" t="s">
        <v>1531</v>
      </c>
      <c r="AH79" t="s">
        <v>946</v>
      </c>
      <c r="AI79" t="s">
        <v>947</v>
      </c>
      <c r="AQ79" t="s">
        <v>2415</v>
      </c>
      <c r="AU79" t="s">
        <v>2958</v>
      </c>
      <c r="AW79" t="s">
        <v>3188</v>
      </c>
    </row>
    <row r="80" spans="30:49" x14ac:dyDescent="0.2">
      <c r="AD80" t="s">
        <v>3671</v>
      </c>
      <c r="AE80" t="s">
        <v>3832</v>
      </c>
      <c r="AG80" t="s">
        <v>1532</v>
      </c>
      <c r="AH80" t="s">
        <v>948</v>
      </c>
      <c r="AI80" t="s">
        <v>949</v>
      </c>
      <c r="AQ80" t="s">
        <v>2416</v>
      </c>
      <c r="AU80" t="s">
        <v>2959</v>
      </c>
      <c r="AW80" t="s">
        <v>3189</v>
      </c>
    </row>
    <row r="81" spans="30:49" x14ac:dyDescent="0.2">
      <c r="AD81" t="s">
        <v>3672</v>
      </c>
      <c r="AE81" t="s">
        <v>3833</v>
      </c>
      <c r="AG81" t="s">
        <v>1533</v>
      </c>
      <c r="AH81" t="s">
        <v>950</v>
      </c>
      <c r="AI81" t="s">
        <v>951</v>
      </c>
      <c r="AQ81" t="s">
        <v>2805</v>
      </c>
      <c r="AU81" t="s">
        <v>2960</v>
      </c>
      <c r="AW81" t="s">
        <v>3190</v>
      </c>
    </row>
    <row r="82" spans="30:49" x14ac:dyDescent="0.2">
      <c r="AD82" t="s">
        <v>952</v>
      </c>
      <c r="AE82" t="s">
        <v>3834</v>
      </c>
      <c r="AG82" t="s">
        <v>1534</v>
      </c>
      <c r="AH82" t="s">
        <v>953</v>
      </c>
      <c r="AI82" t="s">
        <v>954</v>
      </c>
      <c r="AQ82" t="s">
        <v>2806</v>
      </c>
      <c r="AU82" t="s">
        <v>2961</v>
      </c>
      <c r="AW82" t="s">
        <v>3191</v>
      </c>
    </row>
    <row r="83" spans="30:49" x14ac:dyDescent="0.2">
      <c r="AD83" t="s">
        <v>3673</v>
      </c>
      <c r="AE83" t="s">
        <v>3835</v>
      </c>
      <c r="AG83" t="s">
        <v>1535</v>
      </c>
      <c r="AH83" t="s">
        <v>955</v>
      </c>
      <c r="AI83" t="s">
        <v>956</v>
      </c>
      <c r="AQ83" t="s">
        <v>2807</v>
      </c>
      <c r="AU83" t="s">
        <v>2962</v>
      </c>
      <c r="AW83" t="s">
        <v>0</v>
      </c>
    </row>
    <row r="84" spans="30:49" x14ac:dyDescent="0.2">
      <c r="AD84" t="s">
        <v>3674</v>
      </c>
      <c r="AE84" t="s">
        <v>3836</v>
      </c>
      <c r="AG84" t="s">
        <v>1536</v>
      </c>
      <c r="AH84" t="s">
        <v>2418</v>
      </c>
      <c r="AI84" t="s">
        <v>957</v>
      </c>
      <c r="AQ84" t="s">
        <v>2808</v>
      </c>
      <c r="AU84" t="s">
        <v>2963</v>
      </c>
      <c r="AW84" t="s">
        <v>1</v>
      </c>
    </row>
    <row r="85" spans="30:49" x14ac:dyDescent="0.2">
      <c r="AD85" t="s">
        <v>3675</v>
      </c>
      <c r="AE85" t="s">
        <v>3837</v>
      </c>
      <c r="AG85" t="s">
        <v>1537</v>
      </c>
      <c r="AH85" t="s">
        <v>2419</v>
      </c>
      <c r="AI85" t="s">
        <v>958</v>
      </c>
      <c r="AQ85" t="s">
        <v>2809</v>
      </c>
      <c r="AU85" t="s">
        <v>2964</v>
      </c>
      <c r="AW85" t="s">
        <v>2</v>
      </c>
    </row>
    <row r="86" spans="30:49" x14ac:dyDescent="0.2">
      <c r="AD86" t="s">
        <v>3676</v>
      </c>
      <c r="AE86" t="s">
        <v>3838</v>
      </c>
      <c r="AG86" t="s">
        <v>1538</v>
      </c>
      <c r="AH86" t="s">
        <v>2420</v>
      </c>
      <c r="AI86" t="s">
        <v>959</v>
      </c>
      <c r="AQ86" t="s">
        <v>2810</v>
      </c>
      <c r="AU86" t="s">
        <v>2965</v>
      </c>
      <c r="AW86" t="s">
        <v>3</v>
      </c>
    </row>
    <row r="87" spans="30:49" x14ac:dyDescent="0.2">
      <c r="AD87" t="s">
        <v>3677</v>
      </c>
      <c r="AE87" t="s">
        <v>3839</v>
      </c>
      <c r="AG87" t="s">
        <v>1539</v>
      </c>
      <c r="AH87" t="s">
        <v>2421</v>
      </c>
      <c r="AI87" t="s">
        <v>960</v>
      </c>
      <c r="AQ87" t="s">
        <v>1788</v>
      </c>
      <c r="AU87" t="s">
        <v>2966</v>
      </c>
      <c r="AW87" t="s">
        <v>4</v>
      </c>
    </row>
    <row r="88" spans="30:49" x14ac:dyDescent="0.2">
      <c r="AD88" t="s">
        <v>3678</v>
      </c>
      <c r="AE88" t="s">
        <v>3840</v>
      </c>
      <c r="AG88" t="s">
        <v>1540</v>
      </c>
      <c r="AH88" t="s">
        <v>2422</v>
      </c>
      <c r="AI88" t="s">
        <v>961</v>
      </c>
      <c r="AQ88" t="s">
        <v>2811</v>
      </c>
      <c r="AU88" t="s">
        <v>2967</v>
      </c>
      <c r="AW88" t="s">
        <v>5</v>
      </c>
    </row>
    <row r="89" spans="30:49" x14ac:dyDescent="0.2">
      <c r="AD89" t="s">
        <v>3679</v>
      </c>
      <c r="AE89" t="s">
        <v>3841</v>
      </c>
      <c r="AG89" t="s">
        <v>1541</v>
      </c>
      <c r="AH89" t="s">
        <v>962</v>
      </c>
      <c r="AI89" t="s">
        <v>963</v>
      </c>
      <c r="AQ89" t="s">
        <v>2812</v>
      </c>
      <c r="AU89" t="s">
        <v>2968</v>
      </c>
      <c r="AW89" t="s">
        <v>6</v>
      </c>
    </row>
    <row r="90" spans="30:49" x14ac:dyDescent="0.2">
      <c r="AD90" t="s">
        <v>3680</v>
      </c>
      <c r="AE90" t="s">
        <v>3842</v>
      </c>
      <c r="AG90" t="s">
        <v>964</v>
      </c>
      <c r="AH90" t="s">
        <v>2423</v>
      </c>
      <c r="AI90" t="s">
        <v>965</v>
      </c>
      <c r="AQ90" t="s">
        <v>2425</v>
      </c>
      <c r="AU90" t="s">
        <v>2969</v>
      </c>
      <c r="AW90" t="s">
        <v>7</v>
      </c>
    </row>
    <row r="91" spans="30:49" x14ac:dyDescent="0.2">
      <c r="AD91" t="s">
        <v>3681</v>
      </c>
      <c r="AE91" t="s">
        <v>3843</v>
      </c>
      <c r="AG91" t="s">
        <v>1543</v>
      </c>
      <c r="AH91" t="s">
        <v>966</v>
      </c>
      <c r="AI91" t="s">
        <v>2532</v>
      </c>
      <c r="AQ91" t="s">
        <v>2813</v>
      </c>
      <c r="AU91" t="s">
        <v>2970</v>
      </c>
      <c r="AW91" t="s">
        <v>8</v>
      </c>
    </row>
    <row r="92" spans="30:49" x14ac:dyDescent="0.2">
      <c r="AD92" t="s">
        <v>3682</v>
      </c>
      <c r="AE92" t="s">
        <v>3844</v>
      </c>
      <c r="AG92" t="s">
        <v>1544</v>
      </c>
      <c r="AH92" t="s">
        <v>967</v>
      </c>
      <c r="AI92" t="s">
        <v>968</v>
      </c>
      <c r="AQ92" t="s">
        <v>2814</v>
      </c>
      <c r="AU92" t="s">
        <v>2971</v>
      </c>
      <c r="AW92" t="s">
        <v>9</v>
      </c>
    </row>
    <row r="93" spans="30:49" x14ac:dyDescent="0.2">
      <c r="AD93" t="s">
        <v>3683</v>
      </c>
      <c r="AE93" t="s">
        <v>3845</v>
      </c>
      <c r="AG93" t="s">
        <v>1545</v>
      </c>
      <c r="AH93" t="s">
        <v>2426</v>
      </c>
      <c r="AI93" t="s">
        <v>969</v>
      </c>
      <c r="AQ93" t="s">
        <v>2815</v>
      </c>
      <c r="AU93" t="s">
        <v>2972</v>
      </c>
      <c r="AW93" t="s">
        <v>10</v>
      </c>
    </row>
    <row r="94" spans="30:49" x14ac:dyDescent="0.2">
      <c r="AD94" t="s">
        <v>3684</v>
      </c>
      <c r="AE94" t="s">
        <v>3846</v>
      </c>
      <c r="AG94" t="s">
        <v>1546</v>
      </c>
      <c r="AH94" t="s">
        <v>970</v>
      </c>
      <c r="AI94" t="s">
        <v>971</v>
      </c>
      <c r="AQ94" t="s">
        <v>2429</v>
      </c>
      <c r="AU94" t="s">
        <v>2973</v>
      </c>
      <c r="AW94" t="s">
        <v>11</v>
      </c>
    </row>
    <row r="95" spans="30:49" x14ac:dyDescent="0.2">
      <c r="AD95" t="s">
        <v>3685</v>
      </c>
      <c r="AE95" t="s">
        <v>3847</v>
      </c>
      <c r="AG95" t="s">
        <v>1547</v>
      </c>
      <c r="AH95" t="s">
        <v>2428</v>
      </c>
      <c r="AI95" t="s">
        <v>972</v>
      </c>
      <c r="AQ95" t="s">
        <v>2430</v>
      </c>
      <c r="AU95" t="s">
        <v>2974</v>
      </c>
      <c r="AW95" t="s">
        <v>12</v>
      </c>
    </row>
    <row r="96" spans="30:49" x14ac:dyDescent="0.2">
      <c r="AD96" t="s">
        <v>3686</v>
      </c>
      <c r="AE96" t="s">
        <v>3848</v>
      </c>
      <c r="AG96" t="s">
        <v>1548</v>
      </c>
      <c r="AH96" t="s">
        <v>973</v>
      </c>
      <c r="AI96" t="s">
        <v>974</v>
      </c>
      <c r="AQ96" t="s">
        <v>2816</v>
      </c>
      <c r="AU96" t="s">
        <v>2975</v>
      </c>
      <c r="AW96" t="s">
        <v>13</v>
      </c>
    </row>
    <row r="97" spans="30:49" x14ac:dyDescent="0.2">
      <c r="AD97" t="s">
        <v>3687</v>
      </c>
      <c r="AE97" t="s">
        <v>3849</v>
      </c>
      <c r="AG97" t="s">
        <v>1549</v>
      </c>
      <c r="AH97" t="s">
        <v>975</v>
      </c>
      <c r="AI97" t="s">
        <v>976</v>
      </c>
      <c r="AQ97" t="s">
        <v>2432</v>
      </c>
      <c r="AU97" t="s">
        <v>2976</v>
      </c>
      <c r="AW97" t="s">
        <v>14</v>
      </c>
    </row>
    <row r="98" spans="30:49" x14ac:dyDescent="0.2">
      <c r="AD98" t="s">
        <v>3688</v>
      </c>
      <c r="AE98" t="s">
        <v>3850</v>
      </c>
      <c r="AG98" t="s">
        <v>1550</v>
      </c>
      <c r="AH98" t="s">
        <v>977</v>
      </c>
      <c r="AI98" t="s">
        <v>978</v>
      </c>
      <c r="AQ98" t="s">
        <v>2817</v>
      </c>
      <c r="AU98" t="s">
        <v>2977</v>
      </c>
      <c r="AW98" t="s">
        <v>15</v>
      </c>
    </row>
    <row r="99" spans="30:49" x14ac:dyDescent="0.2">
      <c r="AD99" t="s">
        <v>3689</v>
      </c>
      <c r="AE99" t="s">
        <v>3851</v>
      </c>
      <c r="AG99" t="s">
        <v>1551</v>
      </c>
      <c r="AH99" t="s">
        <v>979</v>
      </c>
      <c r="AI99" t="s">
        <v>980</v>
      </c>
      <c r="AQ99" t="s">
        <v>2818</v>
      </c>
      <c r="AU99" t="s">
        <v>2978</v>
      </c>
      <c r="AW99" t="s">
        <v>16</v>
      </c>
    </row>
    <row r="100" spans="30:49" x14ac:dyDescent="0.2">
      <c r="AD100" t="s">
        <v>3690</v>
      </c>
      <c r="AE100" t="s">
        <v>3852</v>
      </c>
      <c r="AG100" t="s">
        <v>981</v>
      </c>
      <c r="AH100" t="s">
        <v>2433</v>
      </c>
      <c r="AI100" t="s">
        <v>2533</v>
      </c>
      <c r="AQ100" t="s">
        <v>2819</v>
      </c>
      <c r="AU100" t="s">
        <v>2979</v>
      </c>
      <c r="AW100" t="s">
        <v>17</v>
      </c>
    </row>
    <row r="101" spans="30:49" x14ac:dyDescent="0.2">
      <c r="AD101" t="s">
        <v>3691</v>
      </c>
      <c r="AE101" t="s">
        <v>3853</v>
      </c>
      <c r="AG101" t="s">
        <v>1553</v>
      </c>
      <c r="AH101" t="s">
        <v>2434</v>
      </c>
      <c r="AI101" t="s">
        <v>982</v>
      </c>
      <c r="AQ101" t="s">
        <v>2820</v>
      </c>
      <c r="AU101" t="s">
        <v>2980</v>
      </c>
      <c r="AW101" t="s">
        <v>18</v>
      </c>
    </row>
    <row r="102" spans="30:49" x14ac:dyDescent="0.2">
      <c r="AD102" t="s">
        <v>3692</v>
      </c>
      <c r="AE102" t="s">
        <v>3854</v>
      </c>
      <c r="AG102" t="s">
        <v>1554</v>
      </c>
      <c r="AH102" t="s">
        <v>2435</v>
      </c>
      <c r="AI102" t="s">
        <v>983</v>
      </c>
      <c r="AQ102" t="s">
        <v>1908</v>
      </c>
      <c r="AU102" t="s">
        <v>2981</v>
      </c>
      <c r="AW102" t="s">
        <v>19</v>
      </c>
    </row>
    <row r="103" spans="30:49" x14ac:dyDescent="0.2">
      <c r="AD103" t="s">
        <v>3693</v>
      </c>
      <c r="AE103" t="s">
        <v>3855</v>
      </c>
      <c r="AG103" t="s">
        <v>1555</v>
      </c>
      <c r="AH103" t="s">
        <v>2436</v>
      </c>
      <c r="AI103" t="s">
        <v>2534</v>
      </c>
      <c r="AQ103" t="s">
        <v>2437</v>
      </c>
      <c r="AU103" t="s">
        <v>2982</v>
      </c>
      <c r="AW103" t="s">
        <v>20</v>
      </c>
    </row>
    <row r="104" spans="30:49" x14ac:dyDescent="0.2">
      <c r="AD104" t="s">
        <v>3694</v>
      </c>
      <c r="AE104" t="s">
        <v>3856</v>
      </c>
      <c r="AG104" t="s">
        <v>1556</v>
      </c>
      <c r="AH104" t="s">
        <v>984</v>
      </c>
      <c r="AI104" t="s">
        <v>2535</v>
      </c>
      <c r="AQ104" t="s">
        <v>2438</v>
      </c>
      <c r="AU104" t="s">
        <v>2983</v>
      </c>
      <c r="AW104" t="s">
        <v>21</v>
      </c>
    </row>
    <row r="105" spans="30:49" x14ac:dyDescent="0.2">
      <c r="AD105" t="s">
        <v>3695</v>
      </c>
      <c r="AE105" t="s">
        <v>3857</v>
      </c>
      <c r="AG105" t="s">
        <v>1557</v>
      </c>
      <c r="AH105" t="s">
        <v>985</v>
      </c>
      <c r="AI105" t="s">
        <v>2536</v>
      </c>
      <c r="AQ105" t="s">
        <v>2439</v>
      </c>
      <c r="AU105" t="s">
        <v>2984</v>
      </c>
      <c r="AW105" t="s">
        <v>22</v>
      </c>
    </row>
    <row r="106" spans="30:49" x14ac:dyDescent="0.2">
      <c r="AD106" t="s">
        <v>3696</v>
      </c>
      <c r="AE106" t="s">
        <v>3858</v>
      </c>
      <c r="AG106" t="s">
        <v>1558</v>
      </c>
      <c r="AH106" t="s">
        <v>986</v>
      </c>
      <c r="AI106" t="s">
        <v>987</v>
      </c>
      <c r="AQ106" t="s">
        <v>2821</v>
      </c>
      <c r="AU106" t="s">
        <v>2985</v>
      </c>
      <c r="AW106" t="s">
        <v>23</v>
      </c>
    </row>
    <row r="107" spans="30:49" x14ac:dyDescent="0.2">
      <c r="AD107" t="s">
        <v>3697</v>
      </c>
      <c r="AE107" t="s">
        <v>3859</v>
      </c>
      <c r="AG107" t="s">
        <v>1559</v>
      </c>
      <c r="AH107" t="s">
        <v>988</v>
      </c>
      <c r="AI107" t="s">
        <v>989</v>
      </c>
      <c r="AQ107" t="s">
        <v>2441</v>
      </c>
      <c r="AU107" t="s">
        <v>2986</v>
      </c>
      <c r="AW107" t="s">
        <v>24</v>
      </c>
    </row>
    <row r="108" spans="30:49" x14ac:dyDescent="0.2">
      <c r="AD108" t="s">
        <v>3698</v>
      </c>
      <c r="AE108" t="s">
        <v>3860</v>
      </c>
      <c r="AG108" t="s">
        <v>1560</v>
      </c>
      <c r="AH108" t="s">
        <v>2440</v>
      </c>
      <c r="AI108" t="s">
        <v>990</v>
      </c>
      <c r="AQ108" t="s">
        <v>1929</v>
      </c>
      <c r="AU108" t="s">
        <v>2987</v>
      </c>
      <c r="AW108" t="s">
        <v>25</v>
      </c>
    </row>
    <row r="109" spans="30:49" x14ac:dyDescent="0.2">
      <c r="AD109" t="s">
        <v>3699</v>
      </c>
      <c r="AE109" t="s">
        <v>3861</v>
      </c>
      <c r="AG109" t="s">
        <v>1561</v>
      </c>
      <c r="AH109" t="s">
        <v>991</v>
      </c>
      <c r="AI109" t="s">
        <v>992</v>
      </c>
      <c r="AQ109" t="s">
        <v>2443</v>
      </c>
      <c r="AU109" t="s">
        <v>2988</v>
      </c>
      <c r="AW109" t="s">
        <v>26</v>
      </c>
    </row>
    <row r="110" spans="30:49" x14ac:dyDescent="0.2">
      <c r="AD110" t="s">
        <v>3700</v>
      </c>
      <c r="AE110" t="s">
        <v>3862</v>
      </c>
      <c r="AG110" t="s">
        <v>1562</v>
      </c>
      <c r="AH110" t="s">
        <v>2442</v>
      </c>
      <c r="AI110" t="s">
        <v>993</v>
      </c>
      <c r="AQ110" t="s">
        <v>2444</v>
      </c>
      <c r="AU110" t="s">
        <v>2989</v>
      </c>
      <c r="AW110" t="s">
        <v>27</v>
      </c>
    </row>
    <row r="111" spans="30:49" x14ac:dyDescent="0.2">
      <c r="AD111" t="s">
        <v>3701</v>
      </c>
      <c r="AE111" t="s">
        <v>3863</v>
      </c>
      <c r="AG111" t="s">
        <v>1563</v>
      </c>
      <c r="AH111" t="s">
        <v>994</v>
      </c>
      <c r="AI111" t="s">
        <v>995</v>
      </c>
      <c r="AQ111" t="s">
        <v>2822</v>
      </c>
      <c r="AU111" t="s">
        <v>2990</v>
      </c>
      <c r="AW111" t="s">
        <v>28</v>
      </c>
    </row>
    <row r="112" spans="30:49" x14ac:dyDescent="0.2">
      <c r="AD112" t="s">
        <v>3702</v>
      </c>
      <c r="AE112" t="s">
        <v>3864</v>
      </c>
      <c r="AG112" t="s">
        <v>1564</v>
      </c>
      <c r="AH112" t="s">
        <v>996</v>
      </c>
      <c r="AI112" t="s">
        <v>997</v>
      </c>
      <c r="AQ112" t="s">
        <v>1953</v>
      </c>
      <c r="AU112" t="s">
        <v>2991</v>
      </c>
      <c r="AW112" t="s">
        <v>29</v>
      </c>
    </row>
    <row r="113" spans="30:49" x14ac:dyDescent="0.2">
      <c r="AD113" t="s">
        <v>3703</v>
      </c>
      <c r="AE113" t="s">
        <v>3865</v>
      </c>
      <c r="AG113" t="s">
        <v>1565</v>
      </c>
      <c r="AH113" t="s">
        <v>2445</v>
      </c>
      <c r="AI113" t="s">
        <v>998</v>
      </c>
      <c r="AQ113" t="s">
        <v>2823</v>
      </c>
      <c r="AU113" t="s">
        <v>2992</v>
      </c>
      <c r="AW113" t="s">
        <v>30</v>
      </c>
    </row>
    <row r="114" spans="30:49" x14ac:dyDescent="0.2">
      <c r="AD114" t="s">
        <v>3704</v>
      </c>
      <c r="AE114" t="s">
        <v>3866</v>
      </c>
      <c r="AG114" t="s">
        <v>1566</v>
      </c>
      <c r="AH114" t="s">
        <v>999</v>
      </c>
      <c r="AI114" t="s">
        <v>1000</v>
      </c>
      <c r="AQ114" t="s">
        <v>2824</v>
      </c>
      <c r="AU114" t="s">
        <v>2993</v>
      </c>
      <c r="AW114" t="s">
        <v>31</v>
      </c>
    </row>
    <row r="115" spans="30:49" x14ac:dyDescent="0.2">
      <c r="AD115" t="s">
        <v>3705</v>
      </c>
      <c r="AE115" t="s">
        <v>3867</v>
      </c>
      <c r="AG115" t="s">
        <v>1567</v>
      </c>
      <c r="AH115" t="s">
        <v>2446</v>
      </c>
      <c r="AI115" t="s">
        <v>1001</v>
      </c>
      <c r="AQ115" t="s">
        <v>2825</v>
      </c>
      <c r="AU115" t="s">
        <v>2994</v>
      </c>
      <c r="AW115" t="s">
        <v>32</v>
      </c>
    </row>
    <row r="116" spans="30:49" x14ac:dyDescent="0.2">
      <c r="AD116" t="s">
        <v>3706</v>
      </c>
      <c r="AE116" t="s">
        <v>3868</v>
      </c>
      <c r="AG116" t="s">
        <v>1568</v>
      </c>
      <c r="AH116" t="s">
        <v>2447</v>
      </c>
      <c r="AI116" t="s">
        <v>1002</v>
      </c>
      <c r="AQ116" t="s">
        <v>2449</v>
      </c>
      <c r="AU116" t="s">
        <v>2995</v>
      </c>
      <c r="AW116" t="s">
        <v>33</v>
      </c>
    </row>
    <row r="117" spans="30:49" x14ac:dyDescent="0.2">
      <c r="AD117" t="s">
        <v>3707</v>
      </c>
      <c r="AE117" t="s">
        <v>3869</v>
      </c>
      <c r="AG117" t="s">
        <v>1569</v>
      </c>
      <c r="AH117" t="s">
        <v>2448</v>
      </c>
      <c r="AI117" t="s">
        <v>1003</v>
      </c>
      <c r="AQ117" t="s">
        <v>2450</v>
      </c>
      <c r="AU117" t="s">
        <v>2996</v>
      </c>
      <c r="AW117" t="s">
        <v>34</v>
      </c>
    </row>
    <row r="118" spans="30:49" x14ac:dyDescent="0.2">
      <c r="AD118" t="s">
        <v>3708</v>
      </c>
      <c r="AE118" t="s">
        <v>3870</v>
      </c>
      <c r="AG118" t="s">
        <v>1570</v>
      </c>
      <c r="AH118" t="s">
        <v>1004</v>
      </c>
      <c r="AI118" t="s">
        <v>1005</v>
      </c>
      <c r="AQ118" t="s">
        <v>2451</v>
      </c>
      <c r="AU118" t="s">
        <v>2997</v>
      </c>
      <c r="AW118" t="s">
        <v>35</v>
      </c>
    </row>
    <row r="119" spans="30:49" x14ac:dyDescent="0.2">
      <c r="AD119" t="s">
        <v>3709</v>
      </c>
      <c r="AE119" t="s">
        <v>3871</v>
      </c>
      <c r="AG119" t="s">
        <v>1571</v>
      </c>
      <c r="AH119" t="s">
        <v>1006</v>
      </c>
      <c r="AI119" t="s">
        <v>1007</v>
      </c>
      <c r="AQ119" t="s">
        <v>2826</v>
      </c>
      <c r="AU119" t="s">
        <v>2998</v>
      </c>
      <c r="AW119" t="s">
        <v>36</v>
      </c>
    </row>
    <row r="120" spans="30:49" x14ac:dyDescent="0.2">
      <c r="AD120" t="s">
        <v>3710</v>
      </c>
      <c r="AE120" t="s">
        <v>3872</v>
      </c>
      <c r="AG120" t="s">
        <v>1572</v>
      </c>
      <c r="AH120" t="s">
        <v>1008</v>
      </c>
      <c r="AI120" t="s">
        <v>1009</v>
      </c>
      <c r="AQ120" t="s">
        <v>2827</v>
      </c>
      <c r="AU120" t="s">
        <v>2999</v>
      </c>
      <c r="AW120" t="s">
        <v>37</v>
      </c>
    </row>
    <row r="121" spans="30:49" x14ac:dyDescent="0.2">
      <c r="AD121" t="s">
        <v>3711</v>
      </c>
      <c r="AE121" t="s">
        <v>3873</v>
      </c>
      <c r="AG121" t="s">
        <v>1573</v>
      </c>
      <c r="AH121" t="s">
        <v>2452</v>
      </c>
      <c r="AI121" t="s">
        <v>1010</v>
      </c>
      <c r="AQ121" t="s">
        <v>2005</v>
      </c>
      <c r="AU121" t="s">
        <v>3000</v>
      </c>
      <c r="AW121" t="s">
        <v>38</v>
      </c>
    </row>
    <row r="122" spans="30:49" x14ac:dyDescent="0.2">
      <c r="AD122" t="s">
        <v>3712</v>
      </c>
      <c r="AE122" t="s">
        <v>3874</v>
      </c>
      <c r="AG122" t="s">
        <v>1574</v>
      </c>
      <c r="AH122" t="s">
        <v>1011</v>
      </c>
      <c r="AI122" t="s">
        <v>1012</v>
      </c>
      <c r="AQ122" t="s">
        <v>2453</v>
      </c>
      <c r="AU122" t="s">
        <v>3001</v>
      </c>
      <c r="AW122" t="s">
        <v>39</v>
      </c>
    </row>
    <row r="123" spans="30:49" x14ac:dyDescent="0.2">
      <c r="AD123" t="s">
        <v>3713</v>
      </c>
      <c r="AE123" t="s">
        <v>3875</v>
      </c>
      <c r="AG123" t="s">
        <v>1575</v>
      </c>
      <c r="AH123" t="s">
        <v>1013</v>
      </c>
      <c r="AI123" t="s">
        <v>1014</v>
      </c>
      <c r="AQ123" t="s">
        <v>2454</v>
      </c>
      <c r="AU123" t="s">
        <v>3002</v>
      </c>
      <c r="AW123" t="s">
        <v>40</v>
      </c>
    </row>
    <row r="124" spans="30:49" x14ac:dyDescent="0.2">
      <c r="AD124" t="s">
        <v>3714</v>
      </c>
      <c r="AE124" t="s">
        <v>3876</v>
      </c>
      <c r="AG124" t="s">
        <v>1576</v>
      </c>
      <c r="AH124" t="s">
        <v>1015</v>
      </c>
      <c r="AI124" t="s">
        <v>1016</v>
      </c>
      <c r="AQ124" t="s">
        <v>2828</v>
      </c>
      <c r="AU124" t="s">
        <v>3003</v>
      </c>
      <c r="AW124" t="s">
        <v>41</v>
      </c>
    </row>
    <row r="125" spans="30:49" x14ac:dyDescent="0.2">
      <c r="AD125" t="s">
        <v>3715</v>
      </c>
      <c r="AE125" t="s">
        <v>3877</v>
      </c>
      <c r="AG125" t="s">
        <v>1577</v>
      </c>
      <c r="AH125" t="s">
        <v>2455</v>
      </c>
      <c r="AI125" t="s">
        <v>1017</v>
      </c>
      <c r="AQ125" t="s">
        <v>2829</v>
      </c>
      <c r="AU125" t="s">
        <v>3004</v>
      </c>
      <c r="AW125" t="s">
        <v>42</v>
      </c>
    </row>
    <row r="126" spans="30:49" x14ac:dyDescent="0.2">
      <c r="AD126" t="s">
        <v>3716</v>
      </c>
      <c r="AE126" t="s">
        <v>3878</v>
      </c>
      <c r="AG126" t="s">
        <v>1578</v>
      </c>
      <c r="AH126" t="s">
        <v>2456</v>
      </c>
      <c r="AI126" t="s">
        <v>2537</v>
      </c>
      <c r="AQ126" t="s">
        <v>2830</v>
      </c>
      <c r="AU126" t="s">
        <v>3005</v>
      </c>
      <c r="AW126" t="s">
        <v>43</v>
      </c>
    </row>
    <row r="127" spans="30:49" x14ac:dyDescent="0.2">
      <c r="AD127" t="s">
        <v>3717</v>
      </c>
      <c r="AE127" t="s">
        <v>3879</v>
      </c>
      <c r="AG127" t="s">
        <v>1579</v>
      </c>
      <c r="AH127" t="s">
        <v>2457</v>
      </c>
      <c r="AI127" t="s">
        <v>2538</v>
      </c>
      <c r="AQ127" t="s">
        <v>2831</v>
      </c>
      <c r="AU127" t="s">
        <v>3006</v>
      </c>
      <c r="AW127" t="s">
        <v>44</v>
      </c>
    </row>
    <row r="128" spans="30:49" x14ac:dyDescent="0.2">
      <c r="AD128" t="s">
        <v>3718</v>
      </c>
      <c r="AE128" t="s">
        <v>3880</v>
      </c>
      <c r="AG128" t="s">
        <v>1580</v>
      </c>
      <c r="AH128" t="s">
        <v>2458</v>
      </c>
      <c r="AI128" t="s">
        <v>1018</v>
      </c>
      <c r="AQ128" t="s">
        <v>2459</v>
      </c>
      <c r="AU128" t="s">
        <v>3007</v>
      </c>
      <c r="AW128" t="s">
        <v>45</v>
      </c>
    </row>
    <row r="129" spans="30:49" x14ac:dyDescent="0.2">
      <c r="AD129" t="s">
        <v>3719</v>
      </c>
      <c r="AE129" t="s">
        <v>3881</v>
      </c>
      <c r="AG129" t="s">
        <v>1581</v>
      </c>
      <c r="AH129" t="s">
        <v>1019</v>
      </c>
      <c r="AI129" t="s">
        <v>1020</v>
      </c>
      <c r="AQ129" t="s">
        <v>2832</v>
      </c>
      <c r="AU129" t="s">
        <v>3008</v>
      </c>
      <c r="AW129" t="s">
        <v>46</v>
      </c>
    </row>
    <row r="130" spans="30:49" x14ac:dyDescent="0.2">
      <c r="AD130" t="s">
        <v>3720</v>
      </c>
      <c r="AE130" t="s">
        <v>3882</v>
      </c>
      <c r="AG130" t="s">
        <v>1582</v>
      </c>
      <c r="AH130" t="s">
        <v>2460</v>
      </c>
      <c r="AI130" t="s">
        <v>1021</v>
      </c>
      <c r="AQ130" t="s">
        <v>2833</v>
      </c>
      <c r="AU130" t="s">
        <v>3009</v>
      </c>
      <c r="AW130" t="s">
        <v>47</v>
      </c>
    </row>
    <row r="131" spans="30:49" x14ac:dyDescent="0.2">
      <c r="AD131" t="s">
        <v>3721</v>
      </c>
      <c r="AE131" t="s">
        <v>3883</v>
      </c>
      <c r="AG131" t="s">
        <v>1583</v>
      </c>
      <c r="AH131" t="s">
        <v>1022</v>
      </c>
      <c r="AI131" t="s">
        <v>1023</v>
      </c>
      <c r="AQ131" t="s">
        <v>2834</v>
      </c>
      <c r="AU131" t="s">
        <v>3010</v>
      </c>
      <c r="AW131" t="s">
        <v>48</v>
      </c>
    </row>
    <row r="132" spans="30:49" x14ac:dyDescent="0.2">
      <c r="AD132" t="s">
        <v>3722</v>
      </c>
      <c r="AE132" t="s">
        <v>3884</v>
      </c>
      <c r="AG132" t="s">
        <v>1584</v>
      </c>
      <c r="AH132" t="s">
        <v>2462</v>
      </c>
      <c r="AI132" t="s">
        <v>1024</v>
      </c>
      <c r="AQ132" t="s">
        <v>2835</v>
      </c>
      <c r="AU132" t="s">
        <v>3011</v>
      </c>
      <c r="AW132" t="s">
        <v>49</v>
      </c>
    </row>
    <row r="133" spans="30:49" x14ac:dyDescent="0.2">
      <c r="AD133" t="s">
        <v>3723</v>
      </c>
      <c r="AE133" t="s">
        <v>3885</v>
      </c>
      <c r="AG133" t="s">
        <v>1585</v>
      </c>
      <c r="AH133" t="s">
        <v>2463</v>
      </c>
      <c r="AI133" t="s">
        <v>1025</v>
      </c>
      <c r="AQ133" t="s">
        <v>2464</v>
      </c>
      <c r="AU133" t="s">
        <v>3012</v>
      </c>
      <c r="AW133" t="s">
        <v>50</v>
      </c>
    </row>
    <row r="134" spans="30:49" x14ac:dyDescent="0.2">
      <c r="AD134" t="s">
        <v>3724</v>
      </c>
      <c r="AE134" t="s">
        <v>3886</v>
      </c>
      <c r="AG134" t="s">
        <v>1586</v>
      </c>
      <c r="AH134" t="s">
        <v>1026</v>
      </c>
      <c r="AI134" t="s">
        <v>1027</v>
      </c>
      <c r="AQ134" t="s">
        <v>2836</v>
      </c>
      <c r="AU134" t="s">
        <v>3013</v>
      </c>
      <c r="AW134" t="s">
        <v>51</v>
      </c>
    </row>
    <row r="135" spans="30:49" x14ac:dyDescent="0.2">
      <c r="AD135" t="s">
        <v>3725</v>
      </c>
      <c r="AE135" t="s">
        <v>3887</v>
      </c>
      <c r="AG135" t="s">
        <v>1587</v>
      </c>
      <c r="AH135" t="s">
        <v>2465</v>
      </c>
      <c r="AI135" t="s">
        <v>1028</v>
      </c>
      <c r="AQ135" t="s">
        <v>2837</v>
      </c>
      <c r="AU135" t="s">
        <v>3014</v>
      </c>
      <c r="AW135" t="s">
        <v>52</v>
      </c>
    </row>
    <row r="136" spans="30:49" x14ac:dyDescent="0.2">
      <c r="AD136" t="s">
        <v>3726</v>
      </c>
      <c r="AE136" t="s">
        <v>3888</v>
      </c>
      <c r="AG136" t="s">
        <v>1588</v>
      </c>
      <c r="AH136" t="s">
        <v>2466</v>
      </c>
      <c r="AI136" t="s">
        <v>1029</v>
      </c>
      <c r="AQ136" t="s">
        <v>2542</v>
      </c>
      <c r="AU136" t="s">
        <v>3015</v>
      </c>
      <c r="AW136" t="s">
        <v>53</v>
      </c>
    </row>
    <row r="137" spans="30:49" x14ac:dyDescent="0.2">
      <c r="AD137" t="s">
        <v>3727</v>
      </c>
      <c r="AE137" t="s">
        <v>3889</v>
      </c>
      <c r="AG137" t="s">
        <v>1589</v>
      </c>
      <c r="AH137" t="s">
        <v>2467</v>
      </c>
      <c r="AI137" t="s">
        <v>1030</v>
      </c>
      <c r="AQ137" t="s">
        <v>2838</v>
      </c>
      <c r="AU137" t="s">
        <v>3016</v>
      </c>
      <c r="AW137" t="s">
        <v>54</v>
      </c>
    </row>
    <row r="138" spans="30:49" x14ac:dyDescent="0.2">
      <c r="AD138" t="s">
        <v>3728</v>
      </c>
      <c r="AE138" t="s">
        <v>3890</v>
      </c>
      <c r="AG138" t="s">
        <v>1590</v>
      </c>
      <c r="AH138" t="s">
        <v>2468</v>
      </c>
      <c r="AI138" t="s">
        <v>1031</v>
      </c>
      <c r="AQ138" t="s">
        <v>2839</v>
      </c>
      <c r="AU138" t="s">
        <v>3017</v>
      </c>
      <c r="AW138" t="s">
        <v>55</v>
      </c>
    </row>
    <row r="139" spans="30:49" x14ac:dyDescent="0.2">
      <c r="AD139" t="s">
        <v>3729</v>
      </c>
      <c r="AE139" t="s">
        <v>3891</v>
      </c>
      <c r="AG139" t="s">
        <v>1591</v>
      </c>
      <c r="AH139" t="s">
        <v>1032</v>
      </c>
      <c r="AI139" t="s">
        <v>2539</v>
      </c>
      <c r="AQ139" t="s">
        <v>2840</v>
      </c>
      <c r="AU139" t="s">
        <v>3018</v>
      </c>
      <c r="AW139" t="s">
        <v>56</v>
      </c>
    </row>
    <row r="140" spans="30:49" x14ac:dyDescent="0.2">
      <c r="AD140" t="s">
        <v>3730</v>
      </c>
      <c r="AE140" t="s">
        <v>3892</v>
      </c>
      <c r="AG140" t="s">
        <v>1592</v>
      </c>
      <c r="AH140" t="s">
        <v>2470</v>
      </c>
      <c r="AI140" t="s">
        <v>2540</v>
      </c>
      <c r="AQ140" t="s">
        <v>2841</v>
      </c>
      <c r="AU140" t="s">
        <v>3019</v>
      </c>
      <c r="AW140" t="s">
        <v>57</v>
      </c>
    </row>
    <row r="141" spans="30:49" x14ac:dyDescent="0.2">
      <c r="AD141" t="s">
        <v>3731</v>
      </c>
      <c r="AE141" t="s">
        <v>3893</v>
      </c>
      <c r="AG141" t="s">
        <v>1593</v>
      </c>
      <c r="AH141" t="s">
        <v>2471</v>
      </c>
      <c r="AI141" t="s">
        <v>1033</v>
      </c>
      <c r="AQ141" t="s">
        <v>2842</v>
      </c>
      <c r="AU141" t="s">
        <v>3020</v>
      </c>
      <c r="AW141" t="s">
        <v>1034</v>
      </c>
    </row>
    <row r="142" spans="30:49" x14ac:dyDescent="0.2">
      <c r="AD142" t="s">
        <v>3732</v>
      </c>
      <c r="AE142" t="s">
        <v>3894</v>
      </c>
      <c r="AG142" t="s">
        <v>1594</v>
      </c>
      <c r="AH142" t="s">
        <v>2472</v>
      </c>
      <c r="AI142" t="s">
        <v>1035</v>
      </c>
      <c r="AQ142" t="s">
        <v>1036</v>
      </c>
      <c r="AU142" t="s">
        <v>3021</v>
      </c>
      <c r="AW142" t="s">
        <v>58</v>
      </c>
    </row>
    <row r="143" spans="30:49" x14ac:dyDescent="0.2">
      <c r="AD143" t="s">
        <v>1037</v>
      </c>
      <c r="AE143" t="s">
        <v>3895</v>
      </c>
      <c r="AG143" t="s">
        <v>1595</v>
      </c>
      <c r="AH143" t="s">
        <v>2473</v>
      </c>
      <c r="AI143" t="s">
        <v>1038</v>
      </c>
      <c r="AQ143" t="s">
        <v>1039</v>
      </c>
      <c r="AU143" t="s">
        <v>3022</v>
      </c>
      <c r="AW143" t="s">
        <v>59</v>
      </c>
    </row>
    <row r="144" spans="30:49" x14ac:dyDescent="0.2">
      <c r="AD144" t="s">
        <v>3733</v>
      </c>
      <c r="AE144" t="s">
        <v>3896</v>
      </c>
      <c r="AG144" t="s">
        <v>1596</v>
      </c>
      <c r="AH144" t="s">
        <v>2474</v>
      </c>
      <c r="AI144" t="s">
        <v>1040</v>
      </c>
      <c r="AQ144" t="s">
        <v>2843</v>
      </c>
      <c r="AU144" t="s">
        <v>3023</v>
      </c>
      <c r="AW144" t="s">
        <v>60</v>
      </c>
    </row>
    <row r="145" spans="30:49" x14ac:dyDescent="0.2">
      <c r="AD145" t="s">
        <v>3734</v>
      </c>
      <c r="AE145" t="s">
        <v>3897</v>
      </c>
      <c r="AG145" t="s">
        <v>1597</v>
      </c>
      <c r="AH145" t="s">
        <v>1041</v>
      </c>
      <c r="AI145" t="s">
        <v>1042</v>
      </c>
      <c r="AQ145" t="s">
        <v>2844</v>
      </c>
      <c r="AU145" t="s">
        <v>3024</v>
      </c>
      <c r="AW145" t="s">
        <v>61</v>
      </c>
    </row>
    <row r="146" spans="30:49" x14ac:dyDescent="0.2">
      <c r="AD146" t="s">
        <v>3735</v>
      </c>
      <c r="AE146" t="s">
        <v>3898</v>
      </c>
      <c r="AG146" t="s">
        <v>1598</v>
      </c>
      <c r="AH146" t="s">
        <v>2476</v>
      </c>
      <c r="AI146" t="s">
        <v>1043</v>
      </c>
      <c r="AQ146" t="s">
        <v>2845</v>
      </c>
      <c r="AU146" t="s">
        <v>3025</v>
      </c>
      <c r="AW146" t="s">
        <v>62</v>
      </c>
    </row>
    <row r="147" spans="30:49" x14ac:dyDescent="0.2">
      <c r="AD147" t="s">
        <v>3736</v>
      </c>
      <c r="AE147" t="s">
        <v>3899</v>
      </c>
      <c r="AG147" t="s">
        <v>1599</v>
      </c>
      <c r="AH147" t="s">
        <v>2477</v>
      </c>
      <c r="AI147" t="s">
        <v>1044</v>
      </c>
      <c r="AQ147" t="s">
        <v>2478</v>
      </c>
      <c r="AU147" t="s">
        <v>3026</v>
      </c>
      <c r="AW147" t="s">
        <v>63</v>
      </c>
    </row>
    <row r="148" spans="30:49" x14ac:dyDescent="0.2">
      <c r="AD148" t="s">
        <v>3737</v>
      </c>
      <c r="AE148" t="s">
        <v>3900</v>
      </c>
      <c r="AG148" t="s">
        <v>1600</v>
      </c>
      <c r="AH148" t="s">
        <v>1045</v>
      </c>
      <c r="AI148" t="s">
        <v>1046</v>
      </c>
      <c r="AQ148" t="s">
        <v>2479</v>
      </c>
      <c r="AU148" t="s">
        <v>3027</v>
      </c>
      <c r="AW148" t="s">
        <v>64</v>
      </c>
    </row>
    <row r="149" spans="30:49" x14ac:dyDescent="0.2">
      <c r="AD149" t="s">
        <v>3738</v>
      </c>
      <c r="AE149" t="s">
        <v>3901</v>
      </c>
      <c r="AG149" t="s">
        <v>1601</v>
      </c>
      <c r="AH149" t="s">
        <v>1047</v>
      </c>
      <c r="AI149" t="s">
        <v>1048</v>
      </c>
      <c r="AQ149" t="s">
        <v>2846</v>
      </c>
      <c r="AU149" t="s">
        <v>3028</v>
      </c>
      <c r="AW149" t="s">
        <v>65</v>
      </c>
    </row>
    <row r="150" spans="30:49" x14ac:dyDescent="0.2">
      <c r="AD150" t="s">
        <v>3739</v>
      </c>
      <c r="AE150" t="s">
        <v>3902</v>
      </c>
      <c r="AG150" t="s">
        <v>1602</v>
      </c>
      <c r="AH150" t="s">
        <v>2480</v>
      </c>
      <c r="AI150" t="s">
        <v>1049</v>
      </c>
      <c r="AQ150" t="s">
        <v>2847</v>
      </c>
      <c r="AU150" t="s">
        <v>3029</v>
      </c>
      <c r="AW150" t="s">
        <v>66</v>
      </c>
    </row>
    <row r="151" spans="30:49" x14ac:dyDescent="0.2">
      <c r="AD151" t="s">
        <v>3740</v>
      </c>
      <c r="AE151" t="s">
        <v>3903</v>
      </c>
      <c r="AG151" t="s">
        <v>1603</v>
      </c>
      <c r="AH151" t="s">
        <v>2481</v>
      </c>
      <c r="AI151" t="s">
        <v>2543</v>
      </c>
      <c r="AQ151" t="s">
        <v>2482</v>
      </c>
      <c r="AU151" t="s">
        <v>3030</v>
      </c>
      <c r="AW151" t="s">
        <v>67</v>
      </c>
    </row>
    <row r="152" spans="30:49" x14ac:dyDescent="0.2">
      <c r="AD152" t="s">
        <v>3741</v>
      </c>
      <c r="AE152" t="s">
        <v>3904</v>
      </c>
      <c r="AG152" t="s">
        <v>1604</v>
      </c>
      <c r="AH152" t="s">
        <v>1050</v>
      </c>
      <c r="AI152" t="s">
        <v>2544</v>
      </c>
      <c r="AQ152" t="s">
        <v>2483</v>
      </c>
      <c r="AU152" t="s">
        <v>3031</v>
      </c>
      <c r="AW152" t="s">
        <v>68</v>
      </c>
    </row>
    <row r="153" spans="30:49" x14ac:dyDescent="0.2">
      <c r="AD153" t="s">
        <v>3742</v>
      </c>
      <c r="AE153" t="s">
        <v>3905</v>
      </c>
      <c r="AG153" t="s">
        <v>1605</v>
      </c>
      <c r="AH153" t="s">
        <v>1051</v>
      </c>
      <c r="AI153" t="s">
        <v>1052</v>
      </c>
      <c r="AQ153" t="s">
        <v>2200</v>
      </c>
      <c r="AU153" t="s">
        <v>3032</v>
      </c>
      <c r="AW153" t="s">
        <v>69</v>
      </c>
    </row>
    <row r="154" spans="30:49" x14ac:dyDescent="0.2">
      <c r="AD154" t="s">
        <v>3743</v>
      </c>
      <c r="AE154" t="s">
        <v>3906</v>
      </c>
      <c r="AG154" t="s">
        <v>1606</v>
      </c>
      <c r="AH154" t="s">
        <v>2484</v>
      </c>
      <c r="AI154" t="s">
        <v>1053</v>
      </c>
      <c r="AQ154" t="s">
        <v>2848</v>
      </c>
      <c r="AU154" t="s">
        <v>3033</v>
      </c>
      <c r="AW154" t="s">
        <v>70</v>
      </c>
    </row>
    <row r="155" spans="30:49" x14ac:dyDescent="0.2">
      <c r="AD155" t="s">
        <v>3744</v>
      </c>
      <c r="AE155" t="s">
        <v>3907</v>
      </c>
      <c r="AG155" t="s">
        <v>1607</v>
      </c>
      <c r="AH155" t="s">
        <v>2485</v>
      </c>
      <c r="AI155" t="s">
        <v>1054</v>
      </c>
      <c r="AQ155" t="s">
        <v>2849</v>
      </c>
      <c r="AU155" t="s">
        <v>3034</v>
      </c>
      <c r="AW155" t="s">
        <v>71</v>
      </c>
    </row>
    <row r="156" spans="30:49" x14ac:dyDescent="0.2">
      <c r="AD156" t="s">
        <v>3745</v>
      </c>
      <c r="AE156" t="s">
        <v>3908</v>
      </c>
      <c r="AG156" t="s">
        <v>1608</v>
      </c>
      <c r="AH156" t="s">
        <v>2486</v>
      </c>
      <c r="AI156" t="s">
        <v>1055</v>
      </c>
      <c r="AQ156" t="s">
        <v>2487</v>
      </c>
      <c r="AU156" t="s">
        <v>3035</v>
      </c>
      <c r="AW156" t="s">
        <v>72</v>
      </c>
    </row>
    <row r="157" spans="30:49" x14ac:dyDescent="0.2">
      <c r="AD157" t="s">
        <v>3746</v>
      </c>
      <c r="AE157" t="s">
        <v>3909</v>
      </c>
      <c r="AG157" t="s">
        <v>1609</v>
      </c>
      <c r="AH157" t="s">
        <v>1056</v>
      </c>
      <c r="AI157" t="s">
        <v>1057</v>
      </c>
      <c r="AQ157" t="s">
        <v>2850</v>
      </c>
      <c r="AU157" t="s">
        <v>3036</v>
      </c>
      <c r="AW157" t="s">
        <v>73</v>
      </c>
    </row>
    <row r="158" spans="30:49" x14ac:dyDescent="0.2">
      <c r="AD158" t="s">
        <v>3747</v>
      </c>
      <c r="AE158" t="s">
        <v>3910</v>
      </c>
      <c r="AG158" t="s">
        <v>1610</v>
      </c>
      <c r="AH158" t="s">
        <v>2488</v>
      </c>
      <c r="AI158" t="s">
        <v>1058</v>
      </c>
      <c r="AQ158" t="s">
        <v>2851</v>
      </c>
      <c r="AU158" t="s">
        <v>3037</v>
      </c>
      <c r="AW158" t="s">
        <v>74</v>
      </c>
    </row>
    <row r="159" spans="30:49" x14ac:dyDescent="0.2">
      <c r="AD159" t="s">
        <v>3748</v>
      </c>
      <c r="AE159" t="s">
        <v>3911</v>
      </c>
      <c r="AG159" t="s">
        <v>1611</v>
      </c>
      <c r="AH159" t="s">
        <v>2489</v>
      </c>
      <c r="AI159" t="s">
        <v>1059</v>
      </c>
      <c r="AQ159" t="s">
        <v>2852</v>
      </c>
      <c r="AU159" t="s">
        <v>3038</v>
      </c>
      <c r="AW159" t="s">
        <v>75</v>
      </c>
    </row>
    <row r="160" spans="30:49" x14ac:dyDescent="0.2">
      <c r="AD160" t="s">
        <v>3749</v>
      </c>
      <c r="AE160" t="s">
        <v>3912</v>
      </c>
      <c r="AG160" t="s">
        <v>1612</v>
      </c>
      <c r="AH160" t="s">
        <v>2490</v>
      </c>
      <c r="AI160" t="s">
        <v>1060</v>
      </c>
      <c r="AQ160" t="s">
        <v>2853</v>
      </c>
      <c r="AU160" t="s">
        <v>3039</v>
      </c>
      <c r="AW160" t="s">
        <v>1061</v>
      </c>
    </row>
    <row r="161" spans="30:49" x14ac:dyDescent="0.2">
      <c r="AD161" t="s">
        <v>3750</v>
      </c>
      <c r="AE161" t="s">
        <v>3913</v>
      </c>
      <c r="AG161" t="s">
        <v>1613</v>
      </c>
      <c r="AH161" t="s">
        <v>2491</v>
      </c>
      <c r="AI161" t="s">
        <v>2545</v>
      </c>
      <c r="AQ161" t="s">
        <v>1062</v>
      </c>
      <c r="AU161" t="s">
        <v>3040</v>
      </c>
      <c r="AW161" t="s">
        <v>76</v>
      </c>
    </row>
    <row r="162" spans="30:49" x14ac:dyDescent="0.2">
      <c r="AD162" t="s">
        <v>3751</v>
      </c>
      <c r="AE162" t="s">
        <v>3914</v>
      </c>
      <c r="AG162" t="s">
        <v>1614</v>
      </c>
      <c r="AH162" t="s">
        <v>1063</v>
      </c>
      <c r="AI162" t="s">
        <v>1064</v>
      </c>
      <c r="AQ162" t="s">
        <v>2854</v>
      </c>
      <c r="AU162" t="s">
        <v>3041</v>
      </c>
      <c r="AW162" t="s">
        <v>77</v>
      </c>
    </row>
    <row r="163" spans="30:49" x14ac:dyDescent="0.2">
      <c r="AD163" t="s">
        <v>3752</v>
      </c>
      <c r="AE163" t="s">
        <v>3915</v>
      </c>
      <c r="AG163" t="s">
        <v>1615</v>
      </c>
      <c r="AH163" t="s">
        <v>2493</v>
      </c>
      <c r="AI163" t="s">
        <v>2194</v>
      </c>
      <c r="AQ163" t="s">
        <v>2494</v>
      </c>
      <c r="AU163" t="s">
        <v>3042</v>
      </c>
      <c r="AW163" t="s">
        <v>78</v>
      </c>
    </row>
    <row r="164" spans="30:49" x14ac:dyDescent="0.2">
      <c r="AE164" t="s">
        <v>3916</v>
      </c>
      <c r="AG164" t="s">
        <v>1616</v>
      </c>
      <c r="AH164" t="s">
        <v>1065</v>
      </c>
      <c r="AI164" t="s">
        <v>1066</v>
      </c>
      <c r="AQ164" t="s">
        <v>2213</v>
      </c>
      <c r="AU164" t="s">
        <v>3043</v>
      </c>
      <c r="AW164" t="s">
        <v>79</v>
      </c>
    </row>
    <row r="165" spans="30:49" x14ac:dyDescent="0.2">
      <c r="AE165" t="s">
        <v>3917</v>
      </c>
      <c r="AG165" t="s">
        <v>1617</v>
      </c>
      <c r="AH165" t="s">
        <v>1067</v>
      </c>
      <c r="AI165" t="s">
        <v>1068</v>
      </c>
      <c r="AQ165" t="s">
        <v>2214</v>
      </c>
      <c r="AU165" t="s">
        <v>3044</v>
      </c>
      <c r="AW165" t="s">
        <v>80</v>
      </c>
    </row>
    <row r="166" spans="30:49" x14ac:dyDescent="0.2">
      <c r="AE166" t="s">
        <v>3918</v>
      </c>
      <c r="AG166" t="s">
        <v>1618</v>
      </c>
      <c r="AH166" t="s">
        <v>1069</v>
      </c>
      <c r="AI166" t="s">
        <v>1070</v>
      </c>
      <c r="AQ166" t="s">
        <v>2495</v>
      </c>
      <c r="AU166" t="s">
        <v>3045</v>
      </c>
      <c r="AW166" t="s">
        <v>81</v>
      </c>
    </row>
    <row r="167" spans="30:49" x14ac:dyDescent="0.2">
      <c r="AE167" t="s">
        <v>3919</v>
      </c>
      <c r="AG167" t="s">
        <v>1619</v>
      </c>
      <c r="AH167" t="s">
        <v>1071</v>
      </c>
      <c r="AI167" t="s">
        <v>1072</v>
      </c>
      <c r="AQ167" t="s">
        <v>2855</v>
      </c>
      <c r="AU167" t="s">
        <v>3046</v>
      </c>
      <c r="AW167" t="s">
        <v>82</v>
      </c>
    </row>
    <row r="168" spans="30:49" x14ac:dyDescent="0.2">
      <c r="AE168" t="s">
        <v>3920</v>
      </c>
      <c r="AG168" t="s">
        <v>1620</v>
      </c>
      <c r="AH168" t="s">
        <v>2496</v>
      </c>
      <c r="AI168" t="s">
        <v>1073</v>
      </c>
      <c r="AQ168" t="s">
        <v>2497</v>
      </c>
      <c r="AU168" t="s">
        <v>3047</v>
      </c>
      <c r="AW168" t="s">
        <v>83</v>
      </c>
    </row>
    <row r="169" spans="30:49" x14ac:dyDescent="0.2">
      <c r="AE169" t="s">
        <v>3921</v>
      </c>
      <c r="AG169" t="s">
        <v>1621</v>
      </c>
      <c r="AH169" t="s">
        <v>1074</v>
      </c>
      <c r="AI169" t="s">
        <v>1075</v>
      </c>
      <c r="AQ169" t="s">
        <v>2856</v>
      </c>
      <c r="AU169" t="s">
        <v>3048</v>
      </c>
      <c r="AW169" t="s">
        <v>84</v>
      </c>
    </row>
    <row r="170" spans="30:49" x14ac:dyDescent="0.2">
      <c r="AE170" t="s">
        <v>3922</v>
      </c>
      <c r="AG170" t="s">
        <v>1622</v>
      </c>
      <c r="AH170" t="s">
        <v>1076</v>
      </c>
      <c r="AI170" t="s">
        <v>1077</v>
      </c>
      <c r="AQ170" t="s">
        <v>2857</v>
      </c>
      <c r="AU170" t="s">
        <v>3049</v>
      </c>
      <c r="AW170" t="s">
        <v>85</v>
      </c>
    </row>
    <row r="171" spans="30:49" x14ac:dyDescent="0.2">
      <c r="AE171" t="s">
        <v>3923</v>
      </c>
      <c r="AG171" t="s">
        <v>1623</v>
      </c>
      <c r="AH171" t="s">
        <v>2499</v>
      </c>
      <c r="AI171" t="s">
        <v>1078</v>
      </c>
      <c r="AQ171" t="s">
        <v>2858</v>
      </c>
      <c r="AU171" t="s">
        <v>3050</v>
      </c>
      <c r="AW171" t="s">
        <v>86</v>
      </c>
    </row>
    <row r="172" spans="30:49" x14ac:dyDescent="0.2">
      <c r="AE172" t="s">
        <v>3924</v>
      </c>
      <c r="AG172" t="s">
        <v>1624</v>
      </c>
      <c r="AH172" t="s">
        <v>2500</v>
      </c>
      <c r="AI172" t="s">
        <v>1079</v>
      </c>
      <c r="AQ172" t="s">
        <v>2859</v>
      </c>
      <c r="AU172" t="s">
        <v>3051</v>
      </c>
      <c r="AW172" t="s">
        <v>87</v>
      </c>
    </row>
    <row r="173" spans="30:49" x14ac:dyDescent="0.2">
      <c r="AE173" t="s">
        <v>3925</v>
      </c>
      <c r="AG173" t="s">
        <v>1625</v>
      </c>
      <c r="AH173" t="s">
        <v>2501</v>
      </c>
      <c r="AI173" t="s">
        <v>1080</v>
      </c>
      <c r="AQ173" t="s">
        <v>2860</v>
      </c>
      <c r="AU173" t="s">
        <v>3052</v>
      </c>
      <c r="AW173" t="s">
        <v>88</v>
      </c>
    </row>
    <row r="174" spans="30:49" x14ac:dyDescent="0.2">
      <c r="AE174" t="s">
        <v>3926</v>
      </c>
      <c r="AG174" t="s">
        <v>1626</v>
      </c>
      <c r="AH174" t="s">
        <v>2502</v>
      </c>
      <c r="AI174" t="s">
        <v>1081</v>
      </c>
      <c r="AQ174" t="s">
        <v>2861</v>
      </c>
      <c r="AU174" t="s">
        <v>3053</v>
      </c>
      <c r="AW174" t="s">
        <v>89</v>
      </c>
    </row>
    <row r="175" spans="30:49" x14ac:dyDescent="0.2">
      <c r="AE175" t="s">
        <v>3927</v>
      </c>
      <c r="AG175" t="s">
        <v>1627</v>
      </c>
      <c r="AH175" t="s">
        <v>2503</v>
      </c>
      <c r="AI175" t="s">
        <v>1082</v>
      </c>
      <c r="AQ175" t="s">
        <v>2504</v>
      </c>
      <c r="AU175" t="s">
        <v>3054</v>
      </c>
      <c r="AW175" t="s">
        <v>90</v>
      </c>
    </row>
    <row r="176" spans="30:49" x14ac:dyDescent="0.2">
      <c r="AE176" t="s">
        <v>3928</v>
      </c>
      <c r="AG176" t="s">
        <v>1628</v>
      </c>
      <c r="AH176" t="s">
        <v>1083</v>
      </c>
      <c r="AI176" t="s">
        <v>1084</v>
      </c>
      <c r="AQ176" t="s">
        <v>2505</v>
      </c>
      <c r="AU176" t="s">
        <v>3055</v>
      </c>
      <c r="AW176" t="s">
        <v>91</v>
      </c>
    </row>
    <row r="177" spans="31:49" x14ac:dyDescent="0.2">
      <c r="AE177" t="s">
        <v>3929</v>
      </c>
      <c r="AG177" t="s">
        <v>1629</v>
      </c>
      <c r="AH177" t="s">
        <v>1085</v>
      </c>
      <c r="AI177" t="s">
        <v>1086</v>
      </c>
      <c r="AQ177" t="s">
        <v>2506</v>
      </c>
      <c r="AU177" t="s">
        <v>3056</v>
      </c>
      <c r="AW177" t="s">
        <v>92</v>
      </c>
    </row>
    <row r="178" spans="31:49" x14ac:dyDescent="0.2">
      <c r="AE178" t="s">
        <v>3930</v>
      </c>
      <c r="AG178" t="s">
        <v>1630</v>
      </c>
      <c r="AH178" t="s">
        <v>1087</v>
      </c>
      <c r="AI178" t="s">
        <v>1088</v>
      </c>
      <c r="AQ178" t="s">
        <v>2862</v>
      </c>
      <c r="AU178" t="s">
        <v>3057</v>
      </c>
      <c r="AW178" t="s">
        <v>93</v>
      </c>
    </row>
    <row r="179" spans="31:49" x14ac:dyDescent="0.2">
      <c r="AE179" t="s">
        <v>3931</v>
      </c>
      <c r="AG179" t="s">
        <v>1631</v>
      </c>
      <c r="AH179" t="s">
        <v>2507</v>
      </c>
      <c r="AI179" t="s">
        <v>1089</v>
      </c>
      <c r="AQ179" t="s">
        <v>2863</v>
      </c>
      <c r="AU179" t="s">
        <v>3058</v>
      </c>
      <c r="AW179" t="s">
        <v>94</v>
      </c>
    </row>
    <row r="180" spans="31:49" x14ac:dyDescent="0.2">
      <c r="AE180" t="s">
        <v>3932</v>
      </c>
      <c r="AG180" t="s">
        <v>1632</v>
      </c>
      <c r="AH180" t="s">
        <v>2508</v>
      </c>
      <c r="AI180" t="s">
        <v>1090</v>
      </c>
      <c r="AQ180" t="s">
        <v>2509</v>
      </c>
      <c r="AU180" t="s">
        <v>3059</v>
      </c>
      <c r="AW180" t="s">
        <v>95</v>
      </c>
    </row>
    <row r="181" spans="31:49" x14ac:dyDescent="0.2">
      <c r="AE181" t="s">
        <v>3933</v>
      </c>
      <c r="AG181" t="s">
        <v>1633</v>
      </c>
      <c r="AH181" t="s">
        <v>1091</v>
      </c>
      <c r="AI181" t="s">
        <v>1092</v>
      </c>
      <c r="AQ181" t="s">
        <v>2510</v>
      </c>
      <c r="AU181" t="s">
        <v>3060</v>
      </c>
      <c r="AW181" t="s">
        <v>96</v>
      </c>
    </row>
    <row r="182" spans="31:49" x14ac:dyDescent="0.2">
      <c r="AE182" t="s">
        <v>3934</v>
      </c>
      <c r="AG182" t="s">
        <v>1634</v>
      </c>
      <c r="AH182" t="s">
        <v>1093</v>
      </c>
      <c r="AI182" t="s">
        <v>1094</v>
      </c>
      <c r="AQ182" t="s">
        <v>2511</v>
      </c>
      <c r="AU182" t="s">
        <v>3061</v>
      </c>
      <c r="AW182" t="s">
        <v>97</v>
      </c>
    </row>
    <row r="183" spans="31:49" x14ac:dyDescent="0.2">
      <c r="AE183" t="s">
        <v>3935</v>
      </c>
      <c r="AG183" t="s">
        <v>1635</v>
      </c>
      <c r="AH183" t="s">
        <v>1095</v>
      </c>
      <c r="AI183" t="s">
        <v>1096</v>
      </c>
      <c r="AQ183" t="s">
        <v>1097</v>
      </c>
      <c r="AU183" t="s">
        <v>3062</v>
      </c>
      <c r="AW183" t="s">
        <v>98</v>
      </c>
    </row>
    <row r="184" spans="31:49" x14ac:dyDescent="0.2">
      <c r="AE184" t="s">
        <v>3936</v>
      </c>
      <c r="AG184" t="s">
        <v>1636</v>
      </c>
      <c r="AH184" t="s">
        <v>2512</v>
      </c>
      <c r="AI184" t="s">
        <v>1098</v>
      </c>
      <c r="AQ184" t="s">
        <v>2513</v>
      </c>
      <c r="AU184" t="s">
        <v>3063</v>
      </c>
      <c r="AW184" t="s">
        <v>1099</v>
      </c>
    </row>
    <row r="185" spans="31:49" x14ac:dyDescent="0.2">
      <c r="AE185" t="s">
        <v>3937</v>
      </c>
      <c r="AG185" t="s">
        <v>1637</v>
      </c>
      <c r="AH185" t="s">
        <v>1100</v>
      </c>
      <c r="AI185" t="s">
        <v>1101</v>
      </c>
      <c r="AQ185" t="s">
        <v>2546</v>
      </c>
      <c r="AU185" t="s">
        <v>3064</v>
      </c>
      <c r="AW185" t="s">
        <v>99</v>
      </c>
    </row>
    <row r="186" spans="31:49" x14ac:dyDescent="0.2">
      <c r="AE186" t="s">
        <v>3938</v>
      </c>
      <c r="AG186" t="s">
        <v>1638</v>
      </c>
      <c r="AH186" t="s">
        <v>2514</v>
      </c>
      <c r="AI186" t="s">
        <v>1102</v>
      </c>
      <c r="AQ186" t="s">
        <v>1103</v>
      </c>
      <c r="AU186" t="s">
        <v>3065</v>
      </c>
      <c r="AW186" t="s">
        <v>100</v>
      </c>
    </row>
    <row r="187" spans="31:49" x14ac:dyDescent="0.2">
      <c r="AE187" t="s">
        <v>3939</v>
      </c>
      <c r="AG187" t="s">
        <v>1639</v>
      </c>
      <c r="AH187" t="s">
        <v>2515</v>
      </c>
      <c r="AI187" t="s">
        <v>1104</v>
      </c>
      <c r="AQ187" t="s">
        <v>1105</v>
      </c>
      <c r="AU187" t="s">
        <v>3066</v>
      </c>
      <c r="AW187" t="s">
        <v>101</v>
      </c>
    </row>
    <row r="188" spans="31:49" x14ac:dyDescent="0.2">
      <c r="AE188" t="s">
        <v>3940</v>
      </c>
      <c r="AG188" t="s">
        <v>1640</v>
      </c>
      <c r="AH188" t="s">
        <v>2516</v>
      </c>
      <c r="AI188" t="s">
        <v>1106</v>
      </c>
      <c r="AQ188" t="s">
        <v>1107</v>
      </c>
      <c r="AW188" t="s">
        <v>102</v>
      </c>
    </row>
    <row r="189" spans="31:49" x14ac:dyDescent="0.2">
      <c r="AE189" t="s">
        <v>3941</v>
      </c>
      <c r="AG189" t="s">
        <v>1641</v>
      </c>
      <c r="AH189" t="s">
        <v>2517</v>
      </c>
      <c r="AI189" t="s">
        <v>1108</v>
      </c>
      <c r="AQ189" t="s">
        <v>2864</v>
      </c>
      <c r="AW189" t="s">
        <v>103</v>
      </c>
    </row>
    <row r="190" spans="31:49" x14ac:dyDescent="0.2">
      <c r="AE190" t="s">
        <v>3942</v>
      </c>
      <c r="AG190" t="s">
        <v>1642</v>
      </c>
      <c r="AH190" t="s">
        <v>2518</v>
      </c>
      <c r="AI190" t="s">
        <v>1109</v>
      </c>
      <c r="AQ190" t="s">
        <v>2865</v>
      </c>
      <c r="AW190" t="s">
        <v>104</v>
      </c>
    </row>
    <row r="191" spans="31:49" x14ac:dyDescent="0.2">
      <c r="AE191" t="s">
        <v>3943</v>
      </c>
      <c r="AG191" t="s">
        <v>1643</v>
      </c>
      <c r="AH191" t="s">
        <v>2519</v>
      </c>
      <c r="AI191" t="s">
        <v>1110</v>
      </c>
      <c r="AQ191" t="s">
        <v>1111</v>
      </c>
      <c r="AW191" t="s">
        <v>105</v>
      </c>
    </row>
    <row r="192" spans="31:49" x14ac:dyDescent="0.2">
      <c r="AE192" t="s">
        <v>3944</v>
      </c>
      <c r="AG192" t="s">
        <v>1644</v>
      </c>
      <c r="AH192" t="s">
        <v>2520</v>
      </c>
      <c r="AI192" t="s">
        <v>1112</v>
      </c>
      <c r="AQ192" t="s">
        <v>1113</v>
      </c>
      <c r="AW192" t="s">
        <v>1114</v>
      </c>
    </row>
    <row r="193" spans="31:49" x14ac:dyDescent="0.2">
      <c r="AE193" t="s">
        <v>3945</v>
      </c>
      <c r="AG193" t="s">
        <v>1645</v>
      </c>
      <c r="AH193" t="s">
        <v>1115</v>
      </c>
      <c r="AI193" t="s">
        <v>1116</v>
      </c>
      <c r="AQ193" t="s">
        <v>2866</v>
      </c>
      <c r="AW193" t="s">
        <v>106</v>
      </c>
    </row>
    <row r="194" spans="31:49" x14ac:dyDescent="0.2">
      <c r="AE194" t="s">
        <v>3946</v>
      </c>
      <c r="AG194" t="s">
        <v>1646</v>
      </c>
      <c r="AH194" t="s">
        <v>2522</v>
      </c>
      <c r="AI194" t="s">
        <v>1117</v>
      </c>
      <c r="AQ194" t="s">
        <v>1118</v>
      </c>
      <c r="AW194" t="s">
        <v>1119</v>
      </c>
    </row>
    <row r="195" spans="31:49" x14ac:dyDescent="0.2">
      <c r="AE195" t="s">
        <v>3947</v>
      </c>
      <c r="AG195" t="s">
        <v>1647</v>
      </c>
      <c r="AH195" t="s">
        <v>2523</v>
      </c>
      <c r="AI195" t="s">
        <v>1120</v>
      </c>
      <c r="AQ195" t="s">
        <v>2867</v>
      </c>
      <c r="AW195" t="s">
        <v>107</v>
      </c>
    </row>
    <row r="196" spans="31:49" x14ac:dyDescent="0.2">
      <c r="AE196" t="s">
        <v>3948</v>
      </c>
      <c r="AG196" t="s">
        <v>1648</v>
      </c>
      <c r="AI196" t="s">
        <v>1121</v>
      </c>
      <c r="AW196" t="s">
        <v>108</v>
      </c>
    </row>
    <row r="197" spans="31:49" x14ac:dyDescent="0.2">
      <c r="AE197" t="s">
        <v>3949</v>
      </c>
      <c r="AG197" t="s">
        <v>1649</v>
      </c>
      <c r="AI197" t="s">
        <v>1122</v>
      </c>
      <c r="AW197" t="s">
        <v>109</v>
      </c>
    </row>
    <row r="198" spans="31:49" x14ac:dyDescent="0.2">
      <c r="AE198" t="s">
        <v>3950</v>
      </c>
      <c r="AG198" t="s">
        <v>1650</v>
      </c>
      <c r="AI198" t="s">
        <v>1123</v>
      </c>
      <c r="AW198" t="s">
        <v>110</v>
      </c>
    </row>
    <row r="199" spans="31:49" x14ac:dyDescent="0.2">
      <c r="AE199" t="s">
        <v>3951</v>
      </c>
      <c r="AG199" t="s">
        <v>1124</v>
      </c>
      <c r="AI199" t="s">
        <v>1125</v>
      </c>
      <c r="AW199" t="s">
        <v>111</v>
      </c>
    </row>
    <row r="200" spans="31:49" x14ac:dyDescent="0.2">
      <c r="AE200" t="s">
        <v>3952</v>
      </c>
      <c r="AG200" t="s">
        <v>1652</v>
      </c>
      <c r="AI200" t="s">
        <v>2548</v>
      </c>
      <c r="AW200" t="s">
        <v>112</v>
      </c>
    </row>
    <row r="201" spans="31:49" x14ac:dyDescent="0.2">
      <c r="AE201" t="s">
        <v>3953</v>
      </c>
      <c r="AG201" t="s">
        <v>1653</v>
      </c>
      <c r="AI201" t="s">
        <v>1126</v>
      </c>
      <c r="AW201" t="s">
        <v>113</v>
      </c>
    </row>
    <row r="202" spans="31:49" x14ac:dyDescent="0.2">
      <c r="AE202" t="s">
        <v>3954</v>
      </c>
      <c r="AG202" t="s">
        <v>1654</v>
      </c>
      <c r="AI202" t="s">
        <v>1127</v>
      </c>
      <c r="AW202" t="s">
        <v>114</v>
      </c>
    </row>
    <row r="203" spans="31:49" x14ac:dyDescent="0.2">
      <c r="AE203" t="s">
        <v>3955</v>
      </c>
      <c r="AG203" t="s">
        <v>1655</v>
      </c>
      <c r="AI203" t="s">
        <v>1128</v>
      </c>
      <c r="AW203" t="s">
        <v>115</v>
      </c>
    </row>
    <row r="204" spans="31:49" x14ac:dyDescent="0.2">
      <c r="AE204" t="s">
        <v>3956</v>
      </c>
      <c r="AG204" t="s">
        <v>1656</v>
      </c>
      <c r="AI204" t="s">
        <v>2549</v>
      </c>
      <c r="AW204" t="s">
        <v>116</v>
      </c>
    </row>
    <row r="205" spans="31:49" x14ac:dyDescent="0.2">
      <c r="AE205" t="s">
        <v>3957</v>
      </c>
      <c r="AG205" t="s">
        <v>1657</v>
      </c>
      <c r="AI205" t="s">
        <v>1129</v>
      </c>
      <c r="AW205" t="s">
        <v>117</v>
      </c>
    </row>
    <row r="206" spans="31:49" x14ac:dyDescent="0.2">
      <c r="AE206" t="s">
        <v>3958</v>
      </c>
      <c r="AG206" t="s">
        <v>1658</v>
      </c>
      <c r="AI206" t="s">
        <v>2550</v>
      </c>
      <c r="AW206" t="s">
        <v>118</v>
      </c>
    </row>
    <row r="207" spans="31:49" x14ac:dyDescent="0.2">
      <c r="AE207" t="s">
        <v>3959</v>
      </c>
      <c r="AG207" t="s">
        <v>1659</v>
      </c>
      <c r="AI207" t="s">
        <v>1130</v>
      </c>
      <c r="AW207" t="s">
        <v>119</v>
      </c>
    </row>
    <row r="208" spans="31:49" x14ac:dyDescent="0.2">
      <c r="AE208" t="s">
        <v>3960</v>
      </c>
      <c r="AG208" t="s">
        <v>1660</v>
      </c>
      <c r="AI208" t="s">
        <v>1131</v>
      </c>
      <c r="AW208" t="s">
        <v>120</v>
      </c>
    </row>
    <row r="209" spans="31:49" x14ac:dyDescent="0.2">
      <c r="AE209" t="s">
        <v>3961</v>
      </c>
      <c r="AG209" t="s">
        <v>1661</v>
      </c>
      <c r="AW209" t="s">
        <v>121</v>
      </c>
    </row>
    <row r="210" spans="31:49" x14ac:dyDescent="0.2">
      <c r="AE210" t="s">
        <v>3962</v>
      </c>
      <c r="AG210" t="s">
        <v>1662</v>
      </c>
      <c r="AW210" t="s">
        <v>122</v>
      </c>
    </row>
    <row r="211" spans="31:49" x14ac:dyDescent="0.2">
      <c r="AE211" t="s">
        <v>3963</v>
      </c>
      <c r="AG211" t="s">
        <v>1663</v>
      </c>
      <c r="AW211" t="s">
        <v>123</v>
      </c>
    </row>
    <row r="212" spans="31:49" x14ac:dyDescent="0.2">
      <c r="AE212" t="s">
        <v>3964</v>
      </c>
      <c r="AG212" t="s">
        <v>1664</v>
      </c>
      <c r="AW212" t="s">
        <v>124</v>
      </c>
    </row>
    <row r="213" spans="31:49" x14ac:dyDescent="0.2">
      <c r="AE213" t="s">
        <v>3965</v>
      </c>
      <c r="AG213" t="s">
        <v>1665</v>
      </c>
      <c r="AW213" t="s">
        <v>125</v>
      </c>
    </row>
    <row r="214" spans="31:49" x14ac:dyDescent="0.2">
      <c r="AE214" t="s">
        <v>3966</v>
      </c>
      <c r="AG214" t="s">
        <v>1132</v>
      </c>
      <c r="AW214" t="s">
        <v>126</v>
      </c>
    </row>
    <row r="215" spans="31:49" x14ac:dyDescent="0.2">
      <c r="AE215" t="s">
        <v>3967</v>
      </c>
      <c r="AG215" t="s">
        <v>1667</v>
      </c>
      <c r="AW215" t="s">
        <v>127</v>
      </c>
    </row>
    <row r="216" spans="31:49" x14ac:dyDescent="0.2">
      <c r="AE216" t="s">
        <v>3968</v>
      </c>
      <c r="AG216" t="s">
        <v>1668</v>
      </c>
      <c r="AW216" t="s">
        <v>128</v>
      </c>
    </row>
    <row r="217" spans="31:49" x14ac:dyDescent="0.2">
      <c r="AE217" t="s">
        <v>3969</v>
      </c>
      <c r="AG217" t="s">
        <v>1669</v>
      </c>
      <c r="AW217" t="s">
        <v>129</v>
      </c>
    </row>
    <row r="218" spans="31:49" x14ac:dyDescent="0.2">
      <c r="AE218" t="s">
        <v>3970</v>
      </c>
      <c r="AG218" t="s">
        <v>1670</v>
      </c>
      <c r="AW218" t="s">
        <v>130</v>
      </c>
    </row>
    <row r="219" spans="31:49" x14ac:dyDescent="0.2">
      <c r="AE219" t="s">
        <v>3971</v>
      </c>
      <c r="AG219" t="s">
        <v>1671</v>
      </c>
      <c r="AW219" t="s">
        <v>131</v>
      </c>
    </row>
    <row r="220" spans="31:49" x14ac:dyDescent="0.2">
      <c r="AE220" t="s">
        <v>3972</v>
      </c>
      <c r="AG220" t="s">
        <v>1133</v>
      </c>
      <c r="AW220" t="s">
        <v>132</v>
      </c>
    </row>
    <row r="221" spans="31:49" x14ac:dyDescent="0.2">
      <c r="AE221" t="s">
        <v>3973</v>
      </c>
      <c r="AG221" t="s">
        <v>1673</v>
      </c>
      <c r="AW221" t="s">
        <v>133</v>
      </c>
    </row>
    <row r="222" spans="31:49" x14ac:dyDescent="0.2">
      <c r="AE222" t="s">
        <v>3974</v>
      </c>
      <c r="AG222" t="s">
        <v>1674</v>
      </c>
      <c r="AW222" t="s">
        <v>134</v>
      </c>
    </row>
    <row r="223" spans="31:49" x14ac:dyDescent="0.2">
      <c r="AE223" t="s">
        <v>3975</v>
      </c>
      <c r="AG223" t="s">
        <v>1675</v>
      </c>
      <c r="AW223" t="s">
        <v>135</v>
      </c>
    </row>
    <row r="224" spans="31:49" x14ac:dyDescent="0.2">
      <c r="AE224" t="s">
        <v>3976</v>
      </c>
      <c r="AG224" t="s">
        <v>1676</v>
      </c>
      <c r="AW224" t="s">
        <v>136</v>
      </c>
    </row>
    <row r="225" spans="31:49" x14ac:dyDescent="0.2">
      <c r="AE225" t="s">
        <v>3977</v>
      </c>
      <c r="AG225" t="s">
        <v>1677</v>
      </c>
      <c r="AW225" t="s">
        <v>137</v>
      </c>
    </row>
    <row r="226" spans="31:49" x14ac:dyDescent="0.2">
      <c r="AE226" t="s">
        <v>3978</v>
      </c>
      <c r="AG226" t="s">
        <v>1678</v>
      </c>
      <c r="AW226" t="s">
        <v>138</v>
      </c>
    </row>
    <row r="227" spans="31:49" x14ac:dyDescent="0.2">
      <c r="AE227" t="s">
        <v>3979</v>
      </c>
      <c r="AG227" t="s">
        <v>1679</v>
      </c>
      <c r="AW227" t="s">
        <v>139</v>
      </c>
    </row>
    <row r="228" spans="31:49" x14ac:dyDescent="0.2">
      <c r="AE228" t="s">
        <v>3980</v>
      </c>
      <c r="AG228" t="s">
        <v>1680</v>
      </c>
      <c r="AW228" t="s">
        <v>140</v>
      </c>
    </row>
    <row r="229" spans="31:49" x14ac:dyDescent="0.2">
      <c r="AE229" t="s">
        <v>3981</v>
      </c>
      <c r="AG229" t="s">
        <v>1681</v>
      </c>
      <c r="AW229" t="s">
        <v>141</v>
      </c>
    </row>
    <row r="230" spans="31:49" x14ac:dyDescent="0.2">
      <c r="AE230" t="s">
        <v>3982</v>
      </c>
      <c r="AG230" t="s">
        <v>1682</v>
      </c>
      <c r="AW230" t="s">
        <v>142</v>
      </c>
    </row>
    <row r="231" spans="31:49" x14ac:dyDescent="0.2">
      <c r="AE231" t="s">
        <v>3983</v>
      </c>
      <c r="AG231" t="s">
        <v>1683</v>
      </c>
      <c r="AW231" t="s">
        <v>143</v>
      </c>
    </row>
    <row r="232" spans="31:49" x14ac:dyDescent="0.2">
      <c r="AE232" t="s">
        <v>3984</v>
      </c>
      <c r="AG232" t="s">
        <v>1684</v>
      </c>
      <c r="AW232" t="s">
        <v>144</v>
      </c>
    </row>
    <row r="233" spans="31:49" x14ac:dyDescent="0.2">
      <c r="AE233" t="s">
        <v>3985</v>
      </c>
      <c r="AG233" t="s">
        <v>1685</v>
      </c>
      <c r="AW233" t="s">
        <v>145</v>
      </c>
    </row>
    <row r="234" spans="31:49" x14ac:dyDescent="0.2">
      <c r="AE234" t="s">
        <v>3986</v>
      </c>
      <c r="AG234" t="s">
        <v>1686</v>
      </c>
      <c r="AW234" t="s">
        <v>146</v>
      </c>
    </row>
    <row r="235" spans="31:49" x14ac:dyDescent="0.2">
      <c r="AE235" t="s">
        <v>3987</v>
      </c>
      <c r="AG235" t="s">
        <v>1687</v>
      </c>
      <c r="AW235" t="s">
        <v>147</v>
      </c>
    </row>
    <row r="236" spans="31:49" x14ac:dyDescent="0.2">
      <c r="AE236" t="s">
        <v>3988</v>
      </c>
      <c r="AG236" t="s">
        <v>1688</v>
      </c>
      <c r="AW236" t="s">
        <v>148</v>
      </c>
    </row>
    <row r="237" spans="31:49" x14ac:dyDescent="0.2">
      <c r="AE237" t="s">
        <v>3989</v>
      </c>
      <c r="AG237" t="s">
        <v>1689</v>
      </c>
      <c r="AW237" t="s">
        <v>149</v>
      </c>
    </row>
    <row r="238" spans="31:49" x14ac:dyDescent="0.2">
      <c r="AE238" t="s">
        <v>3990</v>
      </c>
      <c r="AG238" t="s">
        <v>1690</v>
      </c>
      <c r="AW238" t="s">
        <v>150</v>
      </c>
    </row>
    <row r="239" spans="31:49" x14ac:dyDescent="0.2">
      <c r="AE239" t="s">
        <v>3991</v>
      </c>
      <c r="AG239" t="s">
        <v>1691</v>
      </c>
      <c r="AW239" t="s">
        <v>151</v>
      </c>
    </row>
    <row r="240" spans="31:49" x14ac:dyDescent="0.2">
      <c r="AE240" t="s">
        <v>3992</v>
      </c>
      <c r="AG240" t="s">
        <v>1692</v>
      </c>
      <c r="AW240" t="s">
        <v>152</v>
      </c>
    </row>
    <row r="241" spans="31:49" x14ac:dyDescent="0.2">
      <c r="AE241" t="s">
        <v>3993</v>
      </c>
      <c r="AG241" t="s">
        <v>1693</v>
      </c>
      <c r="AW241" t="s">
        <v>153</v>
      </c>
    </row>
    <row r="242" spans="31:49" x14ac:dyDescent="0.2">
      <c r="AE242" t="s">
        <v>3994</v>
      </c>
      <c r="AG242" t="s">
        <v>1694</v>
      </c>
      <c r="AW242" t="s">
        <v>154</v>
      </c>
    </row>
    <row r="243" spans="31:49" x14ac:dyDescent="0.2">
      <c r="AE243" t="s">
        <v>3995</v>
      </c>
      <c r="AG243" t="s">
        <v>1695</v>
      </c>
      <c r="AW243" t="s">
        <v>155</v>
      </c>
    </row>
    <row r="244" spans="31:49" x14ac:dyDescent="0.2">
      <c r="AE244" t="s">
        <v>3996</v>
      </c>
      <c r="AG244" t="s">
        <v>1696</v>
      </c>
      <c r="AW244" t="s">
        <v>156</v>
      </c>
    </row>
    <row r="245" spans="31:49" x14ac:dyDescent="0.2">
      <c r="AE245" t="s">
        <v>3997</v>
      </c>
      <c r="AG245" t="s">
        <v>1697</v>
      </c>
      <c r="AW245" t="s">
        <v>157</v>
      </c>
    </row>
    <row r="246" spans="31:49" x14ac:dyDescent="0.2">
      <c r="AE246" t="s">
        <v>3998</v>
      </c>
      <c r="AG246" t="s">
        <v>1698</v>
      </c>
      <c r="AW246" t="s">
        <v>158</v>
      </c>
    </row>
    <row r="247" spans="31:49" x14ac:dyDescent="0.2">
      <c r="AE247" t="s">
        <v>3999</v>
      </c>
      <c r="AG247" t="s">
        <v>1699</v>
      </c>
      <c r="AW247" t="s">
        <v>1134</v>
      </c>
    </row>
    <row r="248" spans="31:49" x14ac:dyDescent="0.2">
      <c r="AE248" t="s">
        <v>4000</v>
      </c>
      <c r="AG248" t="s">
        <v>1700</v>
      </c>
      <c r="AW248" t="s">
        <v>159</v>
      </c>
    </row>
    <row r="249" spans="31:49" x14ac:dyDescent="0.2">
      <c r="AE249" t="s">
        <v>4001</v>
      </c>
      <c r="AG249" t="s">
        <v>1701</v>
      </c>
      <c r="AW249" t="s">
        <v>160</v>
      </c>
    </row>
    <row r="250" spans="31:49" x14ac:dyDescent="0.2">
      <c r="AE250" t="s">
        <v>4002</v>
      </c>
      <c r="AG250" t="s">
        <v>1702</v>
      </c>
      <c r="AW250" t="s">
        <v>161</v>
      </c>
    </row>
    <row r="251" spans="31:49" x14ac:dyDescent="0.2">
      <c r="AE251" t="s">
        <v>4003</v>
      </c>
      <c r="AG251" t="s">
        <v>1703</v>
      </c>
      <c r="AW251" t="s">
        <v>1135</v>
      </c>
    </row>
    <row r="252" spans="31:49" x14ac:dyDescent="0.2">
      <c r="AE252" t="s">
        <v>4004</v>
      </c>
      <c r="AG252" t="s">
        <v>1704</v>
      </c>
      <c r="AW252" t="s">
        <v>162</v>
      </c>
    </row>
    <row r="253" spans="31:49" x14ac:dyDescent="0.2">
      <c r="AE253" t="s">
        <v>4005</v>
      </c>
      <c r="AG253" t="s">
        <v>1705</v>
      </c>
      <c r="AW253" t="s">
        <v>163</v>
      </c>
    </row>
    <row r="254" spans="31:49" x14ac:dyDescent="0.2">
      <c r="AE254" t="s">
        <v>4006</v>
      </c>
      <c r="AG254" t="s">
        <v>1706</v>
      </c>
      <c r="AW254" t="s">
        <v>164</v>
      </c>
    </row>
    <row r="255" spans="31:49" x14ac:dyDescent="0.2">
      <c r="AE255" t="s">
        <v>4007</v>
      </c>
      <c r="AG255" t="s">
        <v>1707</v>
      </c>
      <c r="AW255" t="s">
        <v>165</v>
      </c>
    </row>
    <row r="256" spans="31:49" x14ac:dyDescent="0.2">
      <c r="AE256" t="s">
        <v>4008</v>
      </c>
      <c r="AG256" t="s">
        <v>1708</v>
      </c>
      <c r="AW256" t="s">
        <v>166</v>
      </c>
    </row>
    <row r="257" spans="31:49" x14ac:dyDescent="0.2">
      <c r="AE257" t="s">
        <v>4009</v>
      </c>
      <c r="AG257" t="s">
        <v>1709</v>
      </c>
      <c r="AW257" t="s">
        <v>167</v>
      </c>
    </row>
    <row r="258" spans="31:49" x14ac:dyDescent="0.2">
      <c r="AE258" t="s">
        <v>4010</v>
      </c>
      <c r="AG258" t="s">
        <v>1710</v>
      </c>
      <c r="AW258" t="s">
        <v>168</v>
      </c>
    </row>
    <row r="259" spans="31:49" x14ac:dyDescent="0.2">
      <c r="AE259" t="s">
        <v>4011</v>
      </c>
      <c r="AG259" t="s">
        <v>1711</v>
      </c>
      <c r="AW259" t="s">
        <v>169</v>
      </c>
    </row>
    <row r="260" spans="31:49" x14ac:dyDescent="0.2">
      <c r="AE260" t="s">
        <v>4012</v>
      </c>
      <c r="AG260" t="s">
        <v>1712</v>
      </c>
      <c r="AW260" t="s">
        <v>170</v>
      </c>
    </row>
    <row r="261" spans="31:49" x14ac:dyDescent="0.2">
      <c r="AE261" t="s">
        <v>4013</v>
      </c>
      <c r="AG261" t="s">
        <v>1713</v>
      </c>
      <c r="AW261" t="s">
        <v>171</v>
      </c>
    </row>
    <row r="262" spans="31:49" x14ac:dyDescent="0.2">
      <c r="AE262" t="s">
        <v>4014</v>
      </c>
      <c r="AG262" t="s">
        <v>1714</v>
      </c>
      <c r="AW262" t="s">
        <v>172</v>
      </c>
    </row>
    <row r="263" spans="31:49" x14ac:dyDescent="0.2">
      <c r="AE263" t="s">
        <v>4015</v>
      </c>
      <c r="AG263" t="s">
        <v>1715</v>
      </c>
      <c r="AW263" t="s">
        <v>173</v>
      </c>
    </row>
    <row r="264" spans="31:49" x14ac:dyDescent="0.2">
      <c r="AE264" t="s">
        <v>4016</v>
      </c>
      <c r="AG264" t="s">
        <v>1716</v>
      </c>
      <c r="AW264" t="s">
        <v>174</v>
      </c>
    </row>
    <row r="265" spans="31:49" x14ac:dyDescent="0.2">
      <c r="AE265" t="s">
        <v>4017</v>
      </c>
      <c r="AG265" t="s">
        <v>1717</v>
      </c>
      <c r="AW265" t="s">
        <v>175</v>
      </c>
    </row>
    <row r="266" spans="31:49" x14ac:dyDescent="0.2">
      <c r="AE266" t="s">
        <v>4018</v>
      </c>
      <c r="AG266" t="s">
        <v>1718</v>
      </c>
      <c r="AW266" t="s">
        <v>176</v>
      </c>
    </row>
    <row r="267" spans="31:49" x14ac:dyDescent="0.2">
      <c r="AE267" t="s">
        <v>4019</v>
      </c>
      <c r="AG267" t="s">
        <v>1719</v>
      </c>
      <c r="AW267" t="s">
        <v>177</v>
      </c>
    </row>
    <row r="268" spans="31:49" x14ac:dyDescent="0.2">
      <c r="AE268" t="s">
        <v>4020</v>
      </c>
      <c r="AG268" t="s">
        <v>1136</v>
      </c>
      <c r="AW268" t="s">
        <v>178</v>
      </c>
    </row>
    <row r="269" spans="31:49" x14ac:dyDescent="0.2">
      <c r="AE269" t="s">
        <v>4021</v>
      </c>
      <c r="AG269" t="s">
        <v>1721</v>
      </c>
      <c r="AW269" t="s">
        <v>179</v>
      </c>
    </row>
    <row r="270" spans="31:49" x14ac:dyDescent="0.2">
      <c r="AE270" t="s">
        <v>4022</v>
      </c>
      <c r="AG270" t="s">
        <v>1722</v>
      </c>
      <c r="AW270" t="s">
        <v>180</v>
      </c>
    </row>
    <row r="271" spans="31:49" x14ac:dyDescent="0.2">
      <c r="AE271" t="s">
        <v>4023</v>
      </c>
      <c r="AG271" t="s">
        <v>1723</v>
      </c>
      <c r="AW271" t="s">
        <v>181</v>
      </c>
    </row>
    <row r="272" spans="31:49" x14ac:dyDescent="0.2">
      <c r="AE272" t="s">
        <v>4024</v>
      </c>
      <c r="AG272" t="s">
        <v>1724</v>
      </c>
      <c r="AW272" t="s">
        <v>182</v>
      </c>
    </row>
    <row r="273" spans="31:49" x14ac:dyDescent="0.2">
      <c r="AE273" t="s">
        <v>4025</v>
      </c>
      <c r="AG273" t="s">
        <v>1725</v>
      </c>
      <c r="AW273" t="s">
        <v>183</v>
      </c>
    </row>
    <row r="274" spans="31:49" x14ac:dyDescent="0.2">
      <c r="AE274" t="s">
        <v>4026</v>
      </c>
      <c r="AG274" t="s">
        <v>1726</v>
      </c>
      <c r="AW274" t="s">
        <v>184</v>
      </c>
    </row>
    <row r="275" spans="31:49" x14ac:dyDescent="0.2">
      <c r="AE275" t="s">
        <v>4027</v>
      </c>
      <c r="AG275" t="s">
        <v>1727</v>
      </c>
      <c r="AW275" t="s">
        <v>185</v>
      </c>
    </row>
    <row r="276" spans="31:49" x14ac:dyDescent="0.2">
      <c r="AE276" t="s">
        <v>4028</v>
      </c>
      <c r="AG276" t="s">
        <v>1728</v>
      </c>
      <c r="AW276" t="s">
        <v>186</v>
      </c>
    </row>
    <row r="277" spans="31:49" x14ac:dyDescent="0.2">
      <c r="AE277" t="s">
        <v>4029</v>
      </c>
      <c r="AG277" t="s">
        <v>1729</v>
      </c>
      <c r="AW277" t="s">
        <v>187</v>
      </c>
    </row>
    <row r="278" spans="31:49" x14ac:dyDescent="0.2">
      <c r="AE278" t="s">
        <v>4030</v>
      </c>
      <c r="AG278" t="s">
        <v>1730</v>
      </c>
      <c r="AW278" t="s">
        <v>188</v>
      </c>
    </row>
    <row r="279" spans="31:49" x14ac:dyDescent="0.2">
      <c r="AE279" t="s">
        <v>4031</v>
      </c>
      <c r="AG279" t="s">
        <v>1731</v>
      </c>
      <c r="AW279" t="s">
        <v>189</v>
      </c>
    </row>
    <row r="280" spans="31:49" x14ac:dyDescent="0.2">
      <c r="AE280" t="s">
        <v>4032</v>
      </c>
      <c r="AG280" t="s">
        <v>1732</v>
      </c>
      <c r="AW280" t="s">
        <v>190</v>
      </c>
    </row>
    <row r="281" spans="31:49" x14ac:dyDescent="0.2">
      <c r="AE281" t="s">
        <v>4033</v>
      </c>
      <c r="AG281" t="s">
        <v>1733</v>
      </c>
      <c r="AW281" t="s">
        <v>191</v>
      </c>
    </row>
    <row r="282" spans="31:49" x14ac:dyDescent="0.2">
      <c r="AE282" t="s">
        <v>4034</v>
      </c>
      <c r="AG282" t="s">
        <v>1137</v>
      </c>
      <c r="AW282" t="s">
        <v>192</v>
      </c>
    </row>
    <row r="283" spans="31:49" x14ac:dyDescent="0.2">
      <c r="AE283" t="s">
        <v>4035</v>
      </c>
      <c r="AG283" t="s">
        <v>1735</v>
      </c>
      <c r="AW283" t="s">
        <v>193</v>
      </c>
    </row>
    <row r="284" spans="31:49" x14ac:dyDescent="0.2">
      <c r="AE284" t="s">
        <v>4036</v>
      </c>
      <c r="AG284" t="s">
        <v>1736</v>
      </c>
      <c r="AW284" t="s">
        <v>194</v>
      </c>
    </row>
    <row r="285" spans="31:49" x14ac:dyDescent="0.2">
      <c r="AE285" t="s">
        <v>4037</v>
      </c>
      <c r="AG285" t="s">
        <v>1737</v>
      </c>
      <c r="AW285" t="s">
        <v>195</v>
      </c>
    </row>
    <row r="286" spans="31:49" x14ac:dyDescent="0.2">
      <c r="AE286" t="s">
        <v>4038</v>
      </c>
      <c r="AG286" t="s">
        <v>1138</v>
      </c>
      <c r="AW286" t="s">
        <v>196</v>
      </c>
    </row>
    <row r="287" spans="31:49" x14ac:dyDescent="0.2">
      <c r="AE287" t="s">
        <v>4039</v>
      </c>
      <c r="AG287" t="s">
        <v>1739</v>
      </c>
      <c r="AW287" t="s">
        <v>197</v>
      </c>
    </row>
    <row r="288" spans="31:49" x14ac:dyDescent="0.2">
      <c r="AE288" t="s">
        <v>4040</v>
      </c>
      <c r="AG288" t="s">
        <v>1740</v>
      </c>
      <c r="AW288" t="s">
        <v>198</v>
      </c>
    </row>
    <row r="289" spans="31:49" x14ac:dyDescent="0.2">
      <c r="AE289" t="s">
        <v>4041</v>
      </c>
      <c r="AG289" t="s">
        <v>1741</v>
      </c>
      <c r="AW289" t="s">
        <v>199</v>
      </c>
    </row>
    <row r="290" spans="31:49" x14ac:dyDescent="0.2">
      <c r="AE290" t="s">
        <v>4042</v>
      </c>
      <c r="AG290" t="s">
        <v>1742</v>
      </c>
      <c r="AW290" t="s">
        <v>200</v>
      </c>
    </row>
    <row r="291" spans="31:49" x14ac:dyDescent="0.2">
      <c r="AE291" t="s">
        <v>4043</v>
      </c>
      <c r="AG291" t="s">
        <v>1743</v>
      </c>
      <c r="AW291" t="s">
        <v>201</v>
      </c>
    </row>
    <row r="292" spans="31:49" x14ac:dyDescent="0.2">
      <c r="AE292" t="s">
        <v>4044</v>
      </c>
      <c r="AG292" t="s">
        <v>1744</v>
      </c>
      <c r="AW292" t="s">
        <v>202</v>
      </c>
    </row>
    <row r="293" spans="31:49" x14ac:dyDescent="0.2">
      <c r="AE293" t="s">
        <v>4045</v>
      </c>
      <c r="AG293" t="s">
        <v>1745</v>
      </c>
      <c r="AW293" t="s">
        <v>203</v>
      </c>
    </row>
    <row r="294" spans="31:49" x14ac:dyDescent="0.2">
      <c r="AE294" t="s">
        <v>4046</v>
      </c>
      <c r="AG294" t="s">
        <v>1746</v>
      </c>
      <c r="AW294" t="s">
        <v>204</v>
      </c>
    </row>
    <row r="295" spans="31:49" x14ac:dyDescent="0.2">
      <c r="AE295" t="s">
        <v>4047</v>
      </c>
      <c r="AG295" t="s">
        <v>1747</v>
      </c>
      <c r="AW295" t="s">
        <v>205</v>
      </c>
    </row>
    <row r="296" spans="31:49" x14ac:dyDescent="0.2">
      <c r="AE296" t="s">
        <v>4048</v>
      </c>
      <c r="AG296" t="s">
        <v>1748</v>
      </c>
      <c r="AW296" t="s">
        <v>206</v>
      </c>
    </row>
    <row r="297" spans="31:49" x14ac:dyDescent="0.2">
      <c r="AE297" t="s">
        <v>4049</v>
      </c>
      <c r="AG297" t="s">
        <v>1749</v>
      </c>
      <c r="AW297" t="s">
        <v>207</v>
      </c>
    </row>
    <row r="298" spans="31:49" x14ac:dyDescent="0.2">
      <c r="AE298" t="s">
        <v>4050</v>
      </c>
      <c r="AG298" t="s">
        <v>1750</v>
      </c>
      <c r="AW298" t="s">
        <v>208</v>
      </c>
    </row>
    <row r="299" spans="31:49" x14ac:dyDescent="0.2">
      <c r="AE299" t="s">
        <v>4051</v>
      </c>
      <c r="AG299" t="s">
        <v>1751</v>
      </c>
      <c r="AW299" t="s">
        <v>209</v>
      </c>
    </row>
    <row r="300" spans="31:49" x14ac:dyDescent="0.2">
      <c r="AE300" t="s">
        <v>4052</v>
      </c>
      <c r="AG300" t="s">
        <v>1752</v>
      </c>
      <c r="AW300" t="s">
        <v>210</v>
      </c>
    </row>
    <row r="301" spans="31:49" x14ac:dyDescent="0.2">
      <c r="AE301" t="s">
        <v>4053</v>
      </c>
      <c r="AG301" t="s">
        <v>1753</v>
      </c>
      <c r="AW301" t="s">
        <v>211</v>
      </c>
    </row>
    <row r="302" spans="31:49" x14ac:dyDescent="0.2">
      <c r="AE302" t="s">
        <v>4054</v>
      </c>
      <c r="AG302" t="s">
        <v>1754</v>
      </c>
      <c r="AW302" t="s">
        <v>212</v>
      </c>
    </row>
    <row r="303" spans="31:49" x14ac:dyDescent="0.2">
      <c r="AE303" t="s">
        <v>4055</v>
      </c>
      <c r="AG303" t="s">
        <v>1755</v>
      </c>
      <c r="AW303" t="s">
        <v>213</v>
      </c>
    </row>
    <row r="304" spans="31:49" x14ac:dyDescent="0.2">
      <c r="AE304" t="s">
        <v>4056</v>
      </c>
      <c r="AG304" t="s">
        <v>1756</v>
      </c>
      <c r="AW304" t="s">
        <v>214</v>
      </c>
    </row>
    <row r="305" spans="31:49" x14ac:dyDescent="0.2">
      <c r="AE305" t="s">
        <v>4057</v>
      </c>
      <c r="AG305" t="s">
        <v>1757</v>
      </c>
      <c r="AW305" t="s">
        <v>215</v>
      </c>
    </row>
    <row r="306" spans="31:49" x14ac:dyDescent="0.2">
      <c r="AE306" t="s">
        <v>4058</v>
      </c>
      <c r="AG306" t="s">
        <v>1758</v>
      </c>
      <c r="AW306" t="s">
        <v>216</v>
      </c>
    </row>
    <row r="307" spans="31:49" x14ac:dyDescent="0.2">
      <c r="AE307" t="s">
        <v>4059</v>
      </c>
      <c r="AG307" t="s">
        <v>1759</v>
      </c>
      <c r="AW307" t="s">
        <v>217</v>
      </c>
    </row>
    <row r="308" spans="31:49" x14ac:dyDescent="0.2">
      <c r="AE308" t="s">
        <v>4060</v>
      </c>
      <c r="AG308" t="s">
        <v>1760</v>
      </c>
      <c r="AW308" t="s">
        <v>218</v>
      </c>
    </row>
    <row r="309" spans="31:49" x14ac:dyDescent="0.2">
      <c r="AE309" t="s">
        <v>4061</v>
      </c>
      <c r="AG309" t="s">
        <v>1761</v>
      </c>
      <c r="AW309" t="s">
        <v>219</v>
      </c>
    </row>
    <row r="310" spans="31:49" x14ac:dyDescent="0.2">
      <c r="AE310" t="s">
        <v>4062</v>
      </c>
      <c r="AG310" t="s">
        <v>1762</v>
      </c>
      <c r="AW310" t="s">
        <v>220</v>
      </c>
    </row>
    <row r="311" spans="31:49" x14ac:dyDescent="0.2">
      <c r="AE311" t="s">
        <v>4063</v>
      </c>
      <c r="AG311" t="s">
        <v>1763</v>
      </c>
      <c r="AW311" t="s">
        <v>221</v>
      </c>
    </row>
    <row r="312" spans="31:49" x14ac:dyDescent="0.2">
      <c r="AE312" t="s">
        <v>4064</v>
      </c>
      <c r="AG312" t="s">
        <v>1764</v>
      </c>
      <c r="AW312" t="s">
        <v>222</v>
      </c>
    </row>
    <row r="313" spans="31:49" x14ac:dyDescent="0.2">
      <c r="AE313" t="s">
        <v>4065</v>
      </c>
      <c r="AG313" t="s">
        <v>1765</v>
      </c>
      <c r="AW313" t="s">
        <v>223</v>
      </c>
    </row>
    <row r="314" spans="31:49" x14ac:dyDescent="0.2">
      <c r="AE314" t="s">
        <v>4066</v>
      </c>
      <c r="AG314" t="s">
        <v>1766</v>
      </c>
      <c r="AW314" t="s">
        <v>224</v>
      </c>
    </row>
    <row r="315" spans="31:49" x14ac:dyDescent="0.2">
      <c r="AE315" t="s">
        <v>4067</v>
      </c>
      <c r="AG315" t="s">
        <v>1767</v>
      </c>
      <c r="AW315" t="s">
        <v>225</v>
      </c>
    </row>
    <row r="316" spans="31:49" x14ac:dyDescent="0.2">
      <c r="AE316" t="s">
        <v>4068</v>
      </c>
      <c r="AG316" t="s">
        <v>1768</v>
      </c>
      <c r="AW316" t="s">
        <v>226</v>
      </c>
    </row>
    <row r="317" spans="31:49" x14ac:dyDescent="0.2">
      <c r="AE317" t="s">
        <v>4069</v>
      </c>
      <c r="AG317" t="s">
        <v>1769</v>
      </c>
      <c r="AW317" t="s">
        <v>227</v>
      </c>
    </row>
    <row r="318" spans="31:49" x14ac:dyDescent="0.2">
      <c r="AE318" t="s">
        <v>4070</v>
      </c>
      <c r="AG318" t="s">
        <v>1770</v>
      </c>
      <c r="AW318" t="s">
        <v>228</v>
      </c>
    </row>
    <row r="319" spans="31:49" x14ac:dyDescent="0.2">
      <c r="AE319" t="s">
        <v>4071</v>
      </c>
      <c r="AG319" t="s">
        <v>1771</v>
      </c>
      <c r="AW319" t="s">
        <v>1139</v>
      </c>
    </row>
    <row r="320" spans="31:49" x14ac:dyDescent="0.2">
      <c r="AE320" t="s">
        <v>4072</v>
      </c>
      <c r="AG320" t="s">
        <v>1772</v>
      </c>
      <c r="AW320" t="s">
        <v>229</v>
      </c>
    </row>
    <row r="321" spans="31:49" x14ac:dyDescent="0.2">
      <c r="AE321" t="s">
        <v>4073</v>
      </c>
      <c r="AG321" t="s">
        <v>1773</v>
      </c>
      <c r="AW321" t="s">
        <v>230</v>
      </c>
    </row>
    <row r="322" spans="31:49" x14ac:dyDescent="0.2">
      <c r="AE322" t="s">
        <v>4074</v>
      </c>
      <c r="AG322" t="s">
        <v>1774</v>
      </c>
      <c r="AW322" t="s">
        <v>231</v>
      </c>
    </row>
    <row r="323" spans="31:49" x14ac:dyDescent="0.2">
      <c r="AE323" t="s">
        <v>4075</v>
      </c>
      <c r="AG323" t="s">
        <v>1775</v>
      </c>
      <c r="AW323" t="s">
        <v>232</v>
      </c>
    </row>
    <row r="324" spans="31:49" x14ac:dyDescent="0.2">
      <c r="AE324" t="s">
        <v>4076</v>
      </c>
      <c r="AG324" t="s">
        <v>1776</v>
      </c>
      <c r="AW324" t="s">
        <v>233</v>
      </c>
    </row>
    <row r="325" spans="31:49" x14ac:dyDescent="0.2">
      <c r="AE325" t="s">
        <v>4077</v>
      </c>
      <c r="AG325" t="s">
        <v>1777</v>
      </c>
      <c r="AW325" t="s">
        <v>234</v>
      </c>
    </row>
    <row r="326" spans="31:49" x14ac:dyDescent="0.2">
      <c r="AE326" t="s">
        <v>4078</v>
      </c>
      <c r="AG326" t="s">
        <v>1778</v>
      </c>
      <c r="AW326" t="s">
        <v>235</v>
      </c>
    </row>
    <row r="327" spans="31:49" x14ac:dyDescent="0.2">
      <c r="AE327" t="s">
        <v>4079</v>
      </c>
      <c r="AG327" t="s">
        <v>1779</v>
      </c>
      <c r="AW327" t="s">
        <v>236</v>
      </c>
    </row>
    <row r="328" spans="31:49" x14ac:dyDescent="0.2">
      <c r="AE328" t="s">
        <v>4080</v>
      </c>
      <c r="AG328" t="s">
        <v>1780</v>
      </c>
      <c r="AW328" t="s">
        <v>237</v>
      </c>
    </row>
    <row r="329" spans="31:49" x14ac:dyDescent="0.2">
      <c r="AE329" t="s">
        <v>4081</v>
      </c>
      <c r="AG329" t="s">
        <v>1781</v>
      </c>
      <c r="AW329" t="s">
        <v>238</v>
      </c>
    </row>
    <row r="330" spans="31:49" x14ac:dyDescent="0.2">
      <c r="AE330" t="s">
        <v>4082</v>
      </c>
      <c r="AG330" t="s">
        <v>1782</v>
      </c>
      <c r="AW330" t="s">
        <v>239</v>
      </c>
    </row>
    <row r="331" spans="31:49" x14ac:dyDescent="0.2">
      <c r="AE331" t="s">
        <v>4083</v>
      </c>
      <c r="AG331" t="s">
        <v>1783</v>
      </c>
      <c r="AW331" t="s">
        <v>240</v>
      </c>
    </row>
    <row r="332" spans="31:49" x14ac:dyDescent="0.2">
      <c r="AE332" t="s">
        <v>4084</v>
      </c>
      <c r="AG332" t="s">
        <v>1784</v>
      </c>
      <c r="AW332" t="s">
        <v>241</v>
      </c>
    </row>
    <row r="333" spans="31:49" x14ac:dyDescent="0.2">
      <c r="AE333" t="s">
        <v>4085</v>
      </c>
      <c r="AG333" t="s">
        <v>1785</v>
      </c>
      <c r="AW333" t="s">
        <v>242</v>
      </c>
    </row>
    <row r="334" spans="31:49" x14ac:dyDescent="0.2">
      <c r="AE334" t="s">
        <v>4086</v>
      </c>
      <c r="AG334" t="s">
        <v>1786</v>
      </c>
      <c r="AW334" t="s">
        <v>243</v>
      </c>
    </row>
    <row r="335" spans="31:49" x14ac:dyDescent="0.2">
      <c r="AE335" t="s">
        <v>4087</v>
      </c>
      <c r="AG335" t="s">
        <v>1787</v>
      </c>
      <c r="AW335" t="s">
        <v>244</v>
      </c>
    </row>
    <row r="336" spans="31:49" x14ac:dyDescent="0.2">
      <c r="AE336" t="s">
        <v>4088</v>
      </c>
      <c r="AG336" t="s">
        <v>1140</v>
      </c>
      <c r="AW336" t="s">
        <v>245</v>
      </c>
    </row>
    <row r="337" spans="31:49" x14ac:dyDescent="0.2">
      <c r="AE337" t="s">
        <v>4089</v>
      </c>
      <c r="AG337" t="s">
        <v>1789</v>
      </c>
      <c r="AW337" t="s">
        <v>246</v>
      </c>
    </row>
    <row r="338" spans="31:49" x14ac:dyDescent="0.2">
      <c r="AE338" t="s">
        <v>4090</v>
      </c>
      <c r="AG338" t="s">
        <v>1790</v>
      </c>
      <c r="AW338" t="s">
        <v>247</v>
      </c>
    </row>
    <row r="339" spans="31:49" x14ac:dyDescent="0.2">
      <c r="AE339" t="s">
        <v>4091</v>
      </c>
      <c r="AG339" t="s">
        <v>1791</v>
      </c>
      <c r="AW339" t="s">
        <v>248</v>
      </c>
    </row>
    <row r="340" spans="31:49" x14ac:dyDescent="0.2">
      <c r="AE340" t="s">
        <v>4092</v>
      </c>
      <c r="AG340" t="s">
        <v>1792</v>
      </c>
      <c r="AW340" t="s">
        <v>249</v>
      </c>
    </row>
    <row r="341" spans="31:49" x14ac:dyDescent="0.2">
      <c r="AE341" t="s">
        <v>4093</v>
      </c>
      <c r="AG341" t="s">
        <v>1793</v>
      </c>
      <c r="AW341" t="s">
        <v>250</v>
      </c>
    </row>
    <row r="342" spans="31:49" x14ac:dyDescent="0.2">
      <c r="AE342" t="s">
        <v>4094</v>
      </c>
      <c r="AG342" t="s">
        <v>1794</v>
      </c>
      <c r="AW342" t="s">
        <v>251</v>
      </c>
    </row>
    <row r="343" spans="31:49" x14ac:dyDescent="0.2">
      <c r="AE343" t="s">
        <v>4095</v>
      </c>
      <c r="AG343" t="s">
        <v>1795</v>
      </c>
      <c r="AW343" t="s">
        <v>252</v>
      </c>
    </row>
    <row r="344" spans="31:49" x14ac:dyDescent="0.2">
      <c r="AE344" t="s">
        <v>4096</v>
      </c>
      <c r="AG344" t="s">
        <v>1796</v>
      </c>
      <c r="AW344" t="s">
        <v>253</v>
      </c>
    </row>
    <row r="345" spans="31:49" x14ac:dyDescent="0.2">
      <c r="AE345" t="s">
        <v>4097</v>
      </c>
      <c r="AG345" t="s">
        <v>1797</v>
      </c>
      <c r="AW345" t="s">
        <v>254</v>
      </c>
    </row>
    <row r="346" spans="31:49" x14ac:dyDescent="0.2">
      <c r="AE346" t="s">
        <v>4098</v>
      </c>
      <c r="AG346" t="s">
        <v>1798</v>
      </c>
      <c r="AW346" t="s">
        <v>255</v>
      </c>
    </row>
    <row r="347" spans="31:49" x14ac:dyDescent="0.2">
      <c r="AE347" t="s">
        <v>4099</v>
      </c>
      <c r="AG347" t="s">
        <v>1799</v>
      </c>
      <c r="AW347" t="s">
        <v>256</v>
      </c>
    </row>
    <row r="348" spans="31:49" x14ac:dyDescent="0.2">
      <c r="AE348" t="s">
        <v>4100</v>
      </c>
      <c r="AG348" t="s">
        <v>1800</v>
      </c>
      <c r="AW348" t="s">
        <v>257</v>
      </c>
    </row>
    <row r="349" spans="31:49" x14ac:dyDescent="0.2">
      <c r="AE349" t="s">
        <v>4101</v>
      </c>
      <c r="AG349" t="s">
        <v>1801</v>
      </c>
      <c r="AW349" t="s">
        <v>258</v>
      </c>
    </row>
    <row r="350" spans="31:49" x14ac:dyDescent="0.2">
      <c r="AE350" t="s">
        <v>4102</v>
      </c>
      <c r="AG350" t="s">
        <v>1802</v>
      </c>
      <c r="AW350" t="s">
        <v>259</v>
      </c>
    </row>
    <row r="351" spans="31:49" x14ac:dyDescent="0.2">
      <c r="AE351" t="s">
        <v>4103</v>
      </c>
      <c r="AG351" t="s">
        <v>1803</v>
      </c>
      <c r="AW351" t="s">
        <v>260</v>
      </c>
    </row>
    <row r="352" spans="31:49" x14ac:dyDescent="0.2">
      <c r="AE352" t="s">
        <v>4104</v>
      </c>
      <c r="AG352" t="s">
        <v>1804</v>
      </c>
      <c r="AW352" t="s">
        <v>261</v>
      </c>
    </row>
    <row r="353" spans="31:49" x14ac:dyDescent="0.2">
      <c r="AE353" t="s">
        <v>4105</v>
      </c>
      <c r="AG353" t="s">
        <v>1805</v>
      </c>
      <c r="AW353" t="s">
        <v>262</v>
      </c>
    </row>
    <row r="354" spans="31:49" x14ac:dyDescent="0.2">
      <c r="AE354" t="s">
        <v>4106</v>
      </c>
      <c r="AG354" t="s">
        <v>1806</v>
      </c>
      <c r="AW354" t="s">
        <v>263</v>
      </c>
    </row>
    <row r="355" spans="31:49" x14ac:dyDescent="0.2">
      <c r="AE355" t="s">
        <v>4107</v>
      </c>
      <c r="AG355" t="s">
        <v>1807</v>
      </c>
      <c r="AW355" t="s">
        <v>264</v>
      </c>
    </row>
    <row r="356" spans="31:49" x14ac:dyDescent="0.2">
      <c r="AE356" t="s">
        <v>4108</v>
      </c>
      <c r="AG356" t="s">
        <v>1808</v>
      </c>
      <c r="AW356" t="s">
        <v>265</v>
      </c>
    </row>
    <row r="357" spans="31:49" x14ac:dyDescent="0.2">
      <c r="AE357" t="s">
        <v>4109</v>
      </c>
      <c r="AG357" t="s">
        <v>1809</v>
      </c>
      <c r="AW357" t="s">
        <v>266</v>
      </c>
    </row>
    <row r="358" spans="31:49" x14ac:dyDescent="0.2">
      <c r="AE358" t="s">
        <v>4110</v>
      </c>
      <c r="AG358" t="s">
        <v>1810</v>
      </c>
      <c r="AW358" t="s">
        <v>267</v>
      </c>
    </row>
    <row r="359" spans="31:49" x14ac:dyDescent="0.2">
      <c r="AE359" t="s">
        <v>4111</v>
      </c>
      <c r="AG359" t="s">
        <v>1811</v>
      </c>
      <c r="AW359" t="s">
        <v>268</v>
      </c>
    </row>
    <row r="360" spans="31:49" x14ac:dyDescent="0.2">
      <c r="AE360" t="s">
        <v>4112</v>
      </c>
      <c r="AG360" t="s">
        <v>1812</v>
      </c>
      <c r="AW360" t="s">
        <v>269</v>
      </c>
    </row>
    <row r="361" spans="31:49" x14ac:dyDescent="0.2">
      <c r="AE361" t="s">
        <v>4113</v>
      </c>
      <c r="AG361" t="s">
        <v>1813</v>
      </c>
      <c r="AW361" t="s">
        <v>270</v>
      </c>
    </row>
    <row r="362" spans="31:49" x14ac:dyDescent="0.2">
      <c r="AE362" t="s">
        <v>4114</v>
      </c>
      <c r="AG362" t="s">
        <v>1814</v>
      </c>
      <c r="AW362" t="s">
        <v>271</v>
      </c>
    </row>
    <row r="363" spans="31:49" x14ac:dyDescent="0.2">
      <c r="AE363" t="s">
        <v>4115</v>
      </c>
      <c r="AG363" t="s">
        <v>1815</v>
      </c>
      <c r="AW363" t="s">
        <v>272</v>
      </c>
    </row>
    <row r="364" spans="31:49" x14ac:dyDescent="0.2">
      <c r="AE364" t="s">
        <v>4116</v>
      </c>
      <c r="AG364" t="s">
        <v>1816</v>
      </c>
      <c r="AW364" t="s">
        <v>273</v>
      </c>
    </row>
    <row r="365" spans="31:49" x14ac:dyDescent="0.2">
      <c r="AE365" t="s">
        <v>4117</v>
      </c>
      <c r="AG365" t="s">
        <v>1817</v>
      </c>
      <c r="AW365" t="s">
        <v>1141</v>
      </c>
    </row>
    <row r="366" spans="31:49" x14ac:dyDescent="0.2">
      <c r="AE366" t="s">
        <v>4118</v>
      </c>
      <c r="AG366" t="s">
        <v>1818</v>
      </c>
      <c r="AW366" t="s">
        <v>1142</v>
      </c>
    </row>
    <row r="367" spans="31:49" x14ac:dyDescent="0.2">
      <c r="AE367" t="s">
        <v>4119</v>
      </c>
      <c r="AG367" t="s">
        <v>1819</v>
      </c>
      <c r="AW367" t="s">
        <v>274</v>
      </c>
    </row>
    <row r="368" spans="31:49" x14ac:dyDescent="0.2">
      <c r="AE368" t="s">
        <v>4120</v>
      </c>
      <c r="AG368" t="s">
        <v>1820</v>
      </c>
      <c r="AW368" t="s">
        <v>275</v>
      </c>
    </row>
    <row r="369" spans="31:49" x14ac:dyDescent="0.2">
      <c r="AE369" t="s">
        <v>4121</v>
      </c>
      <c r="AG369" t="s">
        <v>1821</v>
      </c>
      <c r="AW369" t="s">
        <v>276</v>
      </c>
    </row>
    <row r="370" spans="31:49" x14ac:dyDescent="0.2">
      <c r="AE370" t="s">
        <v>4122</v>
      </c>
      <c r="AG370" t="s">
        <v>1822</v>
      </c>
      <c r="AW370" t="s">
        <v>277</v>
      </c>
    </row>
    <row r="371" spans="31:49" x14ac:dyDescent="0.2">
      <c r="AE371" t="s">
        <v>4123</v>
      </c>
      <c r="AG371" t="s">
        <v>1823</v>
      </c>
      <c r="AW371" t="s">
        <v>278</v>
      </c>
    </row>
    <row r="372" spans="31:49" x14ac:dyDescent="0.2">
      <c r="AE372" t="s">
        <v>4124</v>
      </c>
      <c r="AG372" t="s">
        <v>1824</v>
      </c>
      <c r="AW372" t="s">
        <v>279</v>
      </c>
    </row>
    <row r="373" spans="31:49" x14ac:dyDescent="0.2">
      <c r="AE373" t="s">
        <v>4125</v>
      </c>
      <c r="AG373" t="s">
        <v>1825</v>
      </c>
      <c r="AW373" t="s">
        <v>1143</v>
      </c>
    </row>
    <row r="374" spans="31:49" x14ac:dyDescent="0.2">
      <c r="AE374" t="s">
        <v>4126</v>
      </c>
      <c r="AG374" t="s">
        <v>1826</v>
      </c>
      <c r="AW374" t="s">
        <v>1144</v>
      </c>
    </row>
    <row r="375" spans="31:49" x14ac:dyDescent="0.2">
      <c r="AE375" t="s">
        <v>4127</v>
      </c>
      <c r="AG375" t="s">
        <v>1827</v>
      </c>
      <c r="AW375" t="s">
        <v>1145</v>
      </c>
    </row>
    <row r="376" spans="31:49" x14ac:dyDescent="0.2">
      <c r="AE376" t="s">
        <v>4128</v>
      </c>
      <c r="AG376" t="s">
        <v>1828</v>
      </c>
      <c r="AW376" t="s">
        <v>1146</v>
      </c>
    </row>
    <row r="377" spans="31:49" x14ac:dyDescent="0.2">
      <c r="AE377" t="s">
        <v>4129</v>
      </c>
      <c r="AG377" t="s">
        <v>1829</v>
      </c>
      <c r="AW377" t="s">
        <v>1147</v>
      </c>
    </row>
    <row r="378" spans="31:49" x14ac:dyDescent="0.2">
      <c r="AE378" t="s">
        <v>4130</v>
      </c>
      <c r="AG378" t="s">
        <v>1830</v>
      </c>
      <c r="AW378" t="s">
        <v>1148</v>
      </c>
    </row>
    <row r="379" spans="31:49" x14ac:dyDescent="0.2">
      <c r="AE379" t="s">
        <v>4131</v>
      </c>
      <c r="AG379" t="s">
        <v>1831</v>
      </c>
      <c r="AW379" t="s">
        <v>1149</v>
      </c>
    </row>
    <row r="380" spans="31:49" x14ac:dyDescent="0.2">
      <c r="AE380" t="s">
        <v>4132</v>
      </c>
      <c r="AG380" t="s">
        <v>1832</v>
      </c>
      <c r="AW380" t="s">
        <v>1150</v>
      </c>
    </row>
    <row r="381" spans="31:49" x14ac:dyDescent="0.2">
      <c r="AE381" t="s">
        <v>4133</v>
      </c>
      <c r="AG381" t="s">
        <v>1833</v>
      </c>
      <c r="AW381" t="s">
        <v>1151</v>
      </c>
    </row>
    <row r="382" spans="31:49" x14ac:dyDescent="0.2">
      <c r="AE382" t="s">
        <v>4134</v>
      </c>
      <c r="AG382" t="s">
        <v>1834</v>
      </c>
      <c r="AW382" t="s">
        <v>1152</v>
      </c>
    </row>
    <row r="383" spans="31:49" x14ac:dyDescent="0.2">
      <c r="AE383" t="s">
        <v>4135</v>
      </c>
      <c r="AG383" t="s">
        <v>1835</v>
      </c>
      <c r="AW383" t="s">
        <v>1153</v>
      </c>
    </row>
    <row r="384" spans="31:49" x14ac:dyDescent="0.2">
      <c r="AE384" t="s">
        <v>4136</v>
      </c>
      <c r="AG384" t="s">
        <v>1836</v>
      </c>
      <c r="AW384" t="s">
        <v>1154</v>
      </c>
    </row>
    <row r="385" spans="31:49" x14ac:dyDescent="0.2">
      <c r="AE385" t="s">
        <v>4137</v>
      </c>
      <c r="AG385" t="s">
        <v>1837</v>
      </c>
      <c r="AW385" t="s">
        <v>1155</v>
      </c>
    </row>
    <row r="386" spans="31:49" x14ac:dyDescent="0.2">
      <c r="AE386" t="s">
        <v>4138</v>
      </c>
      <c r="AG386" t="s">
        <v>1838</v>
      </c>
      <c r="AW386" t="s">
        <v>1156</v>
      </c>
    </row>
    <row r="387" spans="31:49" x14ac:dyDescent="0.2">
      <c r="AE387" t="s">
        <v>4139</v>
      </c>
      <c r="AG387" t="s">
        <v>1839</v>
      </c>
      <c r="AW387" t="s">
        <v>1157</v>
      </c>
    </row>
    <row r="388" spans="31:49" x14ac:dyDescent="0.2">
      <c r="AE388" t="s">
        <v>4140</v>
      </c>
      <c r="AG388" t="s">
        <v>1840</v>
      </c>
      <c r="AW388" t="s">
        <v>1158</v>
      </c>
    </row>
    <row r="389" spans="31:49" x14ac:dyDescent="0.2">
      <c r="AE389" t="s">
        <v>4141</v>
      </c>
      <c r="AG389" t="s">
        <v>1841</v>
      </c>
      <c r="AW389" t="s">
        <v>1159</v>
      </c>
    </row>
    <row r="390" spans="31:49" x14ac:dyDescent="0.2">
      <c r="AE390" t="s">
        <v>4142</v>
      </c>
      <c r="AG390" t="s">
        <v>1842</v>
      </c>
      <c r="AW390" t="s">
        <v>1160</v>
      </c>
    </row>
    <row r="391" spans="31:49" x14ac:dyDescent="0.2">
      <c r="AE391" t="s">
        <v>4143</v>
      </c>
      <c r="AG391" t="s">
        <v>1843</v>
      </c>
      <c r="AW391" t="s">
        <v>1161</v>
      </c>
    </row>
    <row r="392" spans="31:49" x14ac:dyDescent="0.2">
      <c r="AE392" t="s">
        <v>4144</v>
      </c>
      <c r="AG392" t="s">
        <v>1844</v>
      </c>
      <c r="AW392" t="s">
        <v>1162</v>
      </c>
    </row>
    <row r="393" spans="31:49" x14ac:dyDescent="0.2">
      <c r="AE393" t="s">
        <v>4145</v>
      </c>
      <c r="AG393" t="s">
        <v>1845</v>
      </c>
      <c r="AW393" t="s">
        <v>1163</v>
      </c>
    </row>
    <row r="394" spans="31:49" x14ac:dyDescent="0.2">
      <c r="AE394" t="s">
        <v>4146</v>
      </c>
      <c r="AG394" t="s">
        <v>1846</v>
      </c>
      <c r="AW394" t="s">
        <v>280</v>
      </c>
    </row>
    <row r="395" spans="31:49" x14ac:dyDescent="0.2">
      <c r="AE395" t="s">
        <v>4147</v>
      </c>
      <c r="AG395" t="s">
        <v>1847</v>
      </c>
      <c r="AW395" t="s">
        <v>281</v>
      </c>
    </row>
    <row r="396" spans="31:49" x14ac:dyDescent="0.2">
      <c r="AE396" t="s">
        <v>4148</v>
      </c>
      <c r="AG396" t="s">
        <v>1848</v>
      </c>
      <c r="AW396" t="s">
        <v>282</v>
      </c>
    </row>
    <row r="397" spans="31:49" x14ac:dyDescent="0.2">
      <c r="AE397" t="s">
        <v>4149</v>
      </c>
      <c r="AG397" t="s">
        <v>1849</v>
      </c>
      <c r="AW397" t="s">
        <v>283</v>
      </c>
    </row>
    <row r="398" spans="31:49" x14ac:dyDescent="0.2">
      <c r="AE398" t="s">
        <v>4150</v>
      </c>
      <c r="AG398" t="s">
        <v>1850</v>
      </c>
      <c r="AW398" t="s">
        <v>284</v>
      </c>
    </row>
    <row r="399" spans="31:49" x14ac:dyDescent="0.2">
      <c r="AE399" t="s">
        <v>4151</v>
      </c>
      <c r="AG399" t="s">
        <v>1851</v>
      </c>
      <c r="AW399" t="s">
        <v>285</v>
      </c>
    </row>
    <row r="400" spans="31:49" x14ac:dyDescent="0.2">
      <c r="AE400" t="s">
        <v>4152</v>
      </c>
      <c r="AG400" t="s">
        <v>1852</v>
      </c>
      <c r="AW400" t="s">
        <v>286</v>
      </c>
    </row>
    <row r="401" spans="31:49" x14ac:dyDescent="0.2">
      <c r="AE401" t="s">
        <v>4153</v>
      </c>
      <c r="AG401" t="s">
        <v>1853</v>
      </c>
      <c r="AW401" t="s">
        <v>287</v>
      </c>
    </row>
    <row r="402" spans="31:49" x14ac:dyDescent="0.2">
      <c r="AE402" t="s">
        <v>4154</v>
      </c>
      <c r="AG402" t="s">
        <v>1854</v>
      </c>
      <c r="AW402" t="s">
        <v>288</v>
      </c>
    </row>
    <row r="403" spans="31:49" x14ac:dyDescent="0.2">
      <c r="AE403" t="s">
        <v>4155</v>
      </c>
      <c r="AG403" t="s">
        <v>1855</v>
      </c>
      <c r="AW403" t="s">
        <v>289</v>
      </c>
    </row>
    <row r="404" spans="31:49" x14ac:dyDescent="0.2">
      <c r="AE404" t="s">
        <v>4156</v>
      </c>
      <c r="AG404" t="s">
        <v>1856</v>
      </c>
      <c r="AW404" t="s">
        <v>290</v>
      </c>
    </row>
    <row r="405" spans="31:49" x14ac:dyDescent="0.2">
      <c r="AE405" t="s">
        <v>4157</v>
      </c>
      <c r="AG405" t="s">
        <v>1857</v>
      </c>
      <c r="AW405" t="s">
        <v>291</v>
      </c>
    </row>
    <row r="406" spans="31:49" x14ac:dyDescent="0.2">
      <c r="AE406" t="s">
        <v>4158</v>
      </c>
      <c r="AG406" t="s">
        <v>1858</v>
      </c>
      <c r="AW406" t="s">
        <v>292</v>
      </c>
    </row>
    <row r="407" spans="31:49" x14ac:dyDescent="0.2">
      <c r="AE407" t="s">
        <v>4159</v>
      </c>
      <c r="AG407" t="s">
        <v>1859</v>
      </c>
      <c r="AW407" t="s">
        <v>293</v>
      </c>
    </row>
    <row r="408" spans="31:49" x14ac:dyDescent="0.2">
      <c r="AE408" t="s">
        <v>4160</v>
      </c>
      <c r="AG408" t="s">
        <v>1860</v>
      </c>
      <c r="AW408" t="s">
        <v>294</v>
      </c>
    </row>
    <row r="409" spans="31:49" x14ac:dyDescent="0.2">
      <c r="AE409" t="s">
        <v>4161</v>
      </c>
      <c r="AG409" t="s">
        <v>1861</v>
      </c>
      <c r="AW409" t="s">
        <v>295</v>
      </c>
    </row>
    <row r="410" spans="31:49" x14ac:dyDescent="0.2">
      <c r="AE410" t="s">
        <v>4162</v>
      </c>
      <c r="AG410" t="s">
        <v>1862</v>
      </c>
      <c r="AW410" t="s">
        <v>296</v>
      </c>
    </row>
    <row r="411" spans="31:49" x14ac:dyDescent="0.2">
      <c r="AE411" t="s">
        <v>4163</v>
      </c>
      <c r="AG411" t="s">
        <v>1863</v>
      </c>
      <c r="AW411" t="s">
        <v>297</v>
      </c>
    </row>
    <row r="412" spans="31:49" x14ac:dyDescent="0.2">
      <c r="AE412" t="s">
        <v>4164</v>
      </c>
      <c r="AG412" t="s">
        <v>1864</v>
      </c>
      <c r="AW412" t="s">
        <v>298</v>
      </c>
    </row>
    <row r="413" spans="31:49" x14ac:dyDescent="0.2">
      <c r="AE413" t="s">
        <v>4165</v>
      </c>
      <c r="AG413" t="s">
        <v>1865</v>
      </c>
      <c r="AW413" t="s">
        <v>299</v>
      </c>
    </row>
    <row r="414" spans="31:49" x14ac:dyDescent="0.2">
      <c r="AE414" t="s">
        <v>4166</v>
      </c>
      <c r="AG414" t="s">
        <v>1866</v>
      </c>
      <c r="AW414" t="s">
        <v>300</v>
      </c>
    </row>
    <row r="415" spans="31:49" x14ac:dyDescent="0.2">
      <c r="AE415" t="s">
        <v>4167</v>
      </c>
      <c r="AG415" t="s">
        <v>1867</v>
      </c>
      <c r="AW415" t="s">
        <v>301</v>
      </c>
    </row>
    <row r="416" spans="31:49" x14ac:dyDescent="0.2">
      <c r="AE416" t="s">
        <v>4168</v>
      </c>
      <c r="AG416" t="s">
        <v>1868</v>
      </c>
      <c r="AW416" t="s">
        <v>1164</v>
      </c>
    </row>
    <row r="417" spans="31:49" x14ac:dyDescent="0.2">
      <c r="AE417" t="s">
        <v>4169</v>
      </c>
      <c r="AG417" t="s">
        <v>1869</v>
      </c>
      <c r="AW417" t="s">
        <v>1165</v>
      </c>
    </row>
    <row r="418" spans="31:49" x14ac:dyDescent="0.2">
      <c r="AE418" t="s">
        <v>4170</v>
      </c>
      <c r="AG418" t="s">
        <v>1870</v>
      </c>
      <c r="AW418" t="s">
        <v>302</v>
      </c>
    </row>
    <row r="419" spans="31:49" x14ac:dyDescent="0.2">
      <c r="AE419" t="s">
        <v>4171</v>
      </c>
      <c r="AG419" t="s">
        <v>1871</v>
      </c>
      <c r="AW419" t="s">
        <v>1166</v>
      </c>
    </row>
    <row r="420" spans="31:49" x14ac:dyDescent="0.2">
      <c r="AE420" t="s">
        <v>4172</v>
      </c>
      <c r="AG420" t="s">
        <v>1872</v>
      </c>
      <c r="AW420" t="s">
        <v>303</v>
      </c>
    </row>
    <row r="421" spans="31:49" x14ac:dyDescent="0.2">
      <c r="AE421" t="s">
        <v>4173</v>
      </c>
      <c r="AG421" t="s">
        <v>1873</v>
      </c>
      <c r="AW421" t="s">
        <v>304</v>
      </c>
    </row>
    <row r="422" spans="31:49" x14ac:dyDescent="0.2">
      <c r="AE422" t="s">
        <v>4174</v>
      </c>
      <c r="AG422" t="s">
        <v>1874</v>
      </c>
      <c r="AW422" t="s">
        <v>305</v>
      </c>
    </row>
    <row r="423" spans="31:49" x14ac:dyDescent="0.2">
      <c r="AE423" t="s">
        <v>4175</v>
      </c>
      <c r="AG423" t="s">
        <v>1875</v>
      </c>
      <c r="AW423" t="s">
        <v>306</v>
      </c>
    </row>
    <row r="424" spans="31:49" x14ac:dyDescent="0.2">
      <c r="AE424" t="s">
        <v>4176</v>
      </c>
      <c r="AG424" t="s">
        <v>1876</v>
      </c>
      <c r="AW424" t="s">
        <v>307</v>
      </c>
    </row>
    <row r="425" spans="31:49" x14ac:dyDescent="0.2">
      <c r="AE425" t="s">
        <v>4177</v>
      </c>
      <c r="AG425" t="s">
        <v>1877</v>
      </c>
      <c r="AW425" t="s">
        <v>308</v>
      </c>
    </row>
    <row r="426" spans="31:49" x14ac:dyDescent="0.2">
      <c r="AE426" t="s">
        <v>4178</v>
      </c>
      <c r="AG426" t="s">
        <v>1878</v>
      </c>
      <c r="AW426" t="s">
        <v>309</v>
      </c>
    </row>
    <row r="427" spans="31:49" x14ac:dyDescent="0.2">
      <c r="AE427" t="s">
        <v>4179</v>
      </c>
      <c r="AG427" t="s">
        <v>1879</v>
      </c>
      <c r="AW427" t="s">
        <v>310</v>
      </c>
    </row>
    <row r="428" spans="31:49" x14ac:dyDescent="0.2">
      <c r="AE428" t="s">
        <v>4180</v>
      </c>
      <c r="AG428" t="s">
        <v>1880</v>
      </c>
      <c r="AW428" t="s">
        <v>311</v>
      </c>
    </row>
    <row r="429" spans="31:49" x14ac:dyDescent="0.2">
      <c r="AE429" t="s">
        <v>4181</v>
      </c>
      <c r="AG429" t="s">
        <v>1881</v>
      </c>
      <c r="AW429" t="s">
        <v>312</v>
      </c>
    </row>
    <row r="430" spans="31:49" x14ac:dyDescent="0.2">
      <c r="AE430" t="s">
        <v>1286</v>
      </c>
      <c r="AG430" t="s">
        <v>1882</v>
      </c>
      <c r="AW430" t="s">
        <v>313</v>
      </c>
    </row>
    <row r="431" spans="31:49" x14ac:dyDescent="0.2">
      <c r="AE431" t="s">
        <v>1287</v>
      </c>
      <c r="AG431" t="s">
        <v>1883</v>
      </c>
      <c r="AW431" t="s">
        <v>314</v>
      </c>
    </row>
    <row r="432" spans="31:49" x14ac:dyDescent="0.2">
      <c r="AE432" t="s">
        <v>1288</v>
      </c>
      <c r="AG432" t="s">
        <v>1884</v>
      </c>
      <c r="AW432" t="s">
        <v>315</v>
      </c>
    </row>
    <row r="433" spans="31:49" x14ac:dyDescent="0.2">
      <c r="AE433" t="s">
        <v>1289</v>
      </c>
      <c r="AG433" t="s">
        <v>1885</v>
      </c>
      <c r="AW433" t="s">
        <v>316</v>
      </c>
    </row>
    <row r="434" spans="31:49" x14ac:dyDescent="0.2">
      <c r="AE434" t="s">
        <v>1290</v>
      </c>
      <c r="AG434" t="s">
        <v>1886</v>
      </c>
      <c r="AW434" t="s">
        <v>317</v>
      </c>
    </row>
    <row r="435" spans="31:49" x14ac:dyDescent="0.2">
      <c r="AE435" t="s">
        <v>1291</v>
      </c>
      <c r="AG435" t="s">
        <v>1887</v>
      </c>
      <c r="AW435" t="s">
        <v>318</v>
      </c>
    </row>
    <row r="436" spans="31:49" x14ac:dyDescent="0.2">
      <c r="AE436" t="s">
        <v>1292</v>
      </c>
      <c r="AG436" t="s">
        <v>1888</v>
      </c>
      <c r="AW436" t="s">
        <v>319</v>
      </c>
    </row>
    <row r="437" spans="31:49" x14ac:dyDescent="0.2">
      <c r="AE437" t="s">
        <v>1293</v>
      </c>
      <c r="AG437" t="s">
        <v>1889</v>
      </c>
      <c r="AW437" t="s">
        <v>320</v>
      </c>
    </row>
    <row r="438" spans="31:49" x14ac:dyDescent="0.2">
      <c r="AE438" t="s">
        <v>1294</v>
      </c>
      <c r="AG438" t="s">
        <v>1890</v>
      </c>
      <c r="AW438" t="s">
        <v>321</v>
      </c>
    </row>
    <row r="439" spans="31:49" x14ac:dyDescent="0.2">
      <c r="AE439" t="s">
        <v>1295</v>
      </c>
      <c r="AG439" t="s">
        <v>1891</v>
      </c>
      <c r="AW439" t="s">
        <v>322</v>
      </c>
    </row>
    <row r="440" spans="31:49" x14ac:dyDescent="0.2">
      <c r="AE440" t="s">
        <v>1296</v>
      </c>
      <c r="AG440" t="s">
        <v>1892</v>
      </c>
      <c r="AW440" t="s">
        <v>323</v>
      </c>
    </row>
    <row r="441" spans="31:49" x14ac:dyDescent="0.2">
      <c r="AE441" t="s">
        <v>1297</v>
      </c>
      <c r="AG441" t="s">
        <v>1893</v>
      </c>
      <c r="AW441" t="s">
        <v>324</v>
      </c>
    </row>
    <row r="442" spans="31:49" x14ac:dyDescent="0.2">
      <c r="AE442" t="s">
        <v>1298</v>
      </c>
      <c r="AG442" t="s">
        <v>1894</v>
      </c>
      <c r="AW442" t="s">
        <v>325</v>
      </c>
    </row>
    <row r="443" spans="31:49" x14ac:dyDescent="0.2">
      <c r="AE443" t="s">
        <v>1299</v>
      </c>
      <c r="AG443" t="s">
        <v>1895</v>
      </c>
      <c r="AW443" t="s">
        <v>326</v>
      </c>
    </row>
    <row r="444" spans="31:49" x14ac:dyDescent="0.2">
      <c r="AE444" t="s">
        <v>1300</v>
      </c>
      <c r="AG444" t="s">
        <v>1896</v>
      </c>
      <c r="AW444" t="s">
        <v>327</v>
      </c>
    </row>
    <row r="445" spans="31:49" x14ac:dyDescent="0.2">
      <c r="AE445" t="s">
        <v>1301</v>
      </c>
      <c r="AG445" t="s">
        <v>1897</v>
      </c>
      <c r="AW445" t="s">
        <v>1167</v>
      </c>
    </row>
    <row r="446" spans="31:49" x14ac:dyDescent="0.2">
      <c r="AE446" t="s">
        <v>1302</v>
      </c>
      <c r="AG446" t="s">
        <v>1898</v>
      </c>
      <c r="AW446" t="s">
        <v>328</v>
      </c>
    </row>
    <row r="447" spans="31:49" x14ac:dyDescent="0.2">
      <c r="AE447" t="s">
        <v>1303</v>
      </c>
      <c r="AG447" t="s">
        <v>1899</v>
      </c>
      <c r="AW447" t="s">
        <v>329</v>
      </c>
    </row>
    <row r="448" spans="31:49" x14ac:dyDescent="0.2">
      <c r="AE448" t="s">
        <v>1304</v>
      </c>
      <c r="AG448" t="s">
        <v>1900</v>
      </c>
      <c r="AW448" t="s">
        <v>330</v>
      </c>
    </row>
    <row r="449" spans="31:49" x14ac:dyDescent="0.2">
      <c r="AE449" t="s">
        <v>1305</v>
      </c>
      <c r="AG449" t="s">
        <v>1901</v>
      </c>
      <c r="AW449" t="s">
        <v>331</v>
      </c>
    </row>
    <row r="450" spans="31:49" x14ac:dyDescent="0.2">
      <c r="AE450" t="s">
        <v>1306</v>
      </c>
      <c r="AG450" t="s">
        <v>1902</v>
      </c>
      <c r="AW450" t="s">
        <v>332</v>
      </c>
    </row>
    <row r="451" spans="31:49" x14ac:dyDescent="0.2">
      <c r="AE451" t="s">
        <v>1307</v>
      </c>
      <c r="AG451" t="s">
        <v>1903</v>
      </c>
      <c r="AW451" t="s">
        <v>333</v>
      </c>
    </row>
    <row r="452" spans="31:49" x14ac:dyDescent="0.2">
      <c r="AE452" t="s">
        <v>1308</v>
      </c>
      <c r="AG452" t="s">
        <v>1904</v>
      </c>
      <c r="AW452" t="s">
        <v>334</v>
      </c>
    </row>
    <row r="453" spans="31:49" x14ac:dyDescent="0.2">
      <c r="AE453" t="s">
        <v>1309</v>
      </c>
      <c r="AG453" t="s">
        <v>1905</v>
      </c>
      <c r="AW453" t="s">
        <v>335</v>
      </c>
    </row>
    <row r="454" spans="31:49" x14ac:dyDescent="0.2">
      <c r="AE454" t="s">
        <v>1310</v>
      </c>
      <c r="AG454" t="s">
        <v>1906</v>
      </c>
      <c r="AW454" t="s">
        <v>336</v>
      </c>
    </row>
    <row r="455" spans="31:49" x14ac:dyDescent="0.2">
      <c r="AE455" t="s">
        <v>1311</v>
      </c>
      <c r="AG455" t="s">
        <v>1907</v>
      </c>
      <c r="AW455" t="s">
        <v>337</v>
      </c>
    </row>
    <row r="456" spans="31:49" x14ac:dyDescent="0.2">
      <c r="AE456" t="s">
        <v>1312</v>
      </c>
      <c r="AG456" t="s">
        <v>1168</v>
      </c>
      <c r="AW456" t="s">
        <v>338</v>
      </c>
    </row>
    <row r="457" spans="31:49" x14ac:dyDescent="0.2">
      <c r="AE457" t="s">
        <v>1313</v>
      </c>
      <c r="AG457" t="s">
        <v>1909</v>
      </c>
      <c r="AW457" t="s">
        <v>339</v>
      </c>
    </row>
    <row r="458" spans="31:49" x14ac:dyDescent="0.2">
      <c r="AE458" t="s">
        <v>1314</v>
      </c>
      <c r="AG458" t="s">
        <v>1910</v>
      </c>
      <c r="AW458" t="s">
        <v>340</v>
      </c>
    </row>
    <row r="459" spans="31:49" x14ac:dyDescent="0.2">
      <c r="AE459" t="s">
        <v>1315</v>
      </c>
      <c r="AG459" t="s">
        <v>1911</v>
      </c>
      <c r="AW459" t="s">
        <v>341</v>
      </c>
    </row>
    <row r="460" spans="31:49" x14ac:dyDescent="0.2">
      <c r="AE460" t="s">
        <v>1316</v>
      </c>
      <c r="AG460" t="s">
        <v>1912</v>
      </c>
      <c r="AW460" t="s">
        <v>342</v>
      </c>
    </row>
    <row r="461" spans="31:49" x14ac:dyDescent="0.2">
      <c r="AE461" t="s">
        <v>1317</v>
      </c>
      <c r="AG461" t="s">
        <v>1913</v>
      </c>
      <c r="AW461" t="s">
        <v>343</v>
      </c>
    </row>
    <row r="462" spans="31:49" x14ac:dyDescent="0.2">
      <c r="AE462" t="s">
        <v>1318</v>
      </c>
      <c r="AG462" t="s">
        <v>1914</v>
      </c>
      <c r="AW462" t="s">
        <v>344</v>
      </c>
    </row>
    <row r="463" spans="31:49" x14ac:dyDescent="0.2">
      <c r="AE463" t="s">
        <v>1319</v>
      </c>
      <c r="AG463" t="s">
        <v>1915</v>
      </c>
      <c r="AW463" t="s">
        <v>345</v>
      </c>
    </row>
    <row r="464" spans="31:49" x14ac:dyDescent="0.2">
      <c r="AE464" t="s">
        <v>1320</v>
      </c>
      <c r="AG464" t="s">
        <v>1916</v>
      </c>
      <c r="AW464" t="s">
        <v>346</v>
      </c>
    </row>
    <row r="465" spans="31:49" x14ac:dyDescent="0.2">
      <c r="AE465" t="s">
        <v>1321</v>
      </c>
      <c r="AG465" t="s">
        <v>1917</v>
      </c>
      <c r="AW465" t="s">
        <v>347</v>
      </c>
    </row>
    <row r="466" spans="31:49" x14ac:dyDescent="0.2">
      <c r="AE466" t="s">
        <v>1322</v>
      </c>
      <c r="AG466" t="s">
        <v>1918</v>
      </c>
      <c r="AW466" t="s">
        <v>348</v>
      </c>
    </row>
    <row r="467" spans="31:49" x14ac:dyDescent="0.2">
      <c r="AE467" t="s">
        <v>1323</v>
      </c>
      <c r="AG467" t="s">
        <v>1919</v>
      </c>
      <c r="AW467" t="s">
        <v>349</v>
      </c>
    </row>
    <row r="468" spans="31:49" x14ac:dyDescent="0.2">
      <c r="AE468" t="s">
        <v>1324</v>
      </c>
      <c r="AG468" t="s">
        <v>1920</v>
      </c>
      <c r="AW468" t="s">
        <v>350</v>
      </c>
    </row>
    <row r="469" spans="31:49" x14ac:dyDescent="0.2">
      <c r="AE469" t="s">
        <v>1325</v>
      </c>
      <c r="AG469" t="s">
        <v>1921</v>
      </c>
      <c r="AW469" t="s">
        <v>351</v>
      </c>
    </row>
    <row r="470" spans="31:49" x14ac:dyDescent="0.2">
      <c r="AE470" t="s">
        <v>1326</v>
      </c>
      <c r="AG470" t="s">
        <v>1922</v>
      </c>
      <c r="AW470" t="s">
        <v>352</v>
      </c>
    </row>
    <row r="471" spans="31:49" x14ac:dyDescent="0.2">
      <c r="AE471" t="s">
        <v>1327</v>
      </c>
      <c r="AG471" t="s">
        <v>1923</v>
      </c>
      <c r="AW471" t="s">
        <v>353</v>
      </c>
    </row>
    <row r="472" spans="31:49" x14ac:dyDescent="0.2">
      <c r="AE472" t="s">
        <v>1328</v>
      </c>
      <c r="AG472" t="s">
        <v>1924</v>
      </c>
      <c r="AW472" t="s">
        <v>354</v>
      </c>
    </row>
    <row r="473" spans="31:49" x14ac:dyDescent="0.2">
      <c r="AE473" t="s">
        <v>1329</v>
      </c>
      <c r="AG473" t="s">
        <v>1925</v>
      </c>
      <c r="AW473" t="s">
        <v>355</v>
      </c>
    </row>
    <row r="474" spans="31:49" x14ac:dyDescent="0.2">
      <c r="AE474" t="s">
        <v>1330</v>
      </c>
      <c r="AG474" t="s">
        <v>1926</v>
      </c>
      <c r="AW474" t="s">
        <v>356</v>
      </c>
    </row>
    <row r="475" spans="31:49" x14ac:dyDescent="0.2">
      <c r="AE475" t="s">
        <v>1331</v>
      </c>
      <c r="AG475" t="s">
        <v>1927</v>
      </c>
      <c r="AW475" t="s">
        <v>357</v>
      </c>
    </row>
    <row r="476" spans="31:49" x14ac:dyDescent="0.2">
      <c r="AE476" t="s">
        <v>1332</v>
      </c>
      <c r="AG476" t="s">
        <v>1928</v>
      </c>
      <c r="AW476" t="s">
        <v>358</v>
      </c>
    </row>
    <row r="477" spans="31:49" x14ac:dyDescent="0.2">
      <c r="AE477" t="s">
        <v>1333</v>
      </c>
      <c r="AG477" t="s">
        <v>1169</v>
      </c>
      <c r="AW477" t="s">
        <v>359</v>
      </c>
    </row>
    <row r="478" spans="31:49" x14ac:dyDescent="0.2">
      <c r="AE478" t="s">
        <v>1334</v>
      </c>
      <c r="AG478" t="s">
        <v>1930</v>
      </c>
      <c r="AW478" t="s">
        <v>360</v>
      </c>
    </row>
    <row r="479" spans="31:49" x14ac:dyDescent="0.2">
      <c r="AE479" t="s">
        <v>1335</v>
      </c>
      <c r="AG479" t="s">
        <v>1931</v>
      </c>
      <c r="AW479" t="s">
        <v>361</v>
      </c>
    </row>
    <row r="480" spans="31:49" x14ac:dyDescent="0.2">
      <c r="AE480" t="s">
        <v>1336</v>
      </c>
      <c r="AG480" t="s">
        <v>1932</v>
      </c>
      <c r="AW480" t="s">
        <v>362</v>
      </c>
    </row>
    <row r="481" spans="31:49" x14ac:dyDescent="0.2">
      <c r="AE481" t="s">
        <v>1337</v>
      </c>
      <c r="AG481" t="s">
        <v>1933</v>
      </c>
      <c r="AW481" t="s">
        <v>363</v>
      </c>
    </row>
    <row r="482" spans="31:49" x14ac:dyDescent="0.2">
      <c r="AE482" t="s">
        <v>1338</v>
      </c>
      <c r="AG482" t="s">
        <v>1934</v>
      </c>
      <c r="AW482" t="s">
        <v>364</v>
      </c>
    </row>
    <row r="483" spans="31:49" x14ac:dyDescent="0.2">
      <c r="AE483" t="s">
        <v>1339</v>
      </c>
      <c r="AG483" t="s">
        <v>1935</v>
      </c>
      <c r="AW483" t="s">
        <v>365</v>
      </c>
    </row>
    <row r="484" spans="31:49" x14ac:dyDescent="0.2">
      <c r="AE484" t="s">
        <v>1340</v>
      </c>
      <c r="AG484" t="s">
        <v>1936</v>
      </c>
      <c r="AW484" t="s">
        <v>366</v>
      </c>
    </row>
    <row r="485" spans="31:49" x14ac:dyDescent="0.2">
      <c r="AE485" t="s">
        <v>1341</v>
      </c>
      <c r="AG485" t="s">
        <v>1937</v>
      </c>
      <c r="AW485" t="s">
        <v>367</v>
      </c>
    </row>
    <row r="486" spans="31:49" x14ac:dyDescent="0.2">
      <c r="AE486" t="s">
        <v>1342</v>
      </c>
      <c r="AG486" t="s">
        <v>1938</v>
      </c>
      <c r="AW486" t="s">
        <v>368</v>
      </c>
    </row>
    <row r="487" spans="31:49" x14ac:dyDescent="0.2">
      <c r="AE487" t="s">
        <v>1343</v>
      </c>
      <c r="AG487" t="s">
        <v>1939</v>
      </c>
      <c r="AW487" t="s">
        <v>369</v>
      </c>
    </row>
    <row r="488" spans="31:49" x14ac:dyDescent="0.2">
      <c r="AE488" t="s">
        <v>1344</v>
      </c>
      <c r="AG488" t="s">
        <v>1940</v>
      </c>
      <c r="AW488" t="s">
        <v>370</v>
      </c>
    </row>
    <row r="489" spans="31:49" x14ac:dyDescent="0.2">
      <c r="AE489" t="s">
        <v>1345</v>
      </c>
      <c r="AG489" t="s">
        <v>1941</v>
      </c>
      <c r="AW489" t="s">
        <v>371</v>
      </c>
    </row>
    <row r="490" spans="31:49" x14ac:dyDescent="0.2">
      <c r="AE490" t="s">
        <v>1346</v>
      </c>
      <c r="AG490" t="s">
        <v>1942</v>
      </c>
      <c r="AW490" t="s">
        <v>372</v>
      </c>
    </row>
    <row r="491" spans="31:49" x14ac:dyDescent="0.2">
      <c r="AE491" t="s">
        <v>1347</v>
      </c>
      <c r="AG491" t="s">
        <v>1943</v>
      </c>
      <c r="AW491" t="s">
        <v>373</v>
      </c>
    </row>
    <row r="492" spans="31:49" x14ac:dyDescent="0.2">
      <c r="AE492" t="s">
        <v>1348</v>
      </c>
      <c r="AG492" t="s">
        <v>1944</v>
      </c>
      <c r="AW492" t="s">
        <v>1170</v>
      </c>
    </row>
    <row r="493" spans="31:49" x14ac:dyDescent="0.2">
      <c r="AE493" t="s">
        <v>1349</v>
      </c>
      <c r="AG493" t="s">
        <v>1945</v>
      </c>
      <c r="AW493" t="s">
        <v>1171</v>
      </c>
    </row>
    <row r="494" spans="31:49" x14ac:dyDescent="0.2">
      <c r="AE494" t="s">
        <v>1350</v>
      </c>
      <c r="AG494" t="s">
        <v>1946</v>
      </c>
      <c r="AW494" t="s">
        <v>1172</v>
      </c>
    </row>
    <row r="495" spans="31:49" x14ac:dyDescent="0.2">
      <c r="AE495" t="s">
        <v>1351</v>
      </c>
      <c r="AG495" t="s">
        <v>1947</v>
      </c>
      <c r="AW495" t="s">
        <v>1173</v>
      </c>
    </row>
    <row r="496" spans="31:49" x14ac:dyDescent="0.2">
      <c r="AE496" t="s">
        <v>1352</v>
      </c>
      <c r="AG496" t="s">
        <v>1948</v>
      </c>
      <c r="AW496" t="s">
        <v>1174</v>
      </c>
    </row>
    <row r="497" spans="31:49" x14ac:dyDescent="0.2">
      <c r="AE497" t="s">
        <v>1353</v>
      </c>
      <c r="AG497" t="s">
        <v>1949</v>
      </c>
      <c r="AW497" t="s">
        <v>1175</v>
      </c>
    </row>
    <row r="498" spans="31:49" x14ac:dyDescent="0.2">
      <c r="AE498" t="s">
        <v>1354</v>
      </c>
      <c r="AG498" t="s">
        <v>1950</v>
      </c>
      <c r="AW498" t="s">
        <v>1176</v>
      </c>
    </row>
    <row r="499" spans="31:49" x14ac:dyDescent="0.2">
      <c r="AE499" t="s">
        <v>1355</v>
      </c>
      <c r="AG499" t="s">
        <v>1951</v>
      </c>
      <c r="AW499" t="s">
        <v>1177</v>
      </c>
    </row>
    <row r="500" spans="31:49" x14ac:dyDescent="0.2">
      <c r="AE500" t="s">
        <v>1356</v>
      </c>
      <c r="AG500" t="s">
        <v>1952</v>
      </c>
      <c r="AW500" t="s">
        <v>1178</v>
      </c>
    </row>
    <row r="501" spans="31:49" x14ac:dyDescent="0.2">
      <c r="AE501" t="s">
        <v>1357</v>
      </c>
      <c r="AG501" t="s">
        <v>1179</v>
      </c>
      <c r="AW501" t="s">
        <v>1180</v>
      </c>
    </row>
    <row r="502" spans="31:49" x14ac:dyDescent="0.2">
      <c r="AE502" t="s">
        <v>1358</v>
      </c>
      <c r="AG502" t="s">
        <v>1954</v>
      </c>
      <c r="AW502" t="s">
        <v>1181</v>
      </c>
    </row>
    <row r="503" spans="31:49" x14ac:dyDescent="0.2">
      <c r="AE503" t="s">
        <v>1359</v>
      </c>
      <c r="AG503" t="s">
        <v>1955</v>
      </c>
      <c r="AW503" t="s">
        <v>1182</v>
      </c>
    </row>
    <row r="504" spans="31:49" x14ac:dyDescent="0.2">
      <c r="AE504" t="s">
        <v>1360</v>
      </c>
      <c r="AG504" t="s">
        <v>1956</v>
      </c>
      <c r="AW504" t="s">
        <v>1183</v>
      </c>
    </row>
    <row r="505" spans="31:49" x14ac:dyDescent="0.2">
      <c r="AE505" t="s">
        <v>1361</v>
      </c>
      <c r="AG505" t="s">
        <v>1957</v>
      </c>
      <c r="AW505" t="s">
        <v>1184</v>
      </c>
    </row>
    <row r="506" spans="31:49" x14ac:dyDescent="0.2">
      <c r="AE506" t="s">
        <v>1362</v>
      </c>
      <c r="AG506" t="s">
        <v>1958</v>
      </c>
      <c r="AW506" t="s">
        <v>1185</v>
      </c>
    </row>
    <row r="507" spans="31:49" x14ac:dyDescent="0.2">
      <c r="AE507" t="s">
        <v>1363</v>
      </c>
      <c r="AG507" t="s">
        <v>1959</v>
      </c>
      <c r="AW507" t="s">
        <v>1186</v>
      </c>
    </row>
    <row r="508" spans="31:49" x14ac:dyDescent="0.2">
      <c r="AE508" t="s">
        <v>1364</v>
      </c>
      <c r="AG508" t="s">
        <v>1960</v>
      </c>
      <c r="AW508" t="s">
        <v>1187</v>
      </c>
    </row>
    <row r="509" spans="31:49" x14ac:dyDescent="0.2">
      <c r="AE509" t="s">
        <v>1365</v>
      </c>
      <c r="AG509" t="s">
        <v>1961</v>
      </c>
      <c r="AW509" t="s">
        <v>1188</v>
      </c>
    </row>
    <row r="510" spans="31:49" x14ac:dyDescent="0.2">
      <c r="AE510" t="s">
        <v>1366</v>
      </c>
      <c r="AG510" t="s">
        <v>1962</v>
      </c>
      <c r="AW510" t="s">
        <v>1189</v>
      </c>
    </row>
    <row r="511" spans="31:49" x14ac:dyDescent="0.2">
      <c r="AE511" t="s">
        <v>1367</v>
      </c>
      <c r="AG511" t="s">
        <v>1963</v>
      </c>
      <c r="AW511" t="s">
        <v>1190</v>
      </c>
    </row>
    <row r="512" spans="31:49" x14ac:dyDescent="0.2">
      <c r="AE512" t="s">
        <v>1368</v>
      </c>
      <c r="AG512" t="s">
        <v>1964</v>
      </c>
      <c r="AW512" t="s">
        <v>1191</v>
      </c>
    </row>
    <row r="513" spans="31:49" x14ac:dyDescent="0.2">
      <c r="AE513" t="s">
        <v>1369</v>
      </c>
      <c r="AG513" t="s">
        <v>1965</v>
      </c>
      <c r="AW513" t="s">
        <v>1192</v>
      </c>
    </row>
    <row r="514" spans="31:49" x14ac:dyDescent="0.2">
      <c r="AE514" t="s">
        <v>1370</v>
      </c>
      <c r="AG514" t="s">
        <v>1966</v>
      </c>
      <c r="AW514" t="s">
        <v>1193</v>
      </c>
    </row>
    <row r="515" spans="31:49" x14ac:dyDescent="0.2">
      <c r="AE515" t="s">
        <v>1371</v>
      </c>
      <c r="AG515" t="s">
        <v>1967</v>
      </c>
      <c r="AW515" t="s">
        <v>1194</v>
      </c>
    </row>
    <row r="516" spans="31:49" x14ac:dyDescent="0.2">
      <c r="AE516" t="s">
        <v>1372</v>
      </c>
      <c r="AG516" t="s">
        <v>1968</v>
      </c>
      <c r="AW516" t="s">
        <v>1195</v>
      </c>
    </row>
    <row r="517" spans="31:49" x14ac:dyDescent="0.2">
      <c r="AE517" t="s">
        <v>1373</v>
      </c>
      <c r="AG517" t="s">
        <v>1969</v>
      </c>
      <c r="AW517" t="s">
        <v>1196</v>
      </c>
    </row>
    <row r="518" spans="31:49" x14ac:dyDescent="0.2">
      <c r="AE518" t="s">
        <v>1374</v>
      </c>
      <c r="AG518" t="s">
        <v>1970</v>
      </c>
      <c r="AW518" t="s">
        <v>1197</v>
      </c>
    </row>
    <row r="519" spans="31:49" x14ac:dyDescent="0.2">
      <c r="AE519" t="s">
        <v>1375</v>
      </c>
      <c r="AG519" t="s">
        <v>1971</v>
      </c>
      <c r="AW519" t="s">
        <v>1198</v>
      </c>
    </row>
    <row r="520" spans="31:49" x14ac:dyDescent="0.2">
      <c r="AE520" t="s">
        <v>1376</v>
      </c>
      <c r="AG520" t="s">
        <v>1972</v>
      </c>
      <c r="AW520" t="s">
        <v>1199</v>
      </c>
    </row>
    <row r="521" spans="31:49" x14ac:dyDescent="0.2">
      <c r="AE521" t="s">
        <v>1377</v>
      </c>
      <c r="AG521" t="s">
        <v>1973</v>
      </c>
      <c r="AW521" t="s">
        <v>1200</v>
      </c>
    </row>
    <row r="522" spans="31:49" x14ac:dyDescent="0.2">
      <c r="AE522" t="s">
        <v>1378</v>
      </c>
      <c r="AG522" t="s">
        <v>1974</v>
      </c>
      <c r="AW522" t="s">
        <v>1201</v>
      </c>
    </row>
    <row r="523" spans="31:49" x14ac:dyDescent="0.2">
      <c r="AE523" t="s">
        <v>1379</v>
      </c>
      <c r="AG523" t="s">
        <v>1975</v>
      </c>
      <c r="AW523" t="s">
        <v>1202</v>
      </c>
    </row>
    <row r="524" spans="31:49" x14ac:dyDescent="0.2">
      <c r="AE524" t="s">
        <v>1380</v>
      </c>
      <c r="AG524" t="s">
        <v>1976</v>
      </c>
      <c r="AW524" t="s">
        <v>1203</v>
      </c>
    </row>
    <row r="525" spans="31:49" x14ac:dyDescent="0.2">
      <c r="AE525" t="s">
        <v>1381</v>
      </c>
      <c r="AG525" t="s">
        <v>1977</v>
      </c>
      <c r="AW525" t="s">
        <v>1204</v>
      </c>
    </row>
    <row r="526" spans="31:49" x14ac:dyDescent="0.2">
      <c r="AE526" t="s">
        <v>1382</v>
      </c>
      <c r="AG526" t="s">
        <v>1978</v>
      </c>
      <c r="AW526" t="s">
        <v>1205</v>
      </c>
    </row>
    <row r="527" spans="31:49" x14ac:dyDescent="0.2">
      <c r="AE527" t="s">
        <v>1383</v>
      </c>
      <c r="AG527" t="s">
        <v>1979</v>
      </c>
      <c r="AW527" t="s">
        <v>1206</v>
      </c>
    </row>
    <row r="528" spans="31:49" x14ac:dyDescent="0.2">
      <c r="AE528" t="s">
        <v>1384</v>
      </c>
      <c r="AG528" t="s">
        <v>1980</v>
      </c>
      <c r="AW528" t="s">
        <v>1207</v>
      </c>
    </row>
    <row r="529" spans="31:49" x14ac:dyDescent="0.2">
      <c r="AE529" t="s">
        <v>1385</v>
      </c>
      <c r="AG529" t="s">
        <v>1981</v>
      </c>
      <c r="AW529" t="s">
        <v>1208</v>
      </c>
    </row>
    <row r="530" spans="31:49" x14ac:dyDescent="0.2">
      <c r="AE530" t="s">
        <v>1386</v>
      </c>
      <c r="AG530" t="s">
        <v>1982</v>
      </c>
      <c r="AW530" t="s">
        <v>1209</v>
      </c>
    </row>
    <row r="531" spans="31:49" x14ac:dyDescent="0.2">
      <c r="AE531" t="s">
        <v>1387</v>
      </c>
      <c r="AG531" t="s">
        <v>1983</v>
      </c>
      <c r="AW531" t="s">
        <v>1210</v>
      </c>
    </row>
    <row r="532" spans="31:49" x14ac:dyDescent="0.2">
      <c r="AE532" t="s">
        <v>1388</v>
      </c>
      <c r="AG532" t="s">
        <v>1984</v>
      </c>
      <c r="AW532" t="s">
        <v>1211</v>
      </c>
    </row>
    <row r="533" spans="31:49" x14ac:dyDescent="0.2">
      <c r="AE533" t="s">
        <v>1389</v>
      </c>
      <c r="AG533" t="s">
        <v>1985</v>
      </c>
      <c r="AW533" t="s">
        <v>1212</v>
      </c>
    </row>
    <row r="534" spans="31:49" x14ac:dyDescent="0.2">
      <c r="AE534" t="s">
        <v>1390</v>
      </c>
      <c r="AG534" t="s">
        <v>1986</v>
      </c>
      <c r="AW534" t="s">
        <v>1213</v>
      </c>
    </row>
    <row r="535" spans="31:49" x14ac:dyDescent="0.2">
      <c r="AE535" t="s">
        <v>1391</v>
      </c>
      <c r="AG535" t="s">
        <v>1987</v>
      </c>
      <c r="AW535" t="s">
        <v>1214</v>
      </c>
    </row>
    <row r="536" spans="31:49" x14ac:dyDescent="0.2">
      <c r="AE536" t="s">
        <v>1392</v>
      </c>
      <c r="AG536" t="s">
        <v>1988</v>
      </c>
      <c r="AW536" t="s">
        <v>1215</v>
      </c>
    </row>
    <row r="537" spans="31:49" x14ac:dyDescent="0.2">
      <c r="AE537" t="s">
        <v>1393</v>
      </c>
      <c r="AG537" t="s">
        <v>1989</v>
      </c>
      <c r="AW537" t="s">
        <v>1216</v>
      </c>
    </row>
    <row r="538" spans="31:49" x14ac:dyDescent="0.2">
      <c r="AE538" t="s">
        <v>1394</v>
      </c>
      <c r="AG538" t="s">
        <v>1990</v>
      </c>
      <c r="AW538" t="s">
        <v>1217</v>
      </c>
    </row>
    <row r="539" spans="31:49" x14ac:dyDescent="0.2">
      <c r="AE539" t="s">
        <v>1395</v>
      </c>
      <c r="AG539" t="s">
        <v>1991</v>
      </c>
      <c r="AW539" t="s">
        <v>1218</v>
      </c>
    </row>
    <row r="540" spans="31:49" x14ac:dyDescent="0.2">
      <c r="AE540" t="s">
        <v>1396</v>
      </c>
      <c r="AG540" t="s">
        <v>1992</v>
      </c>
      <c r="AW540" t="s">
        <v>1219</v>
      </c>
    </row>
    <row r="541" spans="31:49" x14ac:dyDescent="0.2">
      <c r="AE541" t="s">
        <v>1397</v>
      </c>
      <c r="AG541" t="s">
        <v>1993</v>
      </c>
      <c r="AW541" t="s">
        <v>1220</v>
      </c>
    </row>
    <row r="542" spans="31:49" x14ac:dyDescent="0.2">
      <c r="AE542" t="s">
        <v>1398</v>
      </c>
      <c r="AG542" t="s">
        <v>1994</v>
      </c>
      <c r="AW542" t="s">
        <v>1221</v>
      </c>
    </row>
    <row r="543" spans="31:49" x14ac:dyDescent="0.2">
      <c r="AE543" t="s">
        <v>1399</v>
      </c>
      <c r="AG543" t="s">
        <v>1995</v>
      </c>
      <c r="AW543" t="s">
        <v>1222</v>
      </c>
    </row>
    <row r="544" spans="31:49" x14ac:dyDescent="0.2">
      <c r="AE544" t="s">
        <v>1400</v>
      </c>
      <c r="AG544" t="s">
        <v>1996</v>
      </c>
      <c r="AW544" t="s">
        <v>1223</v>
      </c>
    </row>
    <row r="545" spans="31:49" x14ac:dyDescent="0.2">
      <c r="AE545" t="s">
        <v>1401</v>
      </c>
      <c r="AG545" t="s">
        <v>1997</v>
      </c>
      <c r="AW545" t="s">
        <v>1224</v>
      </c>
    </row>
    <row r="546" spans="31:49" x14ac:dyDescent="0.2">
      <c r="AE546" t="s">
        <v>1402</v>
      </c>
      <c r="AG546" t="s">
        <v>1998</v>
      </c>
      <c r="AW546" t="s">
        <v>1225</v>
      </c>
    </row>
    <row r="547" spans="31:49" x14ac:dyDescent="0.2">
      <c r="AE547" t="s">
        <v>1403</v>
      </c>
      <c r="AG547" t="s">
        <v>1999</v>
      </c>
      <c r="AW547" t="s">
        <v>1226</v>
      </c>
    </row>
    <row r="548" spans="31:49" x14ac:dyDescent="0.2">
      <c r="AE548" t="s">
        <v>1404</v>
      </c>
      <c r="AG548" t="s">
        <v>2000</v>
      </c>
      <c r="AW548" t="s">
        <v>1227</v>
      </c>
    </row>
    <row r="549" spans="31:49" x14ac:dyDescent="0.2">
      <c r="AE549" t="s">
        <v>1405</v>
      </c>
      <c r="AG549" t="s">
        <v>2001</v>
      </c>
      <c r="AW549" t="s">
        <v>1228</v>
      </c>
    </row>
    <row r="550" spans="31:49" x14ac:dyDescent="0.2">
      <c r="AE550" t="s">
        <v>1406</v>
      </c>
      <c r="AG550" t="s">
        <v>2002</v>
      </c>
      <c r="AW550" t="s">
        <v>1229</v>
      </c>
    </row>
    <row r="551" spans="31:49" x14ac:dyDescent="0.2">
      <c r="AE551" t="s">
        <v>1407</v>
      </c>
      <c r="AG551" t="s">
        <v>2003</v>
      </c>
      <c r="AW551" t="s">
        <v>1230</v>
      </c>
    </row>
    <row r="552" spans="31:49" x14ac:dyDescent="0.2">
      <c r="AE552" t="s">
        <v>1408</v>
      </c>
      <c r="AG552" t="s">
        <v>2004</v>
      </c>
      <c r="AW552" t="s">
        <v>1231</v>
      </c>
    </row>
    <row r="553" spans="31:49" x14ac:dyDescent="0.2">
      <c r="AE553" t="s">
        <v>1409</v>
      </c>
      <c r="AG553" t="s">
        <v>1232</v>
      </c>
      <c r="AW553" t="s">
        <v>1233</v>
      </c>
    </row>
    <row r="554" spans="31:49" x14ac:dyDescent="0.2">
      <c r="AE554" t="s">
        <v>1410</v>
      </c>
      <c r="AG554" t="s">
        <v>2006</v>
      </c>
      <c r="AW554" t="s">
        <v>1234</v>
      </c>
    </row>
    <row r="555" spans="31:49" x14ac:dyDescent="0.2">
      <c r="AE555" t="s">
        <v>1411</v>
      </c>
      <c r="AG555" t="s">
        <v>2007</v>
      </c>
      <c r="AW555" t="s">
        <v>1235</v>
      </c>
    </row>
    <row r="556" spans="31:49" x14ac:dyDescent="0.2">
      <c r="AE556" t="s">
        <v>1412</v>
      </c>
      <c r="AG556" t="s">
        <v>2008</v>
      </c>
      <c r="AW556" t="s">
        <v>1236</v>
      </c>
    </row>
    <row r="557" spans="31:49" x14ac:dyDescent="0.2">
      <c r="AE557" t="s">
        <v>1413</v>
      </c>
      <c r="AG557" t="s">
        <v>2009</v>
      </c>
      <c r="AW557" t="s">
        <v>1237</v>
      </c>
    </row>
    <row r="558" spans="31:49" x14ac:dyDescent="0.2">
      <c r="AE558" t="s">
        <v>1414</v>
      </c>
      <c r="AG558" t="s">
        <v>2010</v>
      </c>
      <c r="AW558" t="s">
        <v>1238</v>
      </c>
    </row>
    <row r="559" spans="31:49" x14ac:dyDescent="0.2">
      <c r="AE559" t="s">
        <v>1415</v>
      </c>
      <c r="AG559" t="s">
        <v>2011</v>
      </c>
      <c r="AW559" t="s">
        <v>1239</v>
      </c>
    </row>
    <row r="560" spans="31:49" x14ac:dyDescent="0.2">
      <c r="AE560" t="s">
        <v>1416</v>
      </c>
      <c r="AG560" t="s">
        <v>2012</v>
      </c>
      <c r="AW560" t="s">
        <v>1240</v>
      </c>
    </row>
    <row r="561" spans="31:49" x14ac:dyDescent="0.2">
      <c r="AE561" t="s">
        <v>1417</v>
      </c>
      <c r="AG561" t="s">
        <v>2013</v>
      </c>
      <c r="AW561" t="s">
        <v>1241</v>
      </c>
    </row>
    <row r="562" spans="31:49" x14ac:dyDescent="0.2">
      <c r="AE562" t="s">
        <v>1418</v>
      </c>
      <c r="AG562" t="s">
        <v>2014</v>
      </c>
      <c r="AW562" t="s">
        <v>1242</v>
      </c>
    </row>
    <row r="563" spans="31:49" x14ac:dyDescent="0.2">
      <c r="AE563" t="s">
        <v>1419</v>
      </c>
      <c r="AG563" t="s">
        <v>2015</v>
      </c>
      <c r="AW563" t="s">
        <v>1243</v>
      </c>
    </row>
    <row r="564" spans="31:49" x14ac:dyDescent="0.2">
      <c r="AE564" t="s">
        <v>1420</v>
      </c>
      <c r="AG564" t="s">
        <v>2016</v>
      </c>
      <c r="AW564" t="s">
        <v>1244</v>
      </c>
    </row>
    <row r="565" spans="31:49" x14ac:dyDescent="0.2">
      <c r="AE565" t="s">
        <v>1421</v>
      </c>
      <c r="AG565" t="s">
        <v>2017</v>
      </c>
      <c r="AW565" t="s">
        <v>374</v>
      </c>
    </row>
    <row r="566" spans="31:49" x14ac:dyDescent="0.2">
      <c r="AE566" t="s">
        <v>1422</v>
      </c>
      <c r="AG566" t="s">
        <v>2018</v>
      </c>
      <c r="AW566" t="s">
        <v>375</v>
      </c>
    </row>
    <row r="567" spans="31:49" x14ac:dyDescent="0.2">
      <c r="AE567" t="s">
        <v>1423</v>
      </c>
      <c r="AG567" t="s">
        <v>2019</v>
      </c>
      <c r="AW567" t="s">
        <v>376</v>
      </c>
    </row>
    <row r="568" spans="31:49" x14ac:dyDescent="0.2">
      <c r="AE568" t="s">
        <v>1424</v>
      </c>
      <c r="AG568" t="s">
        <v>2020</v>
      </c>
      <c r="AW568" t="s">
        <v>1245</v>
      </c>
    </row>
    <row r="569" spans="31:49" x14ac:dyDescent="0.2">
      <c r="AE569" t="s">
        <v>1425</v>
      </c>
      <c r="AG569" t="s">
        <v>2021</v>
      </c>
      <c r="AW569" t="s">
        <v>377</v>
      </c>
    </row>
    <row r="570" spans="31:49" x14ac:dyDescent="0.2">
      <c r="AE570" t="s">
        <v>1426</v>
      </c>
      <c r="AG570" t="s">
        <v>2022</v>
      </c>
      <c r="AW570" t="s">
        <v>378</v>
      </c>
    </row>
    <row r="571" spans="31:49" x14ac:dyDescent="0.2">
      <c r="AE571" t="s">
        <v>1427</v>
      </c>
      <c r="AG571" t="s">
        <v>2023</v>
      </c>
      <c r="AW571" t="s">
        <v>379</v>
      </c>
    </row>
    <row r="572" spans="31:49" x14ac:dyDescent="0.2">
      <c r="AE572" t="s">
        <v>1428</v>
      </c>
      <c r="AG572" t="s">
        <v>2024</v>
      </c>
      <c r="AW572" t="s">
        <v>380</v>
      </c>
    </row>
    <row r="573" spans="31:49" x14ac:dyDescent="0.2">
      <c r="AE573" t="s">
        <v>1429</v>
      </c>
      <c r="AG573" t="s">
        <v>2025</v>
      </c>
      <c r="AW573" t="s">
        <v>381</v>
      </c>
    </row>
    <row r="574" spans="31:49" x14ac:dyDescent="0.2">
      <c r="AE574" t="s">
        <v>1430</v>
      </c>
      <c r="AG574" t="s">
        <v>2026</v>
      </c>
      <c r="AW574" t="s">
        <v>382</v>
      </c>
    </row>
    <row r="575" spans="31:49" x14ac:dyDescent="0.2">
      <c r="AE575" t="s">
        <v>1431</v>
      </c>
      <c r="AG575" t="s">
        <v>2027</v>
      </c>
      <c r="AW575" t="s">
        <v>383</v>
      </c>
    </row>
    <row r="576" spans="31:49" x14ac:dyDescent="0.2">
      <c r="AE576" t="s">
        <v>1432</v>
      </c>
      <c r="AG576" t="s">
        <v>2028</v>
      </c>
      <c r="AW576" t="s">
        <v>384</v>
      </c>
    </row>
    <row r="577" spans="31:49" x14ac:dyDescent="0.2">
      <c r="AE577" t="s">
        <v>1433</v>
      </c>
      <c r="AG577" t="s">
        <v>2029</v>
      </c>
      <c r="AW577" t="s">
        <v>1246</v>
      </c>
    </row>
    <row r="578" spans="31:49" x14ac:dyDescent="0.2">
      <c r="AE578" t="s">
        <v>1434</v>
      </c>
      <c r="AG578" t="s">
        <v>2030</v>
      </c>
      <c r="AW578" t="s">
        <v>385</v>
      </c>
    </row>
    <row r="579" spans="31:49" x14ac:dyDescent="0.2">
      <c r="AE579" t="s">
        <v>1435</v>
      </c>
      <c r="AG579" t="s">
        <v>2031</v>
      </c>
      <c r="AW579" t="s">
        <v>386</v>
      </c>
    </row>
    <row r="580" spans="31:49" x14ac:dyDescent="0.2">
      <c r="AE580" t="s">
        <v>1436</v>
      </c>
      <c r="AG580" t="s">
        <v>2032</v>
      </c>
      <c r="AW580" t="s">
        <v>387</v>
      </c>
    </row>
    <row r="581" spans="31:49" x14ac:dyDescent="0.2">
      <c r="AE581" t="s">
        <v>1437</v>
      </c>
      <c r="AG581" t="s">
        <v>2033</v>
      </c>
      <c r="AW581" t="s">
        <v>388</v>
      </c>
    </row>
    <row r="582" spans="31:49" x14ac:dyDescent="0.2">
      <c r="AE582" t="s">
        <v>1438</v>
      </c>
      <c r="AG582" t="s">
        <v>2034</v>
      </c>
      <c r="AW582" t="s">
        <v>389</v>
      </c>
    </row>
    <row r="583" spans="31:49" x14ac:dyDescent="0.2">
      <c r="AE583" t="s">
        <v>1439</v>
      </c>
      <c r="AG583" t="s">
        <v>2035</v>
      </c>
      <c r="AW583" t="s">
        <v>390</v>
      </c>
    </row>
    <row r="584" spans="31:49" x14ac:dyDescent="0.2">
      <c r="AE584" t="s">
        <v>1440</v>
      </c>
      <c r="AG584" t="s">
        <v>2036</v>
      </c>
      <c r="AW584" t="s">
        <v>391</v>
      </c>
    </row>
    <row r="585" spans="31:49" x14ac:dyDescent="0.2">
      <c r="AE585" t="s">
        <v>1441</v>
      </c>
      <c r="AG585" t="s">
        <v>2037</v>
      </c>
      <c r="AW585" t="s">
        <v>392</v>
      </c>
    </row>
    <row r="586" spans="31:49" x14ac:dyDescent="0.2">
      <c r="AE586" t="s">
        <v>1442</v>
      </c>
      <c r="AG586" t="s">
        <v>2038</v>
      </c>
      <c r="AW586" t="s">
        <v>393</v>
      </c>
    </row>
    <row r="587" spans="31:49" x14ac:dyDescent="0.2">
      <c r="AE587" t="s">
        <v>1443</v>
      </c>
      <c r="AG587" t="s">
        <v>2039</v>
      </c>
      <c r="AW587" t="s">
        <v>394</v>
      </c>
    </row>
    <row r="588" spans="31:49" x14ac:dyDescent="0.2">
      <c r="AE588" t="s">
        <v>1444</v>
      </c>
      <c r="AG588" t="s">
        <v>2040</v>
      </c>
      <c r="AW588" t="s">
        <v>395</v>
      </c>
    </row>
    <row r="589" spans="31:49" x14ac:dyDescent="0.2">
      <c r="AE589" t="s">
        <v>1445</v>
      </c>
      <c r="AG589" t="s">
        <v>2041</v>
      </c>
      <c r="AW589" t="s">
        <v>396</v>
      </c>
    </row>
    <row r="590" spans="31:49" x14ac:dyDescent="0.2">
      <c r="AE590" t="s">
        <v>1446</v>
      </c>
      <c r="AG590" t="s">
        <v>2042</v>
      </c>
      <c r="AW590" t="s">
        <v>397</v>
      </c>
    </row>
    <row r="591" spans="31:49" x14ac:dyDescent="0.2">
      <c r="AE591" t="s">
        <v>1447</v>
      </c>
      <c r="AG591" t="s">
        <v>2043</v>
      </c>
      <c r="AW591" t="s">
        <v>398</v>
      </c>
    </row>
    <row r="592" spans="31:49" x14ac:dyDescent="0.2">
      <c r="AE592" t="s">
        <v>1448</v>
      </c>
      <c r="AG592" t="s">
        <v>2044</v>
      </c>
      <c r="AW592" t="s">
        <v>399</v>
      </c>
    </row>
    <row r="593" spans="31:49" x14ac:dyDescent="0.2">
      <c r="AE593" t="s">
        <v>1449</v>
      </c>
      <c r="AG593" t="s">
        <v>2045</v>
      </c>
      <c r="AW593" t="s">
        <v>400</v>
      </c>
    </row>
    <row r="594" spans="31:49" x14ac:dyDescent="0.2">
      <c r="AE594" t="s">
        <v>1450</v>
      </c>
      <c r="AG594" t="s">
        <v>2046</v>
      </c>
      <c r="AW594" t="s">
        <v>401</v>
      </c>
    </row>
    <row r="595" spans="31:49" x14ac:dyDescent="0.2">
      <c r="AE595" t="s">
        <v>1451</v>
      </c>
      <c r="AG595" t="s">
        <v>2047</v>
      </c>
      <c r="AW595" t="s">
        <v>402</v>
      </c>
    </row>
    <row r="596" spans="31:49" x14ac:dyDescent="0.2">
      <c r="AE596" t="s">
        <v>1452</v>
      </c>
      <c r="AG596" t="s">
        <v>2048</v>
      </c>
      <c r="AW596" t="s">
        <v>403</v>
      </c>
    </row>
    <row r="597" spans="31:49" x14ac:dyDescent="0.2">
      <c r="AG597" t="s">
        <v>2049</v>
      </c>
      <c r="AW597" t="s">
        <v>404</v>
      </c>
    </row>
    <row r="598" spans="31:49" x14ac:dyDescent="0.2">
      <c r="AG598" t="s">
        <v>2050</v>
      </c>
      <c r="AW598" t="s">
        <v>405</v>
      </c>
    </row>
    <row r="599" spans="31:49" x14ac:dyDescent="0.2">
      <c r="AG599" t="s">
        <v>2051</v>
      </c>
      <c r="AW599" t="s">
        <v>406</v>
      </c>
    </row>
    <row r="600" spans="31:49" x14ac:dyDescent="0.2">
      <c r="AG600" t="s">
        <v>2052</v>
      </c>
      <c r="AW600" t="s">
        <v>407</v>
      </c>
    </row>
    <row r="601" spans="31:49" x14ac:dyDescent="0.2">
      <c r="AG601" t="s">
        <v>2053</v>
      </c>
      <c r="AW601" t="s">
        <v>408</v>
      </c>
    </row>
    <row r="602" spans="31:49" x14ac:dyDescent="0.2">
      <c r="AG602" t="s">
        <v>2054</v>
      </c>
      <c r="AW602" t="s">
        <v>409</v>
      </c>
    </row>
    <row r="603" spans="31:49" x14ac:dyDescent="0.2">
      <c r="AG603" t="s">
        <v>2055</v>
      </c>
      <c r="AW603" t="s">
        <v>410</v>
      </c>
    </row>
    <row r="604" spans="31:49" x14ac:dyDescent="0.2">
      <c r="AG604" t="s">
        <v>2056</v>
      </c>
      <c r="AW604" t="s">
        <v>411</v>
      </c>
    </row>
    <row r="605" spans="31:49" x14ac:dyDescent="0.2">
      <c r="AG605" t="s">
        <v>2057</v>
      </c>
      <c r="AW605" t="s">
        <v>412</v>
      </c>
    </row>
    <row r="606" spans="31:49" x14ac:dyDescent="0.2">
      <c r="AG606" t="s">
        <v>2058</v>
      </c>
      <c r="AW606" t="s">
        <v>413</v>
      </c>
    </row>
    <row r="607" spans="31:49" x14ac:dyDescent="0.2">
      <c r="AG607" t="s">
        <v>2059</v>
      </c>
      <c r="AW607" t="s">
        <v>414</v>
      </c>
    </row>
    <row r="608" spans="31:49" x14ac:dyDescent="0.2">
      <c r="AG608" t="s">
        <v>2060</v>
      </c>
      <c r="AW608" t="s">
        <v>415</v>
      </c>
    </row>
    <row r="609" spans="33:49" x14ac:dyDescent="0.2">
      <c r="AG609" t="s">
        <v>2061</v>
      </c>
      <c r="AW609" t="s">
        <v>416</v>
      </c>
    </row>
    <row r="610" spans="33:49" x14ac:dyDescent="0.2">
      <c r="AG610" t="s">
        <v>2062</v>
      </c>
      <c r="AW610" t="s">
        <v>417</v>
      </c>
    </row>
    <row r="611" spans="33:49" x14ac:dyDescent="0.2">
      <c r="AG611" t="s">
        <v>2063</v>
      </c>
      <c r="AW611" t="s">
        <v>418</v>
      </c>
    </row>
    <row r="612" spans="33:49" x14ac:dyDescent="0.2">
      <c r="AG612" t="s">
        <v>2064</v>
      </c>
      <c r="AW612" t="s">
        <v>419</v>
      </c>
    </row>
    <row r="613" spans="33:49" x14ac:dyDescent="0.2">
      <c r="AG613" t="s">
        <v>2065</v>
      </c>
      <c r="AW613" t="s">
        <v>420</v>
      </c>
    </row>
    <row r="614" spans="33:49" x14ac:dyDescent="0.2">
      <c r="AG614" t="s">
        <v>2066</v>
      </c>
      <c r="AW614" t="s">
        <v>421</v>
      </c>
    </row>
    <row r="615" spans="33:49" x14ac:dyDescent="0.2">
      <c r="AG615" t="s">
        <v>2067</v>
      </c>
      <c r="AW615" t="s">
        <v>422</v>
      </c>
    </row>
    <row r="616" spans="33:49" x14ac:dyDescent="0.2">
      <c r="AG616" t="s">
        <v>2068</v>
      </c>
      <c r="AW616" t="s">
        <v>423</v>
      </c>
    </row>
    <row r="617" spans="33:49" x14ac:dyDescent="0.2">
      <c r="AG617" t="s">
        <v>2069</v>
      </c>
      <c r="AW617" t="s">
        <v>424</v>
      </c>
    </row>
    <row r="618" spans="33:49" x14ac:dyDescent="0.2">
      <c r="AG618" t="s">
        <v>2070</v>
      </c>
      <c r="AW618" t="s">
        <v>425</v>
      </c>
    </row>
    <row r="619" spans="33:49" x14ac:dyDescent="0.2">
      <c r="AG619" t="s">
        <v>2071</v>
      </c>
      <c r="AW619" t="s">
        <v>426</v>
      </c>
    </row>
    <row r="620" spans="33:49" x14ac:dyDescent="0.2">
      <c r="AG620" t="s">
        <v>2072</v>
      </c>
      <c r="AW620" t="s">
        <v>427</v>
      </c>
    </row>
    <row r="621" spans="33:49" x14ac:dyDescent="0.2">
      <c r="AG621" t="s">
        <v>2073</v>
      </c>
      <c r="AW621" t="s">
        <v>428</v>
      </c>
    </row>
    <row r="622" spans="33:49" x14ac:dyDescent="0.2">
      <c r="AG622" t="s">
        <v>2074</v>
      </c>
      <c r="AW622" t="s">
        <v>429</v>
      </c>
    </row>
    <row r="623" spans="33:49" x14ac:dyDescent="0.2">
      <c r="AG623" t="s">
        <v>2075</v>
      </c>
      <c r="AW623" t="s">
        <v>430</v>
      </c>
    </row>
    <row r="624" spans="33:49" x14ac:dyDescent="0.2">
      <c r="AG624" t="s">
        <v>2076</v>
      </c>
      <c r="AW624" t="s">
        <v>431</v>
      </c>
    </row>
    <row r="625" spans="33:49" x14ac:dyDescent="0.2">
      <c r="AG625" t="s">
        <v>2077</v>
      </c>
      <c r="AW625" t="s">
        <v>432</v>
      </c>
    </row>
    <row r="626" spans="33:49" x14ac:dyDescent="0.2">
      <c r="AG626" t="s">
        <v>2078</v>
      </c>
      <c r="AW626" t="s">
        <v>433</v>
      </c>
    </row>
    <row r="627" spans="33:49" x14ac:dyDescent="0.2">
      <c r="AG627" t="s">
        <v>2079</v>
      </c>
      <c r="AW627" t="s">
        <v>434</v>
      </c>
    </row>
    <row r="628" spans="33:49" x14ac:dyDescent="0.2">
      <c r="AG628" t="s">
        <v>2080</v>
      </c>
      <c r="AW628" t="s">
        <v>435</v>
      </c>
    </row>
    <row r="629" spans="33:49" x14ac:dyDescent="0.2">
      <c r="AG629" t="s">
        <v>2081</v>
      </c>
      <c r="AW629" t="s">
        <v>436</v>
      </c>
    </row>
    <row r="630" spans="33:49" x14ac:dyDescent="0.2">
      <c r="AG630" t="s">
        <v>2082</v>
      </c>
      <c r="AW630" t="s">
        <v>437</v>
      </c>
    </row>
    <row r="631" spans="33:49" x14ac:dyDescent="0.2">
      <c r="AG631" t="s">
        <v>2083</v>
      </c>
      <c r="AW631" t="s">
        <v>1247</v>
      </c>
    </row>
    <row r="632" spans="33:49" x14ac:dyDescent="0.2">
      <c r="AG632" t="s">
        <v>2084</v>
      </c>
      <c r="AW632" t="s">
        <v>438</v>
      </c>
    </row>
    <row r="633" spans="33:49" x14ac:dyDescent="0.2">
      <c r="AG633" t="s">
        <v>2085</v>
      </c>
      <c r="AW633" t="s">
        <v>1248</v>
      </c>
    </row>
    <row r="634" spans="33:49" x14ac:dyDescent="0.2">
      <c r="AG634" t="s">
        <v>2086</v>
      </c>
      <c r="AW634" t="s">
        <v>1249</v>
      </c>
    </row>
    <row r="635" spans="33:49" x14ac:dyDescent="0.2">
      <c r="AG635" t="s">
        <v>2087</v>
      </c>
      <c r="AW635" t="s">
        <v>1250</v>
      </c>
    </row>
    <row r="636" spans="33:49" x14ac:dyDescent="0.2">
      <c r="AG636" t="s">
        <v>2088</v>
      </c>
      <c r="AW636" t="s">
        <v>1251</v>
      </c>
    </row>
    <row r="637" spans="33:49" x14ac:dyDescent="0.2">
      <c r="AG637" t="s">
        <v>2089</v>
      </c>
      <c r="AW637" t="s">
        <v>1252</v>
      </c>
    </row>
    <row r="638" spans="33:49" x14ac:dyDescent="0.2">
      <c r="AG638" t="s">
        <v>2090</v>
      </c>
      <c r="AW638" t="s">
        <v>1253</v>
      </c>
    </row>
    <row r="639" spans="33:49" x14ac:dyDescent="0.2">
      <c r="AG639" t="s">
        <v>2091</v>
      </c>
      <c r="AW639" t="s">
        <v>1254</v>
      </c>
    </row>
    <row r="640" spans="33:49" x14ac:dyDescent="0.2">
      <c r="AG640" t="s">
        <v>2092</v>
      </c>
      <c r="AW640" t="s">
        <v>1255</v>
      </c>
    </row>
    <row r="641" spans="33:49" x14ac:dyDescent="0.2">
      <c r="AG641" t="s">
        <v>2093</v>
      </c>
      <c r="AW641" t="s">
        <v>1256</v>
      </c>
    </row>
    <row r="642" spans="33:49" x14ac:dyDescent="0.2">
      <c r="AG642" t="s">
        <v>2094</v>
      </c>
      <c r="AW642" t="s">
        <v>1257</v>
      </c>
    </row>
    <row r="643" spans="33:49" x14ac:dyDescent="0.2">
      <c r="AG643" t="s">
        <v>2095</v>
      </c>
      <c r="AW643" t="s">
        <v>1258</v>
      </c>
    </row>
    <row r="644" spans="33:49" x14ac:dyDescent="0.2">
      <c r="AG644" t="s">
        <v>2096</v>
      </c>
      <c r="AW644" t="s">
        <v>1259</v>
      </c>
    </row>
    <row r="645" spans="33:49" x14ac:dyDescent="0.2">
      <c r="AG645" t="s">
        <v>2097</v>
      </c>
      <c r="AW645" t="s">
        <v>1260</v>
      </c>
    </row>
    <row r="646" spans="33:49" x14ac:dyDescent="0.2">
      <c r="AG646" t="s">
        <v>2098</v>
      </c>
      <c r="AW646" t="s">
        <v>1261</v>
      </c>
    </row>
    <row r="647" spans="33:49" x14ac:dyDescent="0.2">
      <c r="AG647" t="s">
        <v>2099</v>
      </c>
      <c r="AW647" t="s">
        <v>1262</v>
      </c>
    </row>
    <row r="648" spans="33:49" x14ac:dyDescent="0.2">
      <c r="AG648" t="s">
        <v>2100</v>
      </c>
      <c r="AW648" t="s">
        <v>1263</v>
      </c>
    </row>
    <row r="649" spans="33:49" x14ac:dyDescent="0.2">
      <c r="AG649" t="s">
        <v>2101</v>
      </c>
      <c r="AW649" t="s">
        <v>1264</v>
      </c>
    </row>
    <row r="650" spans="33:49" x14ac:dyDescent="0.2">
      <c r="AG650" t="s">
        <v>2102</v>
      </c>
      <c r="AW650" t="s">
        <v>439</v>
      </c>
    </row>
    <row r="651" spans="33:49" x14ac:dyDescent="0.2">
      <c r="AG651" t="s">
        <v>2103</v>
      </c>
      <c r="AW651" t="s">
        <v>440</v>
      </c>
    </row>
    <row r="652" spans="33:49" x14ac:dyDescent="0.2">
      <c r="AG652" t="s">
        <v>2104</v>
      </c>
      <c r="AW652" t="s">
        <v>1265</v>
      </c>
    </row>
    <row r="653" spans="33:49" x14ac:dyDescent="0.2">
      <c r="AG653" t="s">
        <v>2105</v>
      </c>
      <c r="AW653" t="s">
        <v>441</v>
      </c>
    </row>
    <row r="654" spans="33:49" x14ac:dyDescent="0.2">
      <c r="AG654" t="s">
        <v>2106</v>
      </c>
      <c r="AW654" t="s">
        <v>442</v>
      </c>
    </row>
    <row r="655" spans="33:49" x14ac:dyDescent="0.2">
      <c r="AG655" t="s">
        <v>2107</v>
      </c>
      <c r="AW655" t="s">
        <v>443</v>
      </c>
    </row>
    <row r="656" spans="33:49" x14ac:dyDescent="0.2">
      <c r="AG656" t="s">
        <v>2108</v>
      </c>
      <c r="AW656" t="s">
        <v>444</v>
      </c>
    </row>
    <row r="657" spans="33:49" x14ac:dyDescent="0.2">
      <c r="AG657" t="s">
        <v>2109</v>
      </c>
      <c r="AW657" t="s">
        <v>445</v>
      </c>
    </row>
    <row r="658" spans="33:49" x14ac:dyDescent="0.2">
      <c r="AG658" t="s">
        <v>2110</v>
      </c>
      <c r="AW658" t="s">
        <v>446</v>
      </c>
    </row>
    <row r="659" spans="33:49" x14ac:dyDescent="0.2">
      <c r="AG659" t="s">
        <v>2111</v>
      </c>
      <c r="AW659" t="s">
        <v>447</v>
      </c>
    </row>
    <row r="660" spans="33:49" x14ac:dyDescent="0.2">
      <c r="AG660" t="s">
        <v>2112</v>
      </c>
      <c r="AW660" t="s">
        <v>448</v>
      </c>
    </row>
    <row r="661" spans="33:49" x14ac:dyDescent="0.2">
      <c r="AG661" t="s">
        <v>2113</v>
      </c>
      <c r="AW661" t="s">
        <v>449</v>
      </c>
    </row>
    <row r="662" spans="33:49" x14ac:dyDescent="0.2">
      <c r="AG662" t="s">
        <v>2114</v>
      </c>
      <c r="AW662" t="s">
        <v>450</v>
      </c>
    </row>
    <row r="663" spans="33:49" x14ac:dyDescent="0.2">
      <c r="AG663" t="s">
        <v>2115</v>
      </c>
      <c r="AW663" t="s">
        <v>451</v>
      </c>
    </row>
    <row r="664" spans="33:49" x14ac:dyDescent="0.2">
      <c r="AG664" t="s">
        <v>2116</v>
      </c>
      <c r="AW664" t="s">
        <v>452</v>
      </c>
    </row>
    <row r="665" spans="33:49" x14ac:dyDescent="0.2">
      <c r="AG665" t="s">
        <v>2117</v>
      </c>
      <c r="AW665" t="s">
        <v>1266</v>
      </c>
    </row>
    <row r="666" spans="33:49" x14ac:dyDescent="0.2">
      <c r="AG666" t="s">
        <v>2118</v>
      </c>
      <c r="AW666" t="s">
        <v>1267</v>
      </c>
    </row>
    <row r="667" spans="33:49" x14ac:dyDescent="0.2">
      <c r="AG667" t="s">
        <v>2119</v>
      </c>
      <c r="AW667" t="s">
        <v>1268</v>
      </c>
    </row>
    <row r="668" spans="33:49" x14ac:dyDescent="0.2">
      <c r="AG668" t="s">
        <v>2120</v>
      </c>
      <c r="AW668" t="s">
        <v>453</v>
      </c>
    </row>
    <row r="669" spans="33:49" x14ac:dyDescent="0.2">
      <c r="AG669" t="s">
        <v>2121</v>
      </c>
      <c r="AW669" t="s">
        <v>454</v>
      </c>
    </row>
    <row r="670" spans="33:49" x14ac:dyDescent="0.2">
      <c r="AG670" t="s">
        <v>2122</v>
      </c>
      <c r="AW670" t="s">
        <v>455</v>
      </c>
    </row>
    <row r="671" spans="33:49" x14ac:dyDescent="0.2">
      <c r="AG671" t="s">
        <v>2123</v>
      </c>
      <c r="AW671" t="s">
        <v>456</v>
      </c>
    </row>
    <row r="672" spans="33:49" x14ac:dyDescent="0.2">
      <c r="AG672" t="s">
        <v>2124</v>
      </c>
      <c r="AW672" t="s">
        <v>457</v>
      </c>
    </row>
    <row r="673" spans="33:33" x14ac:dyDescent="0.2">
      <c r="AG673" t="s">
        <v>2125</v>
      </c>
    </row>
    <row r="674" spans="33:33" x14ac:dyDescent="0.2">
      <c r="AG674" t="s">
        <v>2126</v>
      </c>
    </row>
    <row r="675" spans="33:33" x14ac:dyDescent="0.2">
      <c r="AG675" t="s">
        <v>2127</v>
      </c>
    </row>
    <row r="676" spans="33:33" x14ac:dyDescent="0.2">
      <c r="AG676" t="s">
        <v>2128</v>
      </c>
    </row>
    <row r="677" spans="33:33" x14ac:dyDescent="0.2">
      <c r="AG677" t="s">
        <v>2129</v>
      </c>
    </row>
    <row r="678" spans="33:33" x14ac:dyDescent="0.2">
      <c r="AG678" t="s">
        <v>2130</v>
      </c>
    </row>
    <row r="679" spans="33:33" x14ac:dyDescent="0.2">
      <c r="AG679" t="s">
        <v>2131</v>
      </c>
    </row>
    <row r="680" spans="33:33" x14ac:dyDescent="0.2">
      <c r="AG680" t="s">
        <v>2132</v>
      </c>
    </row>
    <row r="681" spans="33:33" x14ac:dyDescent="0.2">
      <c r="AG681" t="s">
        <v>2133</v>
      </c>
    </row>
    <row r="682" spans="33:33" x14ac:dyDescent="0.2">
      <c r="AG682" t="s">
        <v>2134</v>
      </c>
    </row>
    <row r="683" spans="33:33" x14ac:dyDescent="0.2">
      <c r="AG683" t="s">
        <v>2135</v>
      </c>
    </row>
    <row r="684" spans="33:33" x14ac:dyDescent="0.2">
      <c r="AG684" t="s">
        <v>2136</v>
      </c>
    </row>
    <row r="685" spans="33:33" x14ac:dyDescent="0.2">
      <c r="AG685" t="s">
        <v>2137</v>
      </c>
    </row>
    <row r="686" spans="33:33" x14ac:dyDescent="0.2">
      <c r="AG686" t="s">
        <v>2138</v>
      </c>
    </row>
    <row r="687" spans="33:33" x14ac:dyDescent="0.2">
      <c r="AG687" t="s">
        <v>2139</v>
      </c>
    </row>
    <row r="688" spans="33:33" x14ac:dyDescent="0.2">
      <c r="AG688" t="s">
        <v>2140</v>
      </c>
    </row>
    <row r="689" spans="33:33" x14ac:dyDescent="0.2">
      <c r="AG689" t="s">
        <v>2141</v>
      </c>
    </row>
    <row r="690" spans="33:33" x14ac:dyDescent="0.2">
      <c r="AG690" t="s">
        <v>2142</v>
      </c>
    </row>
    <row r="691" spans="33:33" x14ac:dyDescent="0.2">
      <c r="AG691" t="s">
        <v>2143</v>
      </c>
    </row>
    <row r="692" spans="33:33" x14ac:dyDescent="0.2">
      <c r="AG692" t="s">
        <v>2144</v>
      </c>
    </row>
    <row r="693" spans="33:33" x14ac:dyDescent="0.2">
      <c r="AG693" t="s">
        <v>2145</v>
      </c>
    </row>
    <row r="694" spans="33:33" x14ac:dyDescent="0.2">
      <c r="AG694" t="s">
        <v>2146</v>
      </c>
    </row>
    <row r="695" spans="33:33" x14ac:dyDescent="0.2">
      <c r="AG695" t="s">
        <v>2147</v>
      </c>
    </row>
    <row r="696" spans="33:33" x14ac:dyDescent="0.2">
      <c r="AG696" t="s">
        <v>2148</v>
      </c>
    </row>
    <row r="697" spans="33:33" x14ac:dyDescent="0.2">
      <c r="AG697" t="s">
        <v>2149</v>
      </c>
    </row>
    <row r="698" spans="33:33" x14ac:dyDescent="0.2">
      <c r="AG698" t="s">
        <v>2150</v>
      </c>
    </row>
    <row r="699" spans="33:33" x14ac:dyDescent="0.2">
      <c r="AG699" t="s">
        <v>2151</v>
      </c>
    </row>
    <row r="700" spans="33:33" x14ac:dyDescent="0.2">
      <c r="AG700" t="s">
        <v>2152</v>
      </c>
    </row>
    <row r="701" spans="33:33" x14ac:dyDescent="0.2">
      <c r="AG701" t="s">
        <v>2153</v>
      </c>
    </row>
    <row r="702" spans="33:33" x14ac:dyDescent="0.2">
      <c r="AG702" t="s">
        <v>2154</v>
      </c>
    </row>
    <row r="703" spans="33:33" x14ac:dyDescent="0.2">
      <c r="AG703" t="s">
        <v>2155</v>
      </c>
    </row>
    <row r="704" spans="33:33" x14ac:dyDescent="0.2">
      <c r="AG704" t="s">
        <v>2156</v>
      </c>
    </row>
    <row r="705" spans="33:33" x14ac:dyDescent="0.2">
      <c r="AG705" t="s">
        <v>2157</v>
      </c>
    </row>
    <row r="706" spans="33:33" x14ac:dyDescent="0.2">
      <c r="AG706" t="s">
        <v>2158</v>
      </c>
    </row>
    <row r="707" spans="33:33" x14ac:dyDescent="0.2">
      <c r="AG707" t="s">
        <v>2159</v>
      </c>
    </row>
    <row r="708" spans="33:33" x14ac:dyDescent="0.2">
      <c r="AG708" t="s">
        <v>2160</v>
      </c>
    </row>
    <row r="709" spans="33:33" x14ac:dyDescent="0.2">
      <c r="AG709" t="s">
        <v>2161</v>
      </c>
    </row>
    <row r="710" spans="33:33" x14ac:dyDescent="0.2">
      <c r="AG710" t="s">
        <v>2162</v>
      </c>
    </row>
    <row r="711" spans="33:33" x14ac:dyDescent="0.2">
      <c r="AG711" t="s">
        <v>2163</v>
      </c>
    </row>
    <row r="712" spans="33:33" x14ac:dyDescent="0.2">
      <c r="AG712" t="s">
        <v>2164</v>
      </c>
    </row>
    <row r="713" spans="33:33" x14ac:dyDescent="0.2">
      <c r="AG713" t="s">
        <v>2165</v>
      </c>
    </row>
    <row r="714" spans="33:33" x14ac:dyDescent="0.2">
      <c r="AG714" t="s">
        <v>2166</v>
      </c>
    </row>
    <row r="715" spans="33:33" x14ac:dyDescent="0.2">
      <c r="AG715" t="s">
        <v>2167</v>
      </c>
    </row>
    <row r="716" spans="33:33" x14ac:dyDescent="0.2">
      <c r="AG716" t="s">
        <v>2168</v>
      </c>
    </row>
    <row r="717" spans="33:33" x14ac:dyDescent="0.2">
      <c r="AG717" t="s">
        <v>2169</v>
      </c>
    </row>
    <row r="718" spans="33:33" x14ac:dyDescent="0.2">
      <c r="AG718" t="s">
        <v>2170</v>
      </c>
    </row>
    <row r="719" spans="33:33" x14ac:dyDescent="0.2">
      <c r="AG719" t="s">
        <v>2171</v>
      </c>
    </row>
    <row r="720" spans="33:33" x14ac:dyDescent="0.2">
      <c r="AG720" t="s">
        <v>2172</v>
      </c>
    </row>
    <row r="721" spans="33:33" x14ac:dyDescent="0.2">
      <c r="AG721" t="s">
        <v>2173</v>
      </c>
    </row>
    <row r="722" spans="33:33" x14ac:dyDescent="0.2">
      <c r="AG722" t="s">
        <v>2174</v>
      </c>
    </row>
    <row r="723" spans="33:33" x14ac:dyDescent="0.2">
      <c r="AG723" t="s">
        <v>2175</v>
      </c>
    </row>
    <row r="724" spans="33:33" x14ac:dyDescent="0.2">
      <c r="AG724" t="s">
        <v>2176</v>
      </c>
    </row>
    <row r="725" spans="33:33" x14ac:dyDescent="0.2">
      <c r="AG725" t="s">
        <v>2177</v>
      </c>
    </row>
    <row r="726" spans="33:33" x14ac:dyDescent="0.2">
      <c r="AG726" t="s">
        <v>2178</v>
      </c>
    </row>
    <row r="727" spans="33:33" x14ac:dyDescent="0.2">
      <c r="AG727" t="s">
        <v>2179</v>
      </c>
    </row>
    <row r="728" spans="33:33" x14ac:dyDescent="0.2">
      <c r="AG728" t="s">
        <v>2180</v>
      </c>
    </row>
    <row r="729" spans="33:33" x14ac:dyDescent="0.2">
      <c r="AG729" t="s">
        <v>2181</v>
      </c>
    </row>
    <row r="730" spans="33:33" x14ac:dyDescent="0.2">
      <c r="AG730" t="s">
        <v>2182</v>
      </c>
    </row>
    <row r="731" spans="33:33" x14ac:dyDescent="0.2">
      <c r="AG731" t="s">
        <v>2183</v>
      </c>
    </row>
    <row r="732" spans="33:33" x14ac:dyDescent="0.2">
      <c r="AG732" t="s">
        <v>2184</v>
      </c>
    </row>
    <row r="733" spans="33:33" x14ac:dyDescent="0.2">
      <c r="AG733" t="s">
        <v>2185</v>
      </c>
    </row>
    <row r="734" spans="33:33" x14ac:dyDescent="0.2">
      <c r="AG734" t="s">
        <v>2186</v>
      </c>
    </row>
    <row r="735" spans="33:33" x14ac:dyDescent="0.2">
      <c r="AG735" t="s">
        <v>2187</v>
      </c>
    </row>
    <row r="736" spans="33:33" x14ac:dyDescent="0.2">
      <c r="AG736" t="s">
        <v>2188</v>
      </c>
    </row>
    <row r="737" spans="33:33" x14ac:dyDescent="0.2">
      <c r="AG737" t="s">
        <v>2189</v>
      </c>
    </row>
    <row r="738" spans="33:33" x14ac:dyDescent="0.2">
      <c r="AG738" t="s">
        <v>2190</v>
      </c>
    </row>
    <row r="739" spans="33:33" x14ac:dyDescent="0.2">
      <c r="AG739" t="s">
        <v>2191</v>
      </c>
    </row>
    <row r="740" spans="33:33" x14ac:dyDescent="0.2">
      <c r="AG740" t="s">
        <v>2192</v>
      </c>
    </row>
    <row r="741" spans="33:33" x14ac:dyDescent="0.2">
      <c r="AG741" t="s">
        <v>2193</v>
      </c>
    </row>
    <row r="742" spans="33:33" x14ac:dyDescent="0.2">
      <c r="AG742" t="s">
        <v>1269</v>
      </c>
    </row>
    <row r="743" spans="33:33" x14ac:dyDescent="0.2">
      <c r="AG743" t="s">
        <v>2195</v>
      </c>
    </row>
    <row r="744" spans="33:33" x14ac:dyDescent="0.2">
      <c r="AG744" t="s">
        <v>2196</v>
      </c>
    </row>
    <row r="745" spans="33:33" x14ac:dyDescent="0.2">
      <c r="AG745" t="s">
        <v>2197</v>
      </c>
    </row>
    <row r="746" spans="33:33" x14ac:dyDescent="0.2">
      <c r="AG746" t="s">
        <v>2198</v>
      </c>
    </row>
    <row r="747" spans="33:33" x14ac:dyDescent="0.2">
      <c r="AG747" t="s">
        <v>2199</v>
      </c>
    </row>
    <row r="748" spans="33:33" x14ac:dyDescent="0.2">
      <c r="AG748" t="s">
        <v>1270</v>
      </c>
    </row>
    <row r="749" spans="33:33" x14ac:dyDescent="0.2">
      <c r="AG749" t="s">
        <v>2201</v>
      </c>
    </row>
    <row r="750" spans="33:33" x14ac:dyDescent="0.2">
      <c r="AG750" t="s">
        <v>2202</v>
      </c>
    </row>
    <row r="751" spans="33:33" x14ac:dyDescent="0.2">
      <c r="AG751" t="s">
        <v>2203</v>
      </c>
    </row>
    <row r="752" spans="33:33" x14ac:dyDescent="0.2">
      <c r="AG752" t="s">
        <v>2204</v>
      </c>
    </row>
    <row r="753" spans="33:33" x14ac:dyDescent="0.2">
      <c r="AG753" t="s">
        <v>2205</v>
      </c>
    </row>
    <row r="754" spans="33:33" x14ac:dyDescent="0.2">
      <c r="AG754" t="s">
        <v>2206</v>
      </c>
    </row>
    <row r="755" spans="33:33" x14ac:dyDescent="0.2">
      <c r="AG755" t="s">
        <v>2207</v>
      </c>
    </row>
    <row r="756" spans="33:33" x14ac:dyDescent="0.2">
      <c r="AG756" t="s">
        <v>2208</v>
      </c>
    </row>
    <row r="757" spans="33:33" x14ac:dyDescent="0.2">
      <c r="AG757" t="s">
        <v>2209</v>
      </c>
    </row>
    <row r="758" spans="33:33" x14ac:dyDescent="0.2">
      <c r="AG758" t="s">
        <v>2210</v>
      </c>
    </row>
    <row r="759" spans="33:33" x14ac:dyDescent="0.2">
      <c r="AG759" t="s">
        <v>2211</v>
      </c>
    </row>
    <row r="760" spans="33:33" x14ac:dyDescent="0.2">
      <c r="AG760" t="s">
        <v>2212</v>
      </c>
    </row>
    <row r="761" spans="33:33" x14ac:dyDescent="0.2">
      <c r="AG761" t="s">
        <v>1271</v>
      </c>
    </row>
    <row r="762" spans="33:33" x14ac:dyDescent="0.2">
      <c r="AG762" t="s">
        <v>1272</v>
      </c>
    </row>
    <row r="763" spans="33:33" x14ac:dyDescent="0.2">
      <c r="AG763" t="s">
        <v>2215</v>
      </c>
    </row>
    <row r="764" spans="33:33" x14ac:dyDescent="0.2">
      <c r="AG764" t="s">
        <v>2216</v>
      </c>
    </row>
    <row r="765" spans="33:33" x14ac:dyDescent="0.2">
      <c r="AG765" t="s">
        <v>2217</v>
      </c>
    </row>
    <row r="766" spans="33:33" x14ac:dyDescent="0.2">
      <c r="AG766" t="s">
        <v>2218</v>
      </c>
    </row>
    <row r="767" spans="33:33" x14ac:dyDescent="0.2">
      <c r="AG767" t="s">
        <v>2219</v>
      </c>
    </row>
    <row r="768" spans="33:33" x14ac:dyDescent="0.2">
      <c r="AG768" t="s">
        <v>2220</v>
      </c>
    </row>
    <row r="769" spans="33:33" x14ac:dyDescent="0.2">
      <c r="AG769" t="s">
        <v>2221</v>
      </c>
    </row>
    <row r="770" spans="33:33" x14ac:dyDescent="0.2">
      <c r="AG770" t="s">
        <v>2222</v>
      </c>
    </row>
    <row r="771" spans="33:33" x14ac:dyDescent="0.2">
      <c r="AG771" t="s">
        <v>2223</v>
      </c>
    </row>
    <row r="772" spans="33:33" x14ac:dyDescent="0.2">
      <c r="AG772" t="s">
        <v>2224</v>
      </c>
    </row>
    <row r="773" spans="33:33" x14ac:dyDescent="0.2">
      <c r="AG773" t="s">
        <v>2225</v>
      </c>
    </row>
    <row r="774" spans="33:33" x14ac:dyDescent="0.2">
      <c r="AG774" t="s">
        <v>2226</v>
      </c>
    </row>
    <row r="775" spans="33:33" x14ac:dyDescent="0.2">
      <c r="AG775" t="s">
        <v>2227</v>
      </c>
    </row>
    <row r="776" spans="33:33" x14ac:dyDescent="0.2">
      <c r="AG776" t="s">
        <v>2228</v>
      </c>
    </row>
    <row r="777" spans="33:33" x14ac:dyDescent="0.2">
      <c r="AG777" t="s">
        <v>2229</v>
      </c>
    </row>
    <row r="778" spans="33:33" x14ac:dyDescent="0.2">
      <c r="AG778" t="s">
        <v>2230</v>
      </c>
    </row>
    <row r="779" spans="33:33" x14ac:dyDescent="0.2">
      <c r="AG779" t="s">
        <v>2231</v>
      </c>
    </row>
    <row r="780" spans="33:33" x14ac:dyDescent="0.2">
      <c r="AG780" t="s">
        <v>2232</v>
      </c>
    </row>
    <row r="781" spans="33:33" x14ac:dyDescent="0.2">
      <c r="AG781" t="s">
        <v>2233</v>
      </c>
    </row>
    <row r="782" spans="33:33" x14ac:dyDescent="0.2">
      <c r="AG782" t="s">
        <v>2234</v>
      </c>
    </row>
    <row r="783" spans="33:33" x14ac:dyDescent="0.2">
      <c r="AG783" t="s">
        <v>2235</v>
      </c>
    </row>
    <row r="784" spans="33:33" x14ac:dyDescent="0.2">
      <c r="AG784" t="s">
        <v>2236</v>
      </c>
    </row>
    <row r="785" spans="33:33" x14ac:dyDescent="0.2">
      <c r="AG785" t="s">
        <v>2237</v>
      </c>
    </row>
    <row r="786" spans="33:33" x14ac:dyDescent="0.2">
      <c r="AG786" t="s">
        <v>2238</v>
      </c>
    </row>
    <row r="787" spans="33:33" x14ac:dyDescent="0.2">
      <c r="AG787" t="s">
        <v>2239</v>
      </c>
    </row>
    <row r="788" spans="33:33" x14ac:dyDescent="0.2">
      <c r="AG788" t="s">
        <v>2240</v>
      </c>
    </row>
    <row r="789" spans="33:33" x14ac:dyDescent="0.2">
      <c r="AG789" t="s">
        <v>2241</v>
      </c>
    </row>
    <row r="790" spans="33:33" x14ac:dyDescent="0.2">
      <c r="AG790" t="s">
        <v>2242</v>
      </c>
    </row>
    <row r="791" spans="33:33" x14ac:dyDescent="0.2">
      <c r="AG791" t="s">
        <v>2243</v>
      </c>
    </row>
    <row r="792" spans="33:33" x14ac:dyDescent="0.2">
      <c r="AG792" t="s">
        <v>2244</v>
      </c>
    </row>
    <row r="793" spans="33:33" x14ac:dyDescent="0.2">
      <c r="AG793" t="s">
        <v>2245</v>
      </c>
    </row>
    <row r="794" spans="33:33" x14ac:dyDescent="0.2">
      <c r="AG794" t="s">
        <v>2246</v>
      </c>
    </row>
    <row r="795" spans="33:33" x14ac:dyDescent="0.2">
      <c r="AG795" t="s">
        <v>2247</v>
      </c>
    </row>
    <row r="796" spans="33:33" x14ac:dyDescent="0.2">
      <c r="AG796" t="s">
        <v>2248</v>
      </c>
    </row>
    <row r="797" spans="33:33" x14ac:dyDescent="0.2">
      <c r="AG797" t="s">
        <v>2249</v>
      </c>
    </row>
    <row r="798" spans="33:33" x14ac:dyDescent="0.2">
      <c r="AG798" t="s">
        <v>2250</v>
      </c>
    </row>
    <row r="799" spans="33:33" x14ac:dyDescent="0.2">
      <c r="AG799" t="s">
        <v>2251</v>
      </c>
    </row>
    <row r="800" spans="33:33" x14ac:dyDescent="0.2">
      <c r="AG800" t="s">
        <v>2252</v>
      </c>
    </row>
    <row r="801" spans="33:33" x14ac:dyDescent="0.2">
      <c r="AG801" t="s">
        <v>2253</v>
      </c>
    </row>
    <row r="802" spans="33:33" x14ac:dyDescent="0.2">
      <c r="AG802" t="s">
        <v>2254</v>
      </c>
    </row>
    <row r="803" spans="33:33" x14ac:dyDescent="0.2">
      <c r="AG803" t="s">
        <v>2255</v>
      </c>
    </row>
    <row r="804" spans="33:33" x14ac:dyDescent="0.2">
      <c r="AG804" t="s">
        <v>2256</v>
      </c>
    </row>
    <row r="805" spans="33:33" x14ac:dyDescent="0.2">
      <c r="AG805" t="s">
        <v>2257</v>
      </c>
    </row>
    <row r="806" spans="33:33" x14ac:dyDescent="0.2">
      <c r="AG806" t="s">
        <v>2258</v>
      </c>
    </row>
    <row r="807" spans="33:33" x14ac:dyDescent="0.2">
      <c r="AG807" t="s">
        <v>2259</v>
      </c>
    </row>
    <row r="808" spans="33:33" x14ac:dyDescent="0.2">
      <c r="AG808" t="s">
        <v>2260</v>
      </c>
    </row>
    <row r="809" spans="33:33" x14ac:dyDescent="0.2">
      <c r="AG809" t="s">
        <v>2261</v>
      </c>
    </row>
    <row r="810" spans="33:33" x14ac:dyDescent="0.2">
      <c r="AG810" t="s">
        <v>2262</v>
      </c>
    </row>
    <row r="811" spans="33:33" x14ac:dyDescent="0.2">
      <c r="AG811" t="s">
        <v>2263</v>
      </c>
    </row>
    <row r="812" spans="33:33" x14ac:dyDescent="0.2">
      <c r="AG812" t="s">
        <v>2264</v>
      </c>
    </row>
    <row r="813" spans="33:33" x14ac:dyDescent="0.2">
      <c r="AG813" t="s">
        <v>2265</v>
      </c>
    </row>
    <row r="814" spans="33:33" x14ac:dyDescent="0.2">
      <c r="AG814" t="s">
        <v>2266</v>
      </c>
    </row>
    <row r="815" spans="33:33" x14ac:dyDescent="0.2">
      <c r="AG815" t="s">
        <v>2267</v>
      </c>
    </row>
    <row r="816" spans="33:33" x14ac:dyDescent="0.2">
      <c r="AG816" t="s">
        <v>2268</v>
      </c>
    </row>
    <row r="817" spans="33:33" x14ac:dyDescent="0.2">
      <c r="AG817" t="s">
        <v>2269</v>
      </c>
    </row>
    <row r="818" spans="33:33" x14ac:dyDescent="0.2">
      <c r="AG818" t="s">
        <v>2270</v>
      </c>
    </row>
    <row r="819" spans="33:33" x14ac:dyDescent="0.2">
      <c r="AG819" t="s">
        <v>2271</v>
      </c>
    </row>
    <row r="820" spans="33:33" x14ac:dyDescent="0.2">
      <c r="AG820" t="s">
        <v>2272</v>
      </c>
    </row>
    <row r="821" spans="33:33" x14ac:dyDescent="0.2">
      <c r="AG821" t="s">
        <v>2273</v>
      </c>
    </row>
    <row r="822" spans="33:33" x14ac:dyDescent="0.2">
      <c r="AG822" t="s">
        <v>2274</v>
      </c>
    </row>
    <row r="823" spans="33:33" x14ac:dyDescent="0.2">
      <c r="AG823" t="s">
        <v>2275</v>
      </c>
    </row>
    <row r="824" spans="33:33" x14ac:dyDescent="0.2">
      <c r="AG824" t="s">
        <v>2276</v>
      </c>
    </row>
    <row r="825" spans="33:33" x14ac:dyDescent="0.2">
      <c r="AG825" t="s">
        <v>2277</v>
      </c>
    </row>
    <row r="826" spans="33:33" x14ac:dyDescent="0.2">
      <c r="AG826" t="s">
        <v>2278</v>
      </c>
    </row>
    <row r="827" spans="33:33" x14ac:dyDescent="0.2">
      <c r="AG827" t="s">
        <v>2279</v>
      </c>
    </row>
    <row r="828" spans="33:33" x14ac:dyDescent="0.2">
      <c r="AG828" t="s">
        <v>2280</v>
      </c>
    </row>
    <row r="829" spans="33:33" x14ac:dyDescent="0.2">
      <c r="AG829" t="s">
        <v>2281</v>
      </c>
    </row>
    <row r="830" spans="33:33" x14ac:dyDescent="0.2">
      <c r="AG830" t="s">
        <v>2282</v>
      </c>
    </row>
    <row r="831" spans="33:33" x14ac:dyDescent="0.2">
      <c r="AG831" t="s">
        <v>2283</v>
      </c>
    </row>
    <row r="832" spans="33:33" x14ac:dyDescent="0.2">
      <c r="AG832" t="s">
        <v>2284</v>
      </c>
    </row>
    <row r="833" spans="33:33" x14ac:dyDescent="0.2">
      <c r="AG833" t="s">
        <v>2285</v>
      </c>
    </row>
    <row r="834" spans="33:33" x14ac:dyDescent="0.2">
      <c r="AG834" t="s">
        <v>2286</v>
      </c>
    </row>
    <row r="835" spans="33:33" x14ac:dyDescent="0.2">
      <c r="AG835" t="s">
        <v>2287</v>
      </c>
    </row>
    <row r="836" spans="33:33" x14ac:dyDescent="0.2">
      <c r="AG836" t="s">
        <v>2288</v>
      </c>
    </row>
    <row r="837" spans="33:33" x14ac:dyDescent="0.2">
      <c r="AG837" t="s">
        <v>2289</v>
      </c>
    </row>
    <row r="838" spans="33:33" x14ac:dyDescent="0.2">
      <c r="AG838" t="s">
        <v>2290</v>
      </c>
    </row>
    <row r="839" spans="33:33" x14ac:dyDescent="0.2">
      <c r="AG839" t="s">
        <v>2291</v>
      </c>
    </row>
    <row r="840" spans="33:33" x14ac:dyDescent="0.2">
      <c r="AG840" t="s">
        <v>2292</v>
      </c>
    </row>
    <row r="841" spans="33:33" x14ac:dyDescent="0.2">
      <c r="AG841" t="s">
        <v>2293</v>
      </c>
    </row>
    <row r="842" spans="33:33" x14ac:dyDescent="0.2">
      <c r="AG842" t="s">
        <v>2294</v>
      </c>
    </row>
    <row r="843" spans="33:33" x14ac:dyDescent="0.2">
      <c r="AG843" t="s">
        <v>2295</v>
      </c>
    </row>
    <row r="844" spans="33:33" x14ac:dyDescent="0.2">
      <c r="AG844" t="s">
        <v>2296</v>
      </c>
    </row>
    <row r="845" spans="33:33" x14ac:dyDescent="0.2">
      <c r="AG845" t="s">
        <v>2297</v>
      </c>
    </row>
    <row r="846" spans="33:33" x14ac:dyDescent="0.2">
      <c r="AG846" t="s">
        <v>2298</v>
      </c>
    </row>
    <row r="847" spans="33:33" x14ac:dyDescent="0.2">
      <c r="AG847" t="s">
        <v>2299</v>
      </c>
    </row>
    <row r="848" spans="33:33" x14ac:dyDescent="0.2">
      <c r="AG848" t="s">
        <v>2300</v>
      </c>
    </row>
    <row r="849" spans="33:33" x14ac:dyDescent="0.2">
      <c r="AG849" t="s">
        <v>2301</v>
      </c>
    </row>
    <row r="850" spans="33:33" x14ac:dyDescent="0.2">
      <c r="AG850" t="s">
        <v>2302</v>
      </c>
    </row>
    <row r="851" spans="33:33" x14ac:dyDescent="0.2">
      <c r="AG851" t="s">
        <v>2303</v>
      </c>
    </row>
    <row r="852" spans="33:33" x14ac:dyDescent="0.2">
      <c r="AG852" t="s">
        <v>2304</v>
      </c>
    </row>
    <row r="853" spans="33:33" x14ac:dyDescent="0.2">
      <c r="AG853" t="s">
        <v>2305</v>
      </c>
    </row>
    <row r="854" spans="33:33" x14ac:dyDescent="0.2">
      <c r="AG854" t="s">
        <v>2306</v>
      </c>
    </row>
    <row r="855" spans="33:33" x14ac:dyDescent="0.2">
      <c r="AG855" t="s">
        <v>2307</v>
      </c>
    </row>
    <row r="856" spans="33:33" x14ac:dyDescent="0.2">
      <c r="AG856" t="s">
        <v>2308</v>
      </c>
    </row>
    <row r="857" spans="33:33" x14ac:dyDescent="0.2">
      <c r="AG857" t="s">
        <v>2309</v>
      </c>
    </row>
    <row r="858" spans="33:33" x14ac:dyDescent="0.2">
      <c r="AG858" t="s">
        <v>2310</v>
      </c>
    </row>
    <row r="859" spans="33:33" x14ac:dyDescent="0.2">
      <c r="AG859" t="s">
        <v>2311</v>
      </c>
    </row>
    <row r="860" spans="33:33" x14ac:dyDescent="0.2">
      <c r="AG860" t="s">
        <v>2312</v>
      </c>
    </row>
    <row r="861" spans="33:33" x14ac:dyDescent="0.2">
      <c r="AG861" t="s">
        <v>2313</v>
      </c>
    </row>
    <row r="862" spans="33:33" x14ac:dyDescent="0.2">
      <c r="AG862" t="s">
        <v>2314</v>
      </c>
    </row>
    <row r="863" spans="33:33" x14ac:dyDescent="0.2">
      <c r="AG863" t="s">
        <v>2315</v>
      </c>
    </row>
    <row r="864" spans="33:33" x14ac:dyDescent="0.2">
      <c r="AG864" t="s">
        <v>2316</v>
      </c>
    </row>
    <row r="865" spans="33:33" x14ac:dyDescent="0.2">
      <c r="AG865" t="s">
        <v>2317</v>
      </c>
    </row>
    <row r="866" spans="33:33" x14ac:dyDescent="0.2">
      <c r="AG866" t="s">
        <v>2318</v>
      </c>
    </row>
    <row r="867" spans="33:33" x14ac:dyDescent="0.2">
      <c r="AG867" t="s">
        <v>2319</v>
      </c>
    </row>
    <row r="868" spans="33:33" x14ac:dyDescent="0.2">
      <c r="AG868" t="s">
        <v>2320</v>
      </c>
    </row>
    <row r="869" spans="33:33" x14ac:dyDescent="0.2">
      <c r="AG869" t="s">
        <v>2321</v>
      </c>
    </row>
    <row r="870" spans="33:33" x14ac:dyDescent="0.2">
      <c r="AG870" t="s">
        <v>2322</v>
      </c>
    </row>
    <row r="871" spans="33:33" x14ac:dyDescent="0.2">
      <c r="AG871" t="s">
        <v>2323</v>
      </c>
    </row>
    <row r="872" spans="33:33" x14ac:dyDescent="0.2">
      <c r="AG872" t="s">
        <v>2324</v>
      </c>
    </row>
    <row r="873" spans="33:33" x14ac:dyDescent="0.2">
      <c r="AG873" t="s">
        <v>2325</v>
      </c>
    </row>
    <row r="874" spans="33:33" x14ac:dyDescent="0.2">
      <c r="AG874" t="s">
        <v>2326</v>
      </c>
    </row>
    <row r="875" spans="33:33" x14ac:dyDescent="0.2">
      <c r="AG875" t="s">
        <v>2327</v>
      </c>
    </row>
    <row r="876" spans="33:33" x14ac:dyDescent="0.2">
      <c r="AG876" t="s">
        <v>2328</v>
      </c>
    </row>
    <row r="877" spans="33:33" x14ac:dyDescent="0.2">
      <c r="AG877" t="s">
        <v>2329</v>
      </c>
    </row>
    <row r="878" spans="33:33" x14ac:dyDescent="0.2">
      <c r="AG878" t="s">
        <v>2330</v>
      </c>
    </row>
    <row r="879" spans="33:33" x14ac:dyDescent="0.2">
      <c r="AG879" t="s">
        <v>2331</v>
      </c>
    </row>
    <row r="880" spans="33:33" x14ac:dyDescent="0.2">
      <c r="AG880" t="s">
        <v>2332</v>
      </c>
    </row>
    <row r="881" spans="33:33" x14ac:dyDescent="0.2">
      <c r="AG881" t="s">
        <v>2333</v>
      </c>
    </row>
    <row r="882" spans="33:33" x14ac:dyDescent="0.2">
      <c r="AG882" t="s">
        <v>2334</v>
      </c>
    </row>
    <row r="883" spans="33:33" x14ac:dyDescent="0.2">
      <c r="AG883" t="s">
        <v>2335</v>
      </c>
    </row>
    <row r="884" spans="33:33" x14ac:dyDescent="0.2">
      <c r="AG884" t="s">
        <v>2336</v>
      </c>
    </row>
    <row r="885" spans="33:33" x14ac:dyDescent="0.2">
      <c r="AG885" t="s">
        <v>2337</v>
      </c>
    </row>
    <row r="886" spans="33:33" x14ac:dyDescent="0.2">
      <c r="AG886" t="s">
        <v>2338</v>
      </c>
    </row>
    <row r="887" spans="33:33" x14ac:dyDescent="0.2">
      <c r="AG887" t="s">
        <v>2339</v>
      </c>
    </row>
    <row r="888" spans="33:33" x14ac:dyDescent="0.2">
      <c r="AG888" t="s">
        <v>2340</v>
      </c>
    </row>
    <row r="889" spans="33:33" x14ac:dyDescent="0.2">
      <c r="AG889" t="s">
        <v>2341</v>
      </c>
    </row>
    <row r="890" spans="33:33" x14ac:dyDescent="0.2">
      <c r="AG890" t="s">
        <v>2342</v>
      </c>
    </row>
    <row r="891" spans="33:33" x14ac:dyDescent="0.2">
      <c r="AG891" t="s">
        <v>2343</v>
      </c>
    </row>
  </sheetData>
  <phoneticPr fontId="2" type="noConversion"/>
  <pageMargins left="0.75" right="0.75" top="1" bottom="1" header="0.5" footer="0.5"/>
  <pageSetup orientation="portrait" horizontalDpi="0" verticalDpi="0"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S163"/>
  <sheetViews>
    <sheetView topLeftCell="A25" zoomScaleNormal="100" workbookViewId="0">
      <selection activeCell="A2" sqref="A2:C7"/>
    </sheetView>
  </sheetViews>
  <sheetFormatPr defaultColWidth="9.140625" defaultRowHeight="12.75" x14ac:dyDescent="0.2"/>
  <cols>
    <col min="1" max="1" width="10.7109375" style="108" customWidth="1"/>
    <col min="2" max="2" width="80.42578125" style="108" customWidth="1"/>
    <col min="3" max="3" width="35.28515625" style="117" bestFit="1" customWidth="1"/>
    <col min="4" max="17" width="9.140625" style="108"/>
    <col min="18" max="18" width="21" style="108" bestFit="1" customWidth="1"/>
    <col min="19" max="16384" width="9.140625" style="108"/>
  </cols>
  <sheetData>
    <row r="1" spans="1:19" ht="69.95" customHeight="1" thickBot="1" x14ac:dyDescent="0.25">
      <c r="A1" s="668" t="s">
        <v>4183</v>
      </c>
      <c r="B1" s="669"/>
      <c r="C1" s="670"/>
    </row>
    <row r="2" spans="1:19" ht="12.75" customHeight="1" x14ac:dyDescent="0.2">
      <c r="A2" s="671" t="s">
        <v>460</v>
      </c>
      <c r="B2" s="672"/>
      <c r="C2" s="673"/>
    </row>
    <row r="3" spans="1:19" x14ac:dyDescent="0.2">
      <c r="A3" s="674"/>
      <c r="B3" s="675"/>
      <c r="C3" s="676"/>
      <c r="R3" s="125" t="s">
        <v>1273</v>
      </c>
      <c r="S3" s="108" t="s">
        <v>577</v>
      </c>
    </row>
    <row r="4" spans="1:19" x14ac:dyDescent="0.2">
      <c r="A4" s="674"/>
      <c r="B4" s="675"/>
      <c r="C4" s="676"/>
      <c r="R4" s="125" t="s">
        <v>1274</v>
      </c>
      <c r="S4" s="108" t="s">
        <v>578</v>
      </c>
    </row>
    <row r="5" spans="1:19" x14ac:dyDescent="0.2">
      <c r="A5" s="674"/>
      <c r="B5" s="675"/>
      <c r="C5" s="676"/>
      <c r="R5" s="125" t="s">
        <v>1275</v>
      </c>
    </row>
    <row r="6" spans="1:19" x14ac:dyDescent="0.2">
      <c r="A6" s="674"/>
      <c r="B6" s="675"/>
      <c r="C6" s="676"/>
      <c r="R6" t="s">
        <v>1276</v>
      </c>
    </row>
    <row r="7" spans="1:19" ht="13.5" thickBot="1" x14ac:dyDescent="0.25">
      <c r="A7" s="677"/>
      <c r="B7" s="678"/>
      <c r="C7" s="679"/>
      <c r="R7" t="s">
        <v>1277</v>
      </c>
    </row>
    <row r="8" spans="1:19" ht="13.7" customHeight="1" thickBot="1" x14ac:dyDescent="0.3">
      <c r="A8" s="680"/>
      <c r="B8" s="680"/>
      <c r="C8" s="680"/>
      <c r="D8" s="109"/>
      <c r="E8" s="110"/>
      <c r="F8" s="110"/>
      <c r="G8" s="110"/>
      <c r="H8" s="110"/>
      <c r="I8" s="110"/>
      <c r="J8" s="110"/>
      <c r="R8" t="s">
        <v>1278</v>
      </c>
    </row>
    <row r="9" spans="1:19" s="110" customFormat="1" ht="15" customHeight="1" x14ac:dyDescent="0.25">
      <c r="A9" s="126"/>
      <c r="B9" s="127"/>
      <c r="C9" s="111"/>
      <c r="D9" s="109"/>
      <c r="R9" t="s">
        <v>1279</v>
      </c>
    </row>
    <row r="10" spans="1:19" s="112" customFormat="1" ht="18" customHeight="1" x14ac:dyDescent="0.2">
      <c r="A10" s="651"/>
      <c r="B10" s="128" t="s">
        <v>461</v>
      </c>
      <c r="C10" s="134" t="str">
        <f>IF(Form!S25="","",Form!S25)</f>
        <v/>
      </c>
      <c r="R10" t="s">
        <v>1280</v>
      </c>
    </row>
    <row r="11" spans="1:19" s="112" customFormat="1" ht="18" customHeight="1" x14ac:dyDescent="0.2">
      <c r="A11" s="652"/>
      <c r="B11" s="128" t="s">
        <v>462</v>
      </c>
      <c r="C11" s="134" t="str">
        <f>IF(Form!AE25="","",Form!AE25)</f>
        <v/>
      </c>
      <c r="R11" t="s">
        <v>1281</v>
      </c>
    </row>
    <row r="12" spans="1:19" s="112" customFormat="1" ht="18" customHeight="1" x14ac:dyDescent="0.2">
      <c r="A12" s="652"/>
      <c r="B12" s="128" t="s">
        <v>463</v>
      </c>
      <c r="C12" s="115" t="str">
        <f>IF(Form!H25="","",Form!H25)</f>
        <v/>
      </c>
    </row>
    <row r="13" spans="1:19" s="112" customFormat="1" ht="18" customHeight="1" x14ac:dyDescent="0.2">
      <c r="A13" s="652"/>
      <c r="B13" s="128" t="s">
        <v>464</v>
      </c>
      <c r="C13" s="135" t="str">
        <f>IF(Form!H26="","",Form!H26)</f>
        <v/>
      </c>
    </row>
    <row r="14" spans="1:19" s="112" customFormat="1" ht="18" customHeight="1" x14ac:dyDescent="0.2">
      <c r="A14" s="652"/>
      <c r="B14" s="129" t="s">
        <v>465</v>
      </c>
      <c r="C14" s="115"/>
    </row>
    <row r="15" spans="1:19" s="112" customFormat="1" ht="18" customHeight="1" x14ac:dyDescent="0.2">
      <c r="A15" s="652"/>
      <c r="B15" s="129" t="s">
        <v>466</v>
      </c>
      <c r="C15" s="115"/>
    </row>
    <row r="16" spans="1:19" s="112" customFormat="1" ht="18" customHeight="1" x14ac:dyDescent="0.2">
      <c r="A16" s="652"/>
      <c r="B16" s="128" t="s">
        <v>467</v>
      </c>
      <c r="C16" s="115"/>
    </row>
    <row r="17" spans="1:3" s="112" customFormat="1" ht="18" customHeight="1" x14ac:dyDescent="0.2">
      <c r="A17" s="652"/>
      <c r="B17" s="129" t="s">
        <v>468</v>
      </c>
      <c r="C17" s="115"/>
    </row>
    <row r="18" spans="1:3" s="112" customFormat="1" ht="18" customHeight="1" x14ac:dyDescent="0.2">
      <c r="A18" s="652"/>
      <c r="B18" s="129" t="s">
        <v>469</v>
      </c>
      <c r="C18" s="135"/>
    </row>
    <row r="19" spans="1:3" s="112" customFormat="1" ht="18" customHeight="1" x14ac:dyDescent="0.2">
      <c r="A19" s="652"/>
      <c r="B19" s="129" t="s">
        <v>470</v>
      </c>
      <c r="C19" s="135"/>
    </row>
    <row r="20" spans="1:3" s="112" customFormat="1" ht="35.25" customHeight="1" x14ac:dyDescent="0.2">
      <c r="A20" s="664"/>
      <c r="B20" s="157" t="s">
        <v>471</v>
      </c>
      <c r="C20" s="137"/>
    </row>
    <row r="21" spans="1:3" s="112" customFormat="1" ht="18" customHeight="1" x14ac:dyDescent="0.2">
      <c r="A21" s="138"/>
      <c r="B21" s="131"/>
      <c r="C21" s="115"/>
    </row>
    <row r="22" spans="1:3" s="113" customFormat="1" ht="18" customHeight="1" x14ac:dyDescent="0.2">
      <c r="A22" s="658" t="s">
        <v>472</v>
      </c>
      <c r="B22" s="659"/>
      <c r="C22" s="660"/>
    </row>
    <row r="23" spans="1:3" s="112" customFormat="1" ht="18" customHeight="1" x14ac:dyDescent="0.2">
      <c r="A23" s="138"/>
      <c r="B23" s="131"/>
      <c r="C23" s="115"/>
    </row>
    <row r="24" spans="1:3" s="112" customFormat="1" ht="18" customHeight="1" x14ac:dyDescent="0.2">
      <c r="A24" s="651"/>
      <c r="B24" s="128" t="s">
        <v>473</v>
      </c>
      <c r="C24" s="139"/>
    </row>
    <row r="25" spans="1:3" s="112" customFormat="1" ht="18" customHeight="1" x14ac:dyDescent="0.2">
      <c r="A25" s="652"/>
      <c r="B25" s="128" t="s">
        <v>474</v>
      </c>
      <c r="C25" s="139"/>
    </row>
    <row r="26" spans="1:3" s="112" customFormat="1" ht="18" customHeight="1" x14ac:dyDescent="0.2">
      <c r="A26" s="652"/>
      <c r="B26" s="128" t="s">
        <v>475</v>
      </c>
      <c r="C26" s="135"/>
    </row>
    <row r="27" spans="1:3" s="112" customFormat="1" ht="18" customHeight="1" x14ac:dyDescent="0.2">
      <c r="A27" s="652"/>
      <c r="B27" s="128" t="s">
        <v>476</v>
      </c>
      <c r="C27" s="139" t="s">
        <v>477</v>
      </c>
    </row>
    <row r="28" spans="1:3" s="112" customFormat="1" ht="18" customHeight="1" x14ac:dyDescent="0.2">
      <c r="A28" s="652"/>
      <c r="B28" s="128" t="s">
        <v>478</v>
      </c>
      <c r="C28" s="139"/>
    </row>
    <row r="29" spans="1:3" s="112" customFormat="1" ht="18" customHeight="1" x14ac:dyDescent="0.2">
      <c r="A29" s="652"/>
      <c r="B29" s="128" t="s">
        <v>479</v>
      </c>
      <c r="C29" s="139"/>
    </row>
    <row r="30" spans="1:3" s="112" customFormat="1" ht="18" customHeight="1" x14ac:dyDescent="0.2">
      <c r="A30" s="652"/>
      <c r="B30" s="128" t="s">
        <v>480</v>
      </c>
      <c r="C30" s="139"/>
    </row>
    <row r="31" spans="1:3" s="112" customFormat="1" ht="18" customHeight="1" x14ac:dyDescent="0.2">
      <c r="A31" s="652"/>
      <c r="B31" s="128" t="s">
        <v>481</v>
      </c>
      <c r="C31" s="139"/>
    </row>
    <row r="32" spans="1:3" s="112" customFormat="1" ht="18" customHeight="1" x14ac:dyDescent="0.2">
      <c r="A32" s="652"/>
      <c r="B32" s="128" t="s">
        <v>482</v>
      </c>
      <c r="C32" s="139"/>
    </row>
    <row r="33" spans="1:3" s="112" customFormat="1" ht="28.15" customHeight="1" x14ac:dyDescent="0.2">
      <c r="A33" s="652"/>
      <c r="B33" s="157" t="s">
        <v>483</v>
      </c>
      <c r="C33" s="139"/>
    </row>
    <row r="34" spans="1:3" s="112" customFormat="1" ht="30.75" customHeight="1" x14ac:dyDescent="0.2">
      <c r="A34" s="652"/>
      <c r="B34" s="157" t="s">
        <v>484</v>
      </c>
      <c r="C34" s="139"/>
    </row>
    <row r="35" spans="1:3" s="112" customFormat="1" ht="30.75" customHeight="1" x14ac:dyDescent="0.2">
      <c r="A35" s="652"/>
      <c r="B35" s="157" t="s">
        <v>485</v>
      </c>
      <c r="C35" s="139"/>
    </row>
    <row r="36" spans="1:3" s="112" customFormat="1" ht="28.9" customHeight="1" x14ac:dyDescent="0.2">
      <c r="A36" s="652"/>
      <c r="B36" s="157" t="s">
        <v>486</v>
      </c>
      <c r="C36" s="139"/>
    </row>
    <row r="37" spans="1:3" s="112" customFormat="1" ht="25.5" customHeight="1" x14ac:dyDescent="0.2">
      <c r="A37" s="652"/>
      <c r="B37" s="157" t="s">
        <v>487</v>
      </c>
      <c r="C37" s="139"/>
    </row>
    <row r="38" spans="1:3" s="112" customFormat="1" ht="30.2" customHeight="1" x14ac:dyDescent="0.2">
      <c r="A38" s="652"/>
      <c r="B38" s="157" t="s">
        <v>488</v>
      </c>
      <c r="C38" s="139"/>
    </row>
    <row r="39" spans="1:3" s="112" customFormat="1" ht="18" customHeight="1" x14ac:dyDescent="0.2">
      <c r="A39" s="652"/>
      <c r="B39" s="157" t="s">
        <v>489</v>
      </c>
      <c r="C39" s="139"/>
    </row>
    <row r="40" spans="1:3" s="112" customFormat="1" ht="26.85" customHeight="1" x14ac:dyDescent="0.2">
      <c r="A40" s="652"/>
      <c r="B40" s="157" t="s">
        <v>490</v>
      </c>
      <c r="C40" s="139"/>
    </row>
    <row r="41" spans="1:3" s="112" customFormat="1" ht="28.9" customHeight="1" x14ac:dyDescent="0.2">
      <c r="A41" s="664"/>
      <c r="B41" s="157" t="s">
        <v>491</v>
      </c>
      <c r="C41" s="139"/>
    </row>
    <row r="42" spans="1:3" s="112" customFormat="1" ht="18" customHeight="1" x14ac:dyDescent="0.2">
      <c r="A42" s="138"/>
      <c r="B42" s="131"/>
      <c r="C42" s="115"/>
    </row>
    <row r="43" spans="1:3" s="113" customFormat="1" ht="18" customHeight="1" x14ac:dyDescent="0.2">
      <c r="A43" s="658" t="s">
        <v>492</v>
      </c>
      <c r="B43" s="659"/>
      <c r="C43" s="660"/>
    </row>
    <row r="44" spans="1:3" s="112" customFormat="1" ht="18" customHeight="1" x14ac:dyDescent="0.2">
      <c r="A44" s="138"/>
      <c r="B44" s="131"/>
      <c r="C44" s="115"/>
    </row>
    <row r="45" spans="1:3" s="112" customFormat="1" ht="18" customHeight="1" x14ac:dyDescent="0.2">
      <c r="A45" s="661"/>
      <c r="B45" s="129" t="s">
        <v>493</v>
      </c>
      <c r="C45" s="115"/>
    </row>
    <row r="46" spans="1:3" s="112" customFormat="1" ht="18" customHeight="1" x14ac:dyDescent="0.2">
      <c r="A46" s="662"/>
      <c r="B46" s="129" t="s">
        <v>494</v>
      </c>
      <c r="C46" s="115"/>
    </row>
    <row r="47" spans="1:3" s="112" customFormat="1" ht="18" customHeight="1" x14ac:dyDescent="0.2">
      <c r="A47" s="662"/>
      <c r="B47" s="129" t="s">
        <v>495</v>
      </c>
      <c r="C47" s="115"/>
    </row>
    <row r="48" spans="1:3" s="112" customFormat="1" ht="18" customHeight="1" x14ac:dyDescent="0.2">
      <c r="A48" s="662"/>
      <c r="B48" s="129" t="s">
        <v>496</v>
      </c>
      <c r="C48" s="115"/>
    </row>
    <row r="49" spans="1:3" s="112" customFormat="1" ht="18" customHeight="1" x14ac:dyDescent="0.2">
      <c r="A49" s="662"/>
      <c r="B49" s="128" t="s">
        <v>497</v>
      </c>
      <c r="C49" s="115"/>
    </row>
    <row r="50" spans="1:3" s="112" customFormat="1" ht="18" customHeight="1" x14ac:dyDescent="0.2">
      <c r="A50" s="662"/>
      <c r="B50" s="128" t="s">
        <v>498</v>
      </c>
      <c r="C50" s="115"/>
    </row>
    <row r="51" spans="1:3" s="112" customFormat="1" ht="27.6" customHeight="1" x14ac:dyDescent="0.2">
      <c r="A51" s="662"/>
      <c r="B51" s="157" t="s">
        <v>499</v>
      </c>
      <c r="C51" s="115"/>
    </row>
    <row r="52" spans="1:3" s="112" customFormat="1" ht="18" customHeight="1" x14ac:dyDescent="0.2">
      <c r="A52" s="662"/>
      <c r="B52" s="128" t="s">
        <v>500</v>
      </c>
      <c r="C52" s="115"/>
    </row>
    <row r="53" spans="1:3" s="112" customFormat="1" ht="18" customHeight="1" x14ac:dyDescent="0.2">
      <c r="A53" s="662"/>
      <c r="B53" s="128" t="s">
        <v>501</v>
      </c>
      <c r="C53" s="115"/>
    </row>
    <row r="54" spans="1:3" s="112" customFormat="1" ht="18" customHeight="1" x14ac:dyDescent="0.2">
      <c r="A54" s="662"/>
      <c r="B54" s="128" t="s">
        <v>502</v>
      </c>
      <c r="C54" s="115"/>
    </row>
    <row r="55" spans="1:3" s="112" customFormat="1" ht="18" customHeight="1" x14ac:dyDescent="0.2">
      <c r="A55" s="662"/>
      <c r="B55" s="128" t="s">
        <v>503</v>
      </c>
      <c r="C55" s="115"/>
    </row>
    <row r="56" spans="1:3" s="112" customFormat="1" ht="18" customHeight="1" x14ac:dyDescent="0.2">
      <c r="A56" s="662"/>
      <c r="B56" s="129" t="s">
        <v>504</v>
      </c>
      <c r="C56" s="115"/>
    </row>
    <row r="57" spans="1:3" s="112" customFormat="1" ht="18" customHeight="1" x14ac:dyDescent="0.2">
      <c r="A57" s="662"/>
      <c r="B57" s="129" t="s">
        <v>505</v>
      </c>
      <c r="C57" s="115"/>
    </row>
    <row r="58" spans="1:3" s="112" customFormat="1" ht="18" customHeight="1" x14ac:dyDescent="0.2">
      <c r="A58" s="662"/>
      <c r="B58" s="129" t="s">
        <v>506</v>
      </c>
      <c r="C58" s="115"/>
    </row>
    <row r="59" spans="1:3" s="112" customFormat="1" ht="18" customHeight="1" x14ac:dyDescent="0.2">
      <c r="A59" s="662"/>
      <c r="B59" s="129" t="s">
        <v>507</v>
      </c>
      <c r="C59" s="115"/>
    </row>
    <row r="60" spans="1:3" s="112" customFormat="1" ht="18" customHeight="1" x14ac:dyDescent="0.2">
      <c r="A60" s="662"/>
      <c r="B60" s="128" t="s">
        <v>508</v>
      </c>
      <c r="C60" s="115"/>
    </row>
    <row r="61" spans="1:3" s="112" customFormat="1" ht="18" customHeight="1" x14ac:dyDescent="0.2">
      <c r="A61" s="662"/>
      <c r="B61" s="128" t="s">
        <v>509</v>
      </c>
      <c r="C61" s="115"/>
    </row>
    <row r="62" spans="1:3" s="112" customFormat="1" ht="18" customHeight="1" x14ac:dyDescent="0.2">
      <c r="A62" s="662"/>
      <c r="B62" s="128" t="s">
        <v>510</v>
      </c>
      <c r="C62" s="115"/>
    </row>
    <row r="63" spans="1:3" s="112" customFormat="1" ht="18" customHeight="1" x14ac:dyDescent="0.2">
      <c r="A63" s="662"/>
      <c r="B63" s="128" t="s">
        <v>511</v>
      </c>
      <c r="C63" s="115"/>
    </row>
    <row r="64" spans="1:3" s="112" customFormat="1" ht="18" customHeight="1" x14ac:dyDescent="0.2">
      <c r="A64" s="662"/>
      <c r="B64" s="128" t="s">
        <v>512</v>
      </c>
      <c r="C64" s="115"/>
    </row>
    <row r="65" spans="1:3" s="112" customFormat="1" ht="18" customHeight="1" x14ac:dyDescent="0.2">
      <c r="A65" s="662"/>
      <c r="B65" s="128" t="s">
        <v>513</v>
      </c>
      <c r="C65" s="115"/>
    </row>
    <row r="66" spans="1:3" s="112" customFormat="1" ht="18" customHeight="1" x14ac:dyDescent="0.2">
      <c r="A66" s="663"/>
      <c r="B66" s="128" t="s">
        <v>514</v>
      </c>
      <c r="C66" s="115"/>
    </row>
    <row r="67" spans="1:3" s="112" customFormat="1" ht="18" customHeight="1" x14ac:dyDescent="0.2">
      <c r="A67" s="138"/>
      <c r="B67" s="133"/>
      <c r="C67" s="115"/>
    </row>
    <row r="68" spans="1:3" s="113" customFormat="1" ht="18" customHeight="1" x14ac:dyDescent="0.2">
      <c r="A68" s="658" t="s">
        <v>515</v>
      </c>
      <c r="B68" s="659"/>
      <c r="C68" s="660"/>
    </row>
    <row r="69" spans="1:3" s="112" customFormat="1" ht="18" customHeight="1" x14ac:dyDescent="0.2">
      <c r="A69" s="140"/>
      <c r="B69" s="141"/>
      <c r="C69" s="142"/>
    </row>
    <row r="70" spans="1:3" s="112" customFormat="1" ht="18" customHeight="1" x14ac:dyDescent="0.2">
      <c r="A70" s="651"/>
      <c r="B70" s="128" t="s">
        <v>516</v>
      </c>
      <c r="C70" s="115"/>
    </row>
    <row r="71" spans="1:3" s="112" customFormat="1" ht="18" customHeight="1" x14ac:dyDescent="0.2">
      <c r="A71" s="652"/>
      <c r="B71" s="128" t="s">
        <v>517</v>
      </c>
      <c r="C71" s="115"/>
    </row>
    <row r="72" spans="1:3" s="112" customFormat="1" ht="18" customHeight="1" x14ac:dyDescent="0.2">
      <c r="A72" s="652"/>
      <c r="B72" s="128" t="s">
        <v>518</v>
      </c>
      <c r="C72" s="115"/>
    </row>
    <row r="73" spans="1:3" s="112" customFormat="1" ht="18" customHeight="1" x14ac:dyDescent="0.2">
      <c r="A73" s="652"/>
      <c r="B73" s="128" t="s">
        <v>519</v>
      </c>
      <c r="C73" s="115"/>
    </row>
    <row r="74" spans="1:3" s="112" customFormat="1" ht="18" customHeight="1" x14ac:dyDescent="0.2">
      <c r="A74" s="652"/>
      <c r="B74" s="128" t="s">
        <v>520</v>
      </c>
      <c r="C74" s="115"/>
    </row>
    <row r="75" spans="1:3" s="112" customFormat="1" ht="18" customHeight="1" x14ac:dyDescent="0.2">
      <c r="A75" s="652"/>
      <c r="B75" s="128" t="s">
        <v>521</v>
      </c>
      <c r="C75" s="115"/>
    </row>
    <row r="76" spans="1:3" s="112" customFormat="1" ht="18" customHeight="1" x14ac:dyDescent="0.2">
      <c r="A76" s="652"/>
      <c r="B76" s="128" t="s">
        <v>522</v>
      </c>
      <c r="C76" s="115"/>
    </row>
    <row r="77" spans="1:3" s="112" customFormat="1" ht="18" customHeight="1" x14ac:dyDescent="0.2">
      <c r="A77" s="652"/>
      <c r="B77" s="128" t="s">
        <v>523</v>
      </c>
      <c r="C77" s="115"/>
    </row>
    <row r="78" spans="1:3" s="112" customFormat="1" ht="18" customHeight="1" x14ac:dyDescent="0.2">
      <c r="A78" s="652"/>
      <c r="B78" s="128" t="s">
        <v>524</v>
      </c>
      <c r="C78" s="115"/>
    </row>
    <row r="79" spans="1:3" s="112" customFormat="1" ht="18" customHeight="1" x14ac:dyDescent="0.2">
      <c r="A79" s="652"/>
      <c r="B79" s="128" t="s">
        <v>525</v>
      </c>
      <c r="C79" s="115"/>
    </row>
    <row r="80" spans="1:3" s="112" customFormat="1" ht="18" customHeight="1" x14ac:dyDescent="0.2">
      <c r="A80" s="652"/>
      <c r="B80" s="128" t="s">
        <v>526</v>
      </c>
      <c r="C80" s="115"/>
    </row>
    <row r="81" spans="1:3" s="112" customFormat="1" ht="18" customHeight="1" x14ac:dyDescent="0.2">
      <c r="A81" s="652"/>
      <c r="B81" s="128" t="s">
        <v>527</v>
      </c>
      <c r="C81" s="115"/>
    </row>
    <row r="82" spans="1:3" s="112" customFormat="1" ht="18" customHeight="1" x14ac:dyDescent="0.2">
      <c r="A82" s="652"/>
      <c r="B82" s="128" t="s">
        <v>528</v>
      </c>
      <c r="C82" s="115"/>
    </row>
    <row r="83" spans="1:3" s="112" customFormat="1" ht="31.5" customHeight="1" x14ac:dyDescent="0.2">
      <c r="A83" s="652"/>
      <c r="B83" s="157" t="s">
        <v>529</v>
      </c>
      <c r="C83" s="115"/>
    </row>
    <row r="84" spans="1:3" s="112" customFormat="1" ht="18" customHeight="1" x14ac:dyDescent="0.2">
      <c r="A84" s="652"/>
      <c r="B84" s="128" t="s">
        <v>530</v>
      </c>
      <c r="C84" s="115"/>
    </row>
    <row r="85" spans="1:3" s="112" customFormat="1" ht="18" customHeight="1" x14ac:dyDescent="0.2">
      <c r="A85" s="652"/>
      <c r="B85" s="128" t="s">
        <v>531</v>
      </c>
      <c r="C85" s="115"/>
    </row>
    <row r="86" spans="1:3" s="112" customFormat="1" ht="18" customHeight="1" x14ac:dyDescent="0.2">
      <c r="A86" s="652"/>
      <c r="B86" s="128" t="s">
        <v>532</v>
      </c>
      <c r="C86" s="115"/>
    </row>
    <row r="87" spans="1:3" s="112" customFormat="1" ht="18" customHeight="1" x14ac:dyDescent="0.2">
      <c r="A87" s="652"/>
      <c r="B87" s="128" t="s">
        <v>533</v>
      </c>
      <c r="C87" s="115"/>
    </row>
    <row r="88" spans="1:3" s="112" customFormat="1" ht="18" customHeight="1" x14ac:dyDescent="0.2">
      <c r="A88" s="652"/>
      <c r="B88" s="128" t="s">
        <v>534</v>
      </c>
      <c r="C88" s="115"/>
    </row>
    <row r="89" spans="1:3" s="112" customFormat="1" ht="18" customHeight="1" x14ac:dyDescent="0.2">
      <c r="A89" s="652"/>
      <c r="B89" s="128" t="s">
        <v>535</v>
      </c>
      <c r="C89" s="115"/>
    </row>
    <row r="90" spans="1:3" s="112" customFormat="1" ht="18" customHeight="1" x14ac:dyDescent="0.2">
      <c r="A90" s="652"/>
      <c r="B90" s="128" t="s">
        <v>536</v>
      </c>
      <c r="C90" s="115"/>
    </row>
    <row r="91" spans="1:3" s="112" customFormat="1" ht="18" customHeight="1" x14ac:dyDescent="0.2">
      <c r="A91" s="652"/>
      <c r="B91" s="128" t="s">
        <v>537</v>
      </c>
      <c r="C91" s="115"/>
    </row>
    <row r="92" spans="1:3" s="112" customFormat="1" ht="18" customHeight="1" x14ac:dyDescent="0.2">
      <c r="A92" s="652"/>
      <c r="B92" s="128" t="s">
        <v>538</v>
      </c>
      <c r="C92" s="115"/>
    </row>
    <row r="93" spans="1:3" s="112" customFormat="1" ht="18" customHeight="1" x14ac:dyDescent="0.2">
      <c r="A93" s="652"/>
      <c r="B93" s="128" t="s">
        <v>539</v>
      </c>
      <c r="C93" s="115"/>
    </row>
    <row r="94" spans="1:3" s="112" customFormat="1" ht="18" customHeight="1" x14ac:dyDescent="0.2">
      <c r="A94" s="652"/>
      <c r="B94" s="128" t="s">
        <v>540</v>
      </c>
      <c r="C94" s="115"/>
    </row>
    <row r="95" spans="1:3" s="112" customFormat="1" ht="18" customHeight="1" x14ac:dyDescent="0.2">
      <c r="A95" s="652"/>
      <c r="B95" s="128" t="s">
        <v>541</v>
      </c>
      <c r="C95" s="115"/>
    </row>
    <row r="96" spans="1:3" s="112" customFormat="1" ht="18" customHeight="1" x14ac:dyDescent="0.2">
      <c r="A96" s="652"/>
      <c r="B96" s="128" t="s">
        <v>542</v>
      </c>
      <c r="C96" s="115"/>
    </row>
    <row r="97" spans="1:3" s="112" customFormat="1" ht="18" customHeight="1" x14ac:dyDescent="0.2">
      <c r="A97" s="652"/>
      <c r="B97" s="129" t="s">
        <v>543</v>
      </c>
      <c r="C97" s="115"/>
    </row>
    <row r="98" spans="1:3" s="112" customFormat="1" ht="18" customHeight="1" x14ac:dyDescent="0.2">
      <c r="A98" s="664"/>
      <c r="B98" s="129" t="s">
        <v>544</v>
      </c>
      <c r="C98" s="115"/>
    </row>
    <row r="99" spans="1:3" s="112" customFormat="1" ht="18" customHeight="1" x14ac:dyDescent="0.2">
      <c r="A99" s="138"/>
      <c r="B99" s="136"/>
      <c r="C99" s="115"/>
    </row>
    <row r="100" spans="1:3" s="113" customFormat="1" ht="18" customHeight="1" x14ac:dyDescent="0.2">
      <c r="A100" s="658" t="s">
        <v>545</v>
      </c>
      <c r="B100" s="659"/>
      <c r="C100" s="660"/>
    </row>
    <row r="101" spans="1:3" s="112" customFormat="1" ht="18" customHeight="1" x14ac:dyDescent="0.2">
      <c r="A101" s="140"/>
      <c r="B101" s="141"/>
      <c r="C101" s="142"/>
    </row>
    <row r="102" spans="1:3" s="114" customFormat="1" ht="28.9" customHeight="1" x14ac:dyDescent="0.2">
      <c r="A102" s="665"/>
      <c r="B102" s="158" t="s">
        <v>1285</v>
      </c>
      <c r="C102" s="143"/>
    </row>
    <row r="103" spans="1:3" s="114" customFormat="1" ht="24.95" customHeight="1" x14ac:dyDescent="0.2">
      <c r="A103" s="666"/>
      <c r="B103" s="158" t="s">
        <v>546</v>
      </c>
      <c r="C103" s="143"/>
    </row>
    <row r="104" spans="1:3" s="114" customFormat="1" ht="18" customHeight="1" x14ac:dyDescent="0.2">
      <c r="A104" s="666"/>
      <c r="B104" s="158" t="s">
        <v>547</v>
      </c>
      <c r="C104" s="143"/>
    </row>
    <row r="105" spans="1:3" s="114" customFormat="1" ht="18" customHeight="1" x14ac:dyDescent="0.2">
      <c r="A105" s="666"/>
      <c r="B105" s="158" t="s">
        <v>548</v>
      </c>
      <c r="C105" s="143"/>
    </row>
    <row r="106" spans="1:3" s="114" customFormat="1" ht="39.75" customHeight="1" x14ac:dyDescent="0.2">
      <c r="A106" s="666"/>
      <c r="B106" s="158" t="s">
        <v>549</v>
      </c>
      <c r="C106" s="143"/>
    </row>
    <row r="107" spans="1:3" s="114" customFormat="1" ht="38.25" x14ac:dyDescent="0.2">
      <c r="A107" s="666"/>
      <c r="B107" s="158" t="s">
        <v>550</v>
      </c>
      <c r="C107" s="143"/>
    </row>
    <row r="108" spans="1:3" s="114" customFormat="1" ht="26.25" customHeight="1" x14ac:dyDescent="0.2">
      <c r="A108" s="666"/>
      <c r="B108" s="158" t="s">
        <v>551</v>
      </c>
      <c r="C108" s="143"/>
    </row>
    <row r="109" spans="1:3" s="114" customFormat="1" ht="18" customHeight="1" x14ac:dyDescent="0.2">
      <c r="A109" s="666"/>
      <c r="B109" s="158" t="s">
        <v>552</v>
      </c>
      <c r="C109" s="143"/>
    </row>
    <row r="110" spans="1:3" s="114" customFormat="1" ht="18" customHeight="1" x14ac:dyDescent="0.2">
      <c r="A110" s="666"/>
      <c r="B110" s="158" t="s">
        <v>553</v>
      </c>
      <c r="C110" s="143"/>
    </row>
    <row r="111" spans="1:3" s="114" customFormat="1" ht="18" customHeight="1" x14ac:dyDescent="0.2">
      <c r="A111" s="666"/>
      <c r="B111" s="158" t="s">
        <v>554</v>
      </c>
      <c r="C111" s="143"/>
    </row>
    <row r="112" spans="1:3" s="114" customFormat="1" ht="26.85" customHeight="1" x14ac:dyDescent="0.2">
      <c r="A112" s="666"/>
      <c r="B112" s="158" t="s">
        <v>555</v>
      </c>
      <c r="C112" s="143"/>
    </row>
    <row r="113" spans="1:3" s="114" customFormat="1" ht="18" customHeight="1" x14ac:dyDescent="0.2">
      <c r="A113" s="666"/>
      <c r="B113" s="158" t="s">
        <v>556</v>
      </c>
      <c r="C113" s="143"/>
    </row>
    <row r="114" spans="1:3" s="114" customFormat="1" ht="26.85" customHeight="1" x14ac:dyDescent="0.2">
      <c r="A114" s="666"/>
      <c r="B114" s="158" t="s">
        <v>557</v>
      </c>
      <c r="C114" s="143"/>
    </row>
    <row r="115" spans="1:3" s="114" customFormat="1" ht="27.6" customHeight="1" x14ac:dyDescent="0.2">
      <c r="A115" s="666"/>
      <c r="B115" s="158" t="s">
        <v>558</v>
      </c>
      <c r="C115" s="143"/>
    </row>
    <row r="116" spans="1:3" s="114" customFormat="1" ht="18" customHeight="1" x14ac:dyDescent="0.2">
      <c r="A116" s="666"/>
      <c r="B116" s="144" t="s">
        <v>559</v>
      </c>
      <c r="C116" s="143"/>
    </row>
    <row r="117" spans="1:3" s="110" customFormat="1" x14ac:dyDescent="0.2">
      <c r="A117" s="667"/>
      <c r="B117" s="131"/>
      <c r="C117" s="115"/>
    </row>
    <row r="118" spans="1:3" s="110" customFormat="1" ht="24.95" customHeight="1" x14ac:dyDescent="0.2">
      <c r="A118" s="651"/>
      <c r="B118" s="654" t="s">
        <v>579</v>
      </c>
      <c r="C118" s="656" t="s">
        <v>560</v>
      </c>
    </row>
    <row r="119" spans="1:3" s="110" customFormat="1" ht="24.95" customHeight="1" x14ac:dyDescent="0.2">
      <c r="A119" s="652"/>
      <c r="B119" s="654"/>
      <c r="C119" s="656"/>
    </row>
    <row r="120" spans="1:3" s="110" customFormat="1" ht="24.95" customHeight="1" x14ac:dyDescent="0.2">
      <c r="A120" s="652"/>
      <c r="B120" s="654"/>
      <c r="C120" s="656"/>
    </row>
    <row r="121" spans="1:3" s="110" customFormat="1" ht="24.95" customHeight="1" x14ac:dyDescent="0.2">
      <c r="A121" s="652"/>
      <c r="B121" s="654"/>
      <c r="C121" s="656"/>
    </row>
    <row r="122" spans="1:3" s="110" customFormat="1" ht="24.95" customHeight="1" thickBot="1" x14ac:dyDescent="0.25">
      <c r="A122" s="653"/>
      <c r="B122" s="655"/>
      <c r="C122" s="657"/>
    </row>
    <row r="123" spans="1:3" s="110" customFormat="1" x14ac:dyDescent="0.2">
      <c r="A123" s="132"/>
      <c r="B123" s="132"/>
      <c r="C123" s="116"/>
    </row>
    <row r="124" spans="1:3" s="110" customFormat="1" x14ac:dyDescent="0.2">
      <c r="C124" s="116"/>
    </row>
    <row r="125" spans="1:3" s="110" customFormat="1" x14ac:dyDescent="0.2">
      <c r="C125" s="116"/>
    </row>
    <row r="126" spans="1:3" s="110" customFormat="1" x14ac:dyDescent="0.2">
      <c r="C126" s="116"/>
    </row>
    <row r="127" spans="1:3" s="110" customFormat="1" x14ac:dyDescent="0.2">
      <c r="C127" s="116"/>
    </row>
    <row r="128" spans="1:3" s="110" customFormat="1" x14ac:dyDescent="0.2">
      <c r="C128" s="116"/>
    </row>
    <row r="129" spans="3:3" s="110" customFormat="1" x14ac:dyDescent="0.2">
      <c r="C129" s="116"/>
    </row>
    <row r="130" spans="3:3" s="110" customFormat="1" x14ac:dyDescent="0.2">
      <c r="C130" s="116"/>
    </row>
    <row r="131" spans="3:3" s="110" customFormat="1" x14ac:dyDescent="0.2">
      <c r="C131" s="116"/>
    </row>
    <row r="132" spans="3:3" s="110" customFormat="1" x14ac:dyDescent="0.2">
      <c r="C132" s="116"/>
    </row>
    <row r="133" spans="3:3" s="110" customFormat="1" x14ac:dyDescent="0.2">
      <c r="C133" s="116"/>
    </row>
    <row r="134" spans="3:3" s="110" customFormat="1" x14ac:dyDescent="0.2">
      <c r="C134" s="116"/>
    </row>
    <row r="135" spans="3:3" s="110" customFormat="1" x14ac:dyDescent="0.2">
      <c r="C135" s="116"/>
    </row>
    <row r="136" spans="3:3" s="110" customFormat="1" x14ac:dyDescent="0.2">
      <c r="C136" s="116"/>
    </row>
    <row r="137" spans="3:3" s="110" customFormat="1" x14ac:dyDescent="0.2">
      <c r="C137" s="116"/>
    </row>
    <row r="138" spans="3:3" s="110" customFormat="1" x14ac:dyDescent="0.2">
      <c r="C138" s="116"/>
    </row>
    <row r="139" spans="3:3" s="110" customFormat="1" x14ac:dyDescent="0.2">
      <c r="C139" s="116"/>
    </row>
    <row r="140" spans="3:3" s="110" customFormat="1" x14ac:dyDescent="0.2">
      <c r="C140" s="116"/>
    </row>
    <row r="141" spans="3:3" s="110" customFormat="1" x14ac:dyDescent="0.2">
      <c r="C141" s="116"/>
    </row>
    <row r="142" spans="3:3" s="110" customFormat="1" x14ac:dyDescent="0.2">
      <c r="C142" s="116"/>
    </row>
    <row r="143" spans="3:3" s="110" customFormat="1" x14ac:dyDescent="0.2">
      <c r="C143" s="116"/>
    </row>
    <row r="144" spans="3:3" s="110" customFormat="1" x14ac:dyDescent="0.2">
      <c r="C144" s="116"/>
    </row>
    <row r="145" spans="3:3" s="110" customFormat="1" x14ac:dyDescent="0.2">
      <c r="C145" s="116"/>
    </row>
    <row r="146" spans="3:3" s="110" customFormat="1" x14ac:dyDescent="0.2">
      <c r="C146" s="116"/>
    </row>
    <row r="147" spans="3:3" s="110" customFormat="1" x14ac:dyDescent="0.2">
      <c r="C147" s="116"/>
    </row>
    <row r="148" spans="3:3" s="110" customFormat="1" x14ac:dyDescent="0.2">
      <c r="C148" s="116"/>
    </row>
    <row r="149" spans="3:3" s="110" customFormat="1" x14ac:dyDescent="0.2">
      <c r="C149" s="116"/>
    </row>
    <row r="150" spans="3:3" s="110" customFormat="1" x14ac:dyDescent="0.2">
      <c r="C150" s="116"/>
    </row>
    <row r="151" spans="3:3" s="110" customFormat="1" x14ac:dyDescent="0.2">
      <c r="C151" s="116"/>
    </row>
    <row r="152" spans="3:3" s="110" customFormat="1" x14ac:dyDescent="0.2">
      <c r="C152" s="116"/>
    </row>
    <row r="153" spans="3:3" s="110" customFormat="1" x14ac:dyDescent="0.2">
      <c r="C153" s="116"/>
    </row>
    <row r="154" spans="3:3" s="110" customFormat="1" x14ac:dyDescent="0.2">
      <c r="C154" s="116"/>
    </row>
    <row r="155" spans="3:3" s="110" customFormat="1" x14ac:dyDescent="0.2">
      <c r="C155" s="116"/>
    </row>
    <row r="156" spans="3:3" s="110" customFormat="1" x14ac:dyDescent="0.2">
      <c r="C156" s="116"/>
    </row>
    <row r="157" spans="3:3" s="110" customFormat="1" x14ac:dyDescent="0.2">
      <c r="C157" s="116"/>
    </row>
    <row r="158" spans="3:3" s="110" customFormat="1" x14ac:dyDescent="0.2">
      <c r="C158" s="116"/>
    </row>
    <row r="159" spans="3:3" s="110" customFormat="1" x14ac:dyDescent="0.2">
      <c r="C159" s="116"/>
    </row>
    <row r="160" spans="3:3" s="110" customFormat="1" x14ac:dyDescent="0.2">
      <c r="C160" s="116"/>
    </row>
    <row r="161" spans="3:3" s="110" customFormat="1" x14ac:dyDescent="0.2">
      <c r="C161" s="116"/>
    </row>
    <row r="162" spans="3:3" s="110" customFormat="1" x14ac:dyDescent="0.2">
      <c r="C162" s="116"/>
    </row>
    <row r="163" spans="3:3" s="110" customFormat="1" x14ac:dyDescent="0.2">
      <c r="C163" s="116"/>
    </row>
  </sheetData>
  <mergeCells count="15">
    <mergeCell ref="A24:A41"/>
    <mergeCell ref="A1:C1"/>
    <mergeCell ref="A2:C7"/>
    <mergeCell ref="A8:C8"/>
    <mergeCell ref="A10:A20"/>
    <mergeCell ref="A22:C22"/>
    <mergeCell ref="A118:A122"/>
    <mergeCell ref="B118:B122"/>
    <mergeCell ref="C118:C122"/>
    <mergeCell ref="A43:C43"/>
    <mergeCell ref="A45:A66"/>
    <mergeCell ref="A68:C68"/>
    <mergeCell ref="A70:A98"/>
    <mergeCell ref="A100:C100"/>
    <mergeCell ref="A102:A117"/>
  </mergeCells>
  <phoneticPr fontId="67" type="noConversion"/>
  <conditionalFormatting sqref="C43:C45 C22 C24:C41 C20 C70:C99 C117:C118 C123:C65536 C8:C16">
    <cfRule type="cellIs" dxfId="11" priority="10" operator="equal">
      <formula>"not known"</formula>
    </cfRule>
  </conditionalFormatting>
  <conditionalFormatting sqref="C21">
    <cfRule type="cellIs" dxfId="10" priority="9" operator="equal">
      <formula>"not known"</formula>
    </cfRule>
  </conditionalFormatting>
  <conditionalFormatting sqref="C42">
    <cfRule type="cellIs" dxfId="9" priority="8" operator="equal">
      <formula>"not known"</formula>
    </cfRule>
  </conditionalFormatting>
  <conditionalFormatting sqref="C17:C19">
    <cfRule type="cellIs" dxfId="8" priority="7" operator="equal">
      <formula>"not known"</formula>
    </cfRule>
  </conditionalFormatting>
  <conditionalFormatting sqref="C23">
    <cfRule type="cellIs" dxfId="7" priority="6" operator="equal">
      <formula>"not known"</formula>
    </cfRule>
  </conditionalFormatting>
  <conditionalFormatting sqref="C46:C67">
    <cfRule type="cellIs" dxfId="6" priority="5" operator="equal">
      <formula>"not known"</formula>
    </cfRule>
  </conditionalFormatting>
  <conditionalFormatting sqref="C68:C69">
    <cfRule type="cellIs" dxfId="5" priority="4" operator="equal">
      <formula>"not known"</formula>
    </cfRule>
  </conditionalFormatting>
  <conditionalFormatting sqref="C100:C108">
    <cfRule type="cellIs" dxfId="4" priority="3" operator="equal">
      <formula>"not known"</formula>
    </cfRule>
  </conditionalFormatting>
  <conditionalFormatting sqref="C109:C116">
    <cfRule type="cellIs" dxfId="3" priority="2" operator="equal">
      <formula>"not known"</formula>
    </cfRule>
  </conditionalFormatting>
  <conditionalFormatting sqref="C1">
    <cfRule type="cellIs" dxfId="2" priority="1" operator="equal">
      <formula>"not known"</formula>
    </cfRule>
  </conditionalFormatting>
  <dataValidations count="2">
    <dataValidation type="list" allowBlank="1" showInputMessage="1" showErrorMessage="1" sqref="C16">
      <formula1>$S$3:$S$4</formula1>
    </dataValidation>
    <dataValidation type="list" allowBlank="1" showInputMessage="1" showErrorMessage="1" sqref="C14">
      <formula1>$R$3:$R$11</formula1>
    </dataValidation>
  </dataValidations>
  <pageMargins left="0.7" right="0.7" top="0.75" bottom="0.75" header="0.3" footer="0.3"/>
  <pageSetup paperSize="9" fitToHeight="0"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B30" sqref="B30"/>
    </sheetView>
  </sheetViews>
  <sheetFormatPr defaultColWidth="9.140625" defaultRowHeight="12.75" x14ac:dyDescent="0.2"/>
  <cols>
    <col min="1" max="1" width="4.140625" style="110" customWidth="1"/>
    <col min="2" max="2" width="57.5703125" style="110" customWidth="1"/>
    <col min="3" max="3" width="55.28515625" style="110" customWidth="1"/>
    <col min="4" max="16384" width="9.140625" style="110"/>
  </cols>
  <sheetData>
    <row r="1" spans="1:3" ht="69.95" customHeight="1" x14ac:dyDescent="0.2">
      <c r="A1" s="681" t="s">
        <v>4182</v>
      </c>
      <c r="B1" s="681"/>
      <c r="C1" s="681"/>
    </row>
    <row r="2" spans="1:3" s="132" customFormat="1" x14ac:dyDescent="0.2">
      <c r="A2" s="131"/>
      <c r="B2" s="131"/>
      <c r="C2" s="118"/>
    </row>
    <row r="3" spans="1:3" s="132" customFormat="1" ht="38.25" x14ac:dyDescent="0.2">
      <c r="A3" s="131"/>
      <c r="B3" s="159" t="s">
        <v>561</v>
      </c>
      <c r="C3" s="119"/>
    </row>
    <row r="4" spans="1:3" s="132" customFormat="1" x14ac:dyDescent="0.2">
      <c r="A4" s="131"/>
      <c r="B4" s="130" t="s">
        <v>562</v>
      </c>
      <c r="C4" s="119"/>
    </row>
    <row r="5" spans="1:3" s="132" customFormat="1" x14ac:dyDescent="0.2">
      <c r="A5" s="131"/>
      <c r="B5" s="129" t="s">
        <v>563</v>
      </c>
      <c r="C5" s="119"/>
    </row>
    <row r="6" spans="1:3" s="132" customFormat="1" x14ac:dyDescent="0.2">
      <c r="A6" s="131"/>
      <c r="B6" s="130" t="s">
        <v>564</v>
      </c>
      <c r="C6" s="119"/>
    </row>
    <row r="7" spans="1:3" s="132" customFormat="1" x14ac:dyDescent="0.2">
      <c r="A7" s="131"/>
      <c r="B7" s="130" t="s">
        <v>565</v>
      </c>
      <c r="C7" s="119"/>
    </row>
    <row r="8" spans="1:3" s="132" customFormat="1" x14ac:dyDescent="0.2">
      <c r="A8" s="131"/>
      <c r="B8" s="129" t="s">
        <v>566</v>
      </c>
      <c r="C8" s="119"/>
    </row>
    <row r="9" spans="1:3" s="132" customFormat="1" x14ac:dyDescent="0.2">
      <c r="A9" s="131"/>
      <c r="B9" s="129" t="s">
        <v>567</v>
      </c>
      <c r="C9" s="119"/>
    </row>
    <row r="10" spans="1:3" s="132" customFormat="1" x14ac:dyDescent="0.2">
      <c r="A10" s="131"/>
      <c r="B10" s="130" t="s">
        <v>568</v>
      </c>
      <c r="C10" s="120"/>
    </row>
    <row r="11" spans="1:3" s="132" customFormat="1" x14ac:dyDescent="0.2">
      <c r="A11" s="131"/>
      <c r="B11" s="130" t="s">
        <v>569</v>
      </c>
      <c r="C11" s="120"/>
    </row>
    <row r="12" spans="1:3" s="132" customFormat="1" x14ac:dyDescent="0.2">
      <c r="A12" s="131"/>
      <c r="B12" s="131"/>
      <c r="C12" s="131"/>
    </row>
  </sheetData>
  <mergeCells count="1">
    <mergeCell ref="A1:C1"/>
  </mergeCells>
  <phoneticPr fontId="67" type="noConversion"/>
  <conditionalFormatting sqref="C1:C11">
    <cfRule type="cellIs" dxfId="1" priority="1" operator="equal">
      <formula>"not known"</formula>
    </cfRule>
  </conditionalFormatting>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topLeftCell="A16" workbookViewId="0">
      <selection activeCell="A34" sqref="A34:D39"/>
    </sheetView>
  </sheetViews>
  <sheetFormatPr defaultColWidth="9.140625" defaultRowHeight="12.75" x14ac:dyDescent="0.2"/>
  <cols>
    <col min="1" max="1" width="20" style="121" customWidth="1"/>
    <col min="2" max="2" width="36.85546875" style="121" customWidth="1"/>
    <col min="3" max="3" width="35.85546875" style="121" customWidth="1"/>
    <col min="4" max="4" width="50.5703125" style="121" customWidth="1"/>
    <col min="5" max="16384" width="9.140625" style="121"/>
  </cols>
  <sheetData>
    <row r="1" spans="1:6" ht="69.95" customHeight="1" x14ac:dyDescent="0.2">
      <c r="A1" s="688" t="s">
        <v>570</v>
      </c>
      <c r="B1" s="688"/>
      <c r="C1" s="688"/>
      <c r="D1" s="688"/>
    </row>
    <row r="2" spans="1:6" ht="14.25" x14ac:dyDescent="0.2">
      <c r="A2" s="122"/>
    </row>
    <row r="3" spans="1:6" ht="24.95" customHeight="1" x14ac:dyDescent="0.2">
      <c r="A3" s="704" t="s">
        <v>580</v>
      </c>
      <c r="B3" s="705"/>
      <c r="C3" s="705"/>
      <c r="D3" s="705"/>
      <c r="E3" s="123"/>
      <c r="F3" s="123"/>
    </row>
    <row r="4" spans="1:6" ht="13.5" thickBot="1" x14ac:dyDescent="0.25">
      <c r="A4" s="145"/>
      <c r="B4" s="146"/>
      <c r="C4" s="146"/>
      <c r="D4" s="146"/>
      <c r="E4" s="123"/>
      <c r="F4" s="123"/>
    </row>
    <row r="5" spans="1:6" x14ac:dyDescent="0.2">
      <c r="A5" s="147"/>
      <c r="B5" s="689" t="s">
        <v>571</v>
      </c>
      <c r="C5" s="692" t="s">
        <v>572</v>
      </c>
      <c r="D5" s="692" t="s">
        <v>581</v>
      </c>
      <c r="E5" s="123"/>
      <c r="F5" s="123"/>
    </row>
    <row r="6" spans="1:6" x14ac:dyDescent="0.2">
      <c r="A6" s="148" t="s">
        <v>573</v>
      </c>
      <c r="B6" s="690"/>
      <c r="C6" s="693"/>
      <c r="D6" s="693"/>
      <c r="E6" s="123"/>
      <c r="F6" s="123"/>
    </row>
    <row r="7" spans="1:6" ht="13.5" thickBot="1" x14ac:dyDescent="0.25">
      <c r="A7" s="149"/>
      <c r="B7" s="691"/>
      <c r="C7" s="694"/>
      <c r="D7" s="694"/>
      <c r="E7" s="123"/>
      <c r="F7" s="123"/>
    </row>
    <row r="8" spans="1:6" x14ac:dyDescent="0.2">
      <c r="A8" s="682">
        <v>1</v>
      </c>
      <c r="B8" s="685"/>
      <c r="C8" s="685"/>
      <c r="D8" s="685"/>
      <c r="E8" s="123"/>
      <c r="F8" s="123"/>
    </row>
    <row r="9" spans="1:6" x14ac:dyDescent="0.2">
      <c r="A9" s="683"/>
      <c r="B9" s="686"/>
      <c r="C9" s="686"/>
      <c r="D9" s="686"/>
      <c r="E9" s="123"/>
      <c r="F9" s="123"/>
    </row>
    <row r="10" spans="1:6" x14ac:dyDescent="0.2">
      <c r="A10" s="683"/>
      <c r="B10" s="686"/>
      <c r="C10" s="686"/>
      <c r="D10" s="686"/>
      <c r="E10" s="123"/>
      <c r="F10" s="123"/>
    </row>
    <row r="11" spans="1:6" x14ac:dyDescent="0.2">
      <c r="A11" s="683"/>
      <c r="B11" s="686"/>
      <c r="C11" s="686"/>
      <c r="D11" s="686"/>
      <c r="E11" s="123"/>
      <c r="F11" s="123"/>
    </row>
    <row r="12" spans="1:6" ht="13.5" thickBot="1" x14ac:dyDescent="0.25">
      <c r="A12" s="684"/>
      <c r="B12" s="687"/>
      <c r="C12" s="687"/>
      <c r="D12" s="687"/>
      <c r="E12" s="123"/>
      <c r="F12" s="123"/>
    </row>
    <row r="13" spans="1:6" x14ac:dyDescent="0.2">
      <c r="A13" s="682">
        <v>2</v>
      </c>
      <c r="B13" s="685"/>
      <c r="C13" s="685"/>
      <c r="D13" s="685"/>
      <c r="E13" s="123"/>
      <c r="F13" s="123"/>
    </row>
    <row r="14" spans="1:6" x14ac:dyDescent="0.2">
      <c r="A14" s="683"/>
      <c r="B14" s="686"/>
      <c r="C14" s="686"/>
      <c r="D14" s="686"/>
      <c r="E14" s="123"/>
      <c r="F14" s="123"/>
    </row>
    <row r="15" spans="1:6" x14ac:dyDescent="0.2">
      <c r="A15" s="683"/>
      <c r="B15" s="686"/>
      <c r="C15" s="686"/>
      <c r="D15" s="686"/>
      <c r="E15" s="123"/>
      <c r="F15" s="123"/>
    </row>
    <row r="16" spans="1:6" x14ac:dyDescent="0.2">
      <c r="A16" s="683"/>
      <c r="B16" s="686"/>
      <c r="C16" s="686"/>
      <c r="D16" s="686"/>
      <c r="E16" s="123"/>
      <c r="F16" s="123"/>
    </row>
    <row r="17" spans="1:6" ht="13.5" thickBot="1" x14ac:dyDescent="0.25">
      <c r="A17" s="684"/>
      <c r="B17" s="687"/>
      <c r="C17" s="687"/>
      <c r="D17" s="687"/>
      <c r="E17" s="123"/>
      <c r="F17" s="123"/>
    </row>
    <row r="18" spans="1:6" x14ac:dyDescent="0.2">
      <c r="A18" s="682">
        <v>3</v>
      </c>
      <c r="B18" s="685"/>
      <c r="C18" s="685"/>
      <c r="D18" s="685"/>
      <c r="E18" s="123"/>
      <c r="F18" s="123"/>
    </row>
    <row r="19" spans="1:6" x14ac:dyDescent="0.2">
      <c r="A19" s="683"/>
      <c r="B19" s="686"/>
      <c r="C19" s="686"/>
      <c r="D19" s="686"/>
      <c r="E19" s="123"/>
      <c r="F19" s="123"/>
    </row>
    <row r="20" spans="1:6" x14ac:dyDescent="0.2">
      <c r="A20" s="683"/>
      <c r="B20" s="686"/>
      <c r="C20" s="686"/>
      <c r="D20" s="686"/>
      <c r="E20" s="123"/>
      <c r="F20" s="123"/>
    </row>
    <row r="21" spans="1:6" x14ac:dyDescent="0.2">
      <c r="A21" s="683"/>
      <c r="B21" s="686"/>
      <c r="C21" s="686"/>
      <c r="D21" s="686"/>
      <c r="E21" s="123"/>
      <c r="F21" s="123"/>
    </row>
    <row r="22" spans="1:6" ht="13.5" thickBot="1" x14ac:dyDescent="0.25">
      <c r="A22" s="684"/>
      <c r="B22" s="687"/>
      <c r="C22" s="687"/>
      <c r="D22" s="687"/>
      <c r="E22" s="123"/>
      <c r="F22" s="123"/>
    </row>
    <row r="23" spans="1:6" x14ac:dyDescent="0.2">
      <c r="A23" s="682">
        <v>4</v>
      </c>
      <c r="B23" s="685"/>
      <c r="C23" s="685"/>
      <c r="D23" s="685"/>
      <c r="E23" s="123"/>
      <c r="F23" s="123"/>
    </row>
    <row r="24" spans="1:6" x14ac:dyDescent="0.2">
      <c r="A24" s="683"/>
      <c r="B24" s="686"/>
      <c r="C24" s="686"/>
      <c r="D24" s="686"/>
      <c r="E24" s="123"/>
      <c r="F24" s="123"/>
    </row>
    <row r="25" spans="1:6" x14ac:dyDescent="0.2">
      <c r="A25" s="683"/>
      <c r="B25" s="686"/>
      <c r="C25" s="686"/>
      <c r="D25" s="686"/>
      <c r="E25" s="123"/>
      <c r="F25" s="123"/>
    </row>
    <row r="26" spans="1:6" x14ac:dyDescent="0.2">
      <c r="A26" s="683"/>
      <c r="B26" s="686"/>
      <c r="C26" s="686"/>
      <c r="D26" s="686"/>
      <c r="E26" s="123"/>
      <c r="F26" s="123"/>
    </row>
    <row r="27" spans="1:6" ht="13.5" thickBot="1" x14ac:dyDescent="0.25">
      <c r="A27" s="684"/>
      <c r="B27" s="687"/>
      <c r="C27" s="687"/>
      <c r="D27" s="687"/>
      <c r="E27" s="123"/>
      <c r="F27" s="123"/>
    </row>
    <row r="28" spans="1:6" ht="13.5" thickBot="1" x14ac:dyDescent="0.25">
      <c r="A28" s="145"/>
      <c r="B28" s="146"/>
      <c r="C28" s="146"/>
      <c r="D28" s="146"/>
      <c r="E28" s="123"/>
      <c r="F28" s="123"/>
    </row>
    <row r="29" spans="1:6" x14ac:dyDescent="0.2">
      <c r="A29" s="150" t="s">
        <v>574</v>
      </c>
      <c r="B29" s="151"/>
      <c r="C29" s="152"/>
      <c r="D29" s="152"/>
      <c r="E29" s="124"/>
      <c r="F29" s="124"/>
    </row>
    <row r="30" spans="1:6" x14ac:dyDescent="0.2">
      <c r="A30" s="153" t="s">
        <v>1282</v>
      </c>
      <c r="B30" s="154"/>
      <c r="C30" s="152"/>
      <c r="D30" s="152"/>
      <c r="E30" s="124"/>
      <c r="F30" s="124"/>
    </row>
    <row r="31" spans="1:6" x14ac:dyDescent="0.2">
      <c r="A31" s="153" t="s">
        <v>1283</v>
      </c>
      <c r="B31" s="154"/>
      <c r="C31" s="152"/>
      <c r="D31" s="152"/>
      <c r="E31" s="124"/>
      <c r="F31" s="124"/>
    </row>
    <row r="32" spans="1:6" ht="13.5" thickBot="1" x14ac:dyDescent="0.25">
      <c r="A32" s="155" t="s">
        <v>575</v>
      </c>
      <c r="B32" s="156"/>
      <c r="C32" s="152"/>
      <c r="D32" s="152"/>
      <c r="E32" s="124"/>
      <c r="F32" s="124"/>
    </row>
    <row r="33" spans="1:6" ht="13.5" thickBot="1" x14ac:dyDescent="0.25">
      <c r="A33" s="146"/>
      <c r="B33" s="146"/>
      <c r="C33" s="146"/>
      <c r="D33" s="146"/>
      <c r="E33" s="123"/>
      <c r="F33" s="123"/>
    </row>
    <row r="34" spans="1:6" x14ac:dyDescent="0.2">
      <c r="A34" s="695" t="s">
        <v>576</v>
      </c>
      <c r="B34" s="696"/>
      <c r="C34" s="696"/>
      <c r="D34" s="697"/>
      <c r="E34" s="123"/>
      <c r="F34" s="123"/>
    </row>
    <row r="35" spans="1:6" x14ac:dyDescent="0.2">
      <c r="A35" s="698"/>
      <c r="B35" s="699"/>
      <c r="C35" s="699"/>
      <c r="D35" s="700"/>
      <c r="E35" s="123"/>
      <c r="F35" s="123"/>
    </row>
    <row r="36" spans="1:6" x14ac:dyDescent="0.2">
      <c r="A36" s="698"/>
      <c r="B36" s="699"/>
      <c r="C36" s="699"/>
      <c r="D36" s="700"/>
      <c r="E36" s="123"/>
      <c r="F36" s="123"/>
    </row>
    <row r="37" spans="1:6" x14ac:dyDescent="0.2">
      <c r="A37" s="698"/>
      <c r="B37" s="699"/>
      <c r="C37" s="699"/>
      <c r="D37" s="700"/>
      <c r="E37" s="123"/>
      <c r="F37" s="123"/>
    </row>
    <row r="38" spans="1:6" x14ac:dyDescent="0.2">
      <c r="A38" s="698"/>
      <c r="B38" s="699"/>
      <c r="C38" s="699"/>
      <c r="D38" s="700"/>
      <c r="E38" s="123"/>
      <c r="F38" s="123"/>
    </row>
    <row r="39" spans="1:6" ht="13.5" thickBot="1" x14ac:dyDescent="0.25">
      <c r="A39" s="701"/>
      <c r="B39" s="702"/>
      <c r="C39" s="702"/>
      <c r="D39" s="703"/>
      <c r="E39" s="123"/>
      <c r="F39" s="123"/>
    </row>
    <row r="40" spans="1:6" ht="13.5" thickBot="1" x14ac:dyDescent="0.25">
      <c r="A40" s="146"/>
      <c r="B40" s="146"/>
      <c r="C40" s="146"/>
      <c r="D40" s="146"/>
    </row>
    <row r="41" spans="1:6" s="110" customFormat="1" ht="24.95" customHeight="1" x14ac:dyDescent="0.2">
      <c r="A41" s="707" t="s">
        <v>582</v>
      </c>
      <c r="B41" s="708"/>
      <c r="C41" s="706" t="s">
        <v>1284</v>
      </c>
    </row>
    <row r="42" spans="1:6" s="110" customFormat="1" ht="24.95" customHeight="1" x14ac:dyDescent="0.2">
      <c r="A42" s="709"/>
      <c r="B42" s="710"/>
      <c r="C42" s="656"/>
    </row>
    <row r="43" spans="1:6" s="110" customFormat="1" ht="24.95" customHeight="1" x14ac:dyDescent="0.2">
      <c r="A43" s="709"/>
      <c r="B43" s="710"/>
      <c r="C43" s="656"/>
    </row>
    <row r="44" spans="1:6" s="110" customFormat="1" ht="24.95" customHeight="1" x14ac:dyDescent="0.2">
      <c r="A44" s="709"/>
      <c r="B44" s="710"/>
      <c r="C44" s="656"/>
    </row>
    <row r="45" spans="1:6" s="110" customFormat="1" ht="24.95" customHeight="1" thickBot="1" x14ac:dyDescent="0.25">
      <c r="A45" s="711"/>
      <c r="B45" s="712"/>
      <c r="C45" s="657"/>
    </row>
    <row r="46" spans="1:6" x14ac:dyDescent="0.2">
      <c r="A46" s="146"/>
      <c r="B46" s="146"/>
      <c r="C46" s="146"/>
      <c r="D46" s="146"/>
    </row>
  </sheetData>
  <mergeCells count="24">
    <mergeCell ref="D23:D27"/>
    <mergeCell ref="A34:D39"/>
    <mergeCell ref="A3:D3"/>
    <mergeCell ref="C41:C45"/>
    <mergeCell ref="A41:B45"/>
    <mergeCell ref="B18:B22"/>
    <mergeCell ref="C18:C22"/>
    <mergeCell ref="A23:A27"/>
    <mergeCell ref="B23:B27"/>
    <mergeCell ref="C23:C27"/>
    <mergeCell ref="A1:D1"/>
    <mergeCell ref="B5:B7"/>
    <mergeCell ref="C5:C7"/>
    <mergeCell ref="D5:D7"/>
    <mergeCell ref="A8:A12"/>
    <mergeCell ref="B8:B12"/>
    <mergeCell ref="C8:C12"/>
    <mergeCell ref="D8:D12"/>
    <mergeCell ref="A13:A17"/>
    <mergeCell ref="B13:B17"/>
    <mergeCell ref="C13:C17"/>
    <mergeCell ref="D13:D17"/>
    <mergeCell ref="A18:A22"/>
    <mergeCell ref="D18:D22"/>
  </mergeCells>
  <phoneticPr fontId="67" type="noConversion"/>
  <conditionalFormatting sqref="C41">
    <cfRule type="cellIs" dxfId="0" priority="1" operator="equal">
      <formula>"not known"</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32</vt:i4>
      </vt:variant>
    </vt:vector>
  </HeadingPairs>
  <TitlesOfParts>
    <vt:vector size="38" baseType="lpstr">
      <vt:lpstr>Form</vt:lpstr>
      <vt:lpstr>Sheet2</vt:lpstr>
      <vt:lpstr>New Applicant</vt:lpstr>
      <vt:lpstr>pre join medical questionnaire </vt:lpstr>
      <vt:lpstr>Bank details</vt:lpstr>
      <vt:lpstr>nomination form </vt:lpstr>
      <vt:lpstr>rng_Court</vt:lpstr>
      <vt:lpstr>rng_Currency</vt:lpstr>
      <vt:lpstr>rng_engmodel</vt:lpstr>
      <vt:lpstr>rng_Future</vt:lpstr>
      <vt:lpstr>rng_health</vt:lpstr>
      <vt:lpstr>rng_rejectedVisa</vt:lpstr>
      <vt:lpstr>rng_Signoff</vt:lpstr>
      <vt:lpstr>rng_SOffReason</vt:lpstr>
      <vt:lpstr>rng_SusLicence</vt:lpstr>
      <vt:lpstr>rng_WillingPos</vt:lpstr>
      <vt:lpstr>rng12Months</vt:lpstr>
      <vt:lpstr>rngCountry</vt:lpstr>
      <vt:lpstr>rngCourse1</vt:lpstr>
      <vt:lpstr>rngEngineType1</vt:lpstr>
      <vt:lpstr>rngInsertCourses</vt:lpstr>
      <vt:lpstr>rngInsertLicence</vt:lpstr>
      <vt:lpstr>rngInsertSeaExp</vt:lpstr>
      <vt:lpstr>rngInsertSeamanBook</vt:lpstr>
      <vt:lpstr>rngLicence1</vt:lpstr>
      <vt:lpstr>rngNationality2</vt:lpstr>
      <vt:lpstr>rngNationality4</vt:lpstr>
      <vt:lpstr>rngNationality5</vt:lpstr>
      <vt:lpstr>rngOperation</vt:lpstr>
      <vt:lpstr>rngOtherDoc1</vt:lpstr>
      <vt:lpstr>rngRank1</vt:lpstr>
      <vt:lpstr>rngRelation1</vt:lpstr>
      <vt:lpstr>rngTotalRows</vt:lpstr>
      <vt:lpstr>rngType1</vt:lpstr>
      <vt:lpstr>rngYesNo</vt:lpstr>
      <vt:lpstr>Form!Область_печати</vt:lpstr>
      <vt:lpstr>'pre join medical questionnaire '!Область_печати</vt:lpstr>
      <vt:lpstr>Sheet2!Область_печати</vt:lpstr>
    </vt:vector>
  </TitlesOfParts>
  <Manager>VKrichun@bollard-marine.group</Manager>
  <Company>ООО "БОЛЛАРД"</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Bollard; Chandy</dc:creator>
  <cp:lastPrinted>2015-09-07T10:24:24Z</cp:lastPrinted>
  <dcterms:created xsi:type="dcterms:W3CDTF">1996-10-14T23:33:28Z</dcterms:created>
  <dcterms:modified xsi:type="dcterms:W3CDTF">2017-07-24T09:06:31Z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0x010100ED715BA5FBCF9A45ADD5A7CE801D409A</vt:lpwstr>
  </property>
  <property fmtid="{D5CDD505-2E9C-101B-9397-08002B2CF9AE}" pid="3" name="DocumentDepartment">
    <vt:lpwstr>3000 Crewing</vt:lpwstr>
  </property>
  <property fmtid="{D5CDD505-2E9C-101B-9397-08002B2CF9AE}" pid="4" name="ProcedureNumber">
    <vt:lpwstr>FRM-OFF-03-3001-003</vt:lpwstr>
  </property>
  <property fmtid="{D5CDD505-2E9C-101B-9397-08002B2CF9AE}" pid="5" name="Name Procedure">
    <vt:lpwstr>Crew Management</vt:lpwstr>
  </property>
  <property fmtid="{D5CDD505-2E9C-101B-9397-08002B2CF9AE}" pid="6" name="Remarks">
    <vt:lpwstr>Reviewed by PB due to SL Project 2.0</vt:lpwstr>
  </property>
  <property fmtid="{D5CDD505-2E9C-101B-9397-08002B2CF9AE}" pid="7" name="DocumentOwner">
    <vt:lpwstr>Group Crewing Manager</vt:lpwstr>
  </property>
  <property fmtid="{D5CDD505-2E9C-101B-9397-08002B2CF9AE}" pid="8" name="IssueDate">
    <vt:lpwstr>2015-06-15T02:00:00Z</vt:lpwstr>
  </property>
  <property fmtid="{D5CDD505-2E9C-101B-9397-08002B2CF9AE}" pid="9" name="DLCPolicyLabelValue">
    <vt:lpwstr>1.0 DOC. UNCONTROLLED WHEN PRINTED</vt:lpwstr>
  </property>
  <property fmtid="{D5CDD505-2E9C-101B-9397-08002B2CF9AE}" pid="10" name="DLCPolicyLabelLock">
    <vt:lpwstr/>
  </property>
  <property fmtid="{D5CDD505-2E9C-101B-9397-08002B2CF9AE}" pid="11" name="DLCPolicyLabelClientValue">
    <vt:lpwstr>UNCONTROLLED DOCUMENT {_UIVersionString} 
</vt:lpwstr>
  </property>
  <property fmtid="{D5CDD505-2E9C-101B-9397-08002B2CF9AE}" pid="12" name="Element0">
    <vt:lpwstr/>
  </property>
</Properties>
</file>