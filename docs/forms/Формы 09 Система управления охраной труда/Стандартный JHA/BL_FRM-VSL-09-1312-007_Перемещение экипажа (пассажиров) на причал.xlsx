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Vladislav\Desktop\SMS BOLLARD\Формы SMS\Forms 09 Система управления охраной труда\Стандартный JHA\"/>
    </mc:Choice>
  </mc:AlternateContent>
  <xr:revisionPtr revIDLastSave="0" documentId="13_ncr:1_{E04A91F1-F689-4C86-A7CC-61EA771075DB}" xr6:coauthVersionLast="47" xr6:coauthVersionMax="47" xr10:uidLastSave="{00000000-0000-0000-0000-000000000000}"/>
  <bookViews>
    <workbookView xWindow="-120" yWindow="-120" windowWidth="29040" windowHeight="15720" tabRatio="307" activeTab="1" xr2:uid="{00000000-000D-0000-FFFF-FFFF00000000}"/>
  </bookViews>
  <sheets>
    <sheet name="АСОР" sheetId="1" r:id="rId1"/>
    <sheet name="МОР" sheetId="4" r:id="rId2"/>
  </sheets>
  <definedNames>
    <definedName name="Strongly_emphasise_each_individual_s__71" localSheetId="0">АСОР!$O$56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АСОР!$A$1:$M$46</definedName>
    <definedName name="_xlnm.Print_Area" localSheetId="1">МОР!$A$1:$V$34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4" i="1" l="1"/>
  <c r="U14" i="1"/>
  <c r="S15" i="1"/>
  <c r="U15" i="1"/>
  <c r="T14" i="1"/>
  <c r="V14" i="1"/>
  <c r="S9" i="1"/>
  <c r="U9" i="1"/>
  <c r="F9" i="1"/>
  <c r="S10" i="1"/>
  <c r="U10" i="1"/>
  <c r="F10" i="1"/>
  <c r="S11" i="1"/>
  <c r="U11" i="1"/>
  <c r="F11" i="1"/>
  <c r="S13" i="1"/>
  <c r="U13" i="1"/>
  <c r="F13" i="1"/>
  <c r="T23" i="1"/>
  <c r="V23" i="1"/>
  <c r="S23" i="1"/>
  <c r="U23" i="1"/>
  <c r="T22" i="1"/>
  <c r="V22" i="1"/>
  <c r="S22" i="1"/>
  <c r="U22" i="1"/>
  <c r="T21" i="1"/>
  <c r="V21" i="1"/>
  <c r="S21" i="1"/>
  <c r="U21" i="1"/>
  <c r="T20" i="1"/>
  <c r="V20" i="1"/>
  <c r="S20" i="1"/>
  <c r="U20" i="1"/>
  <c r="T19" i="1"/>
  <c r="V19" i="1"/>
  <c r="S19" i="1"/>
  <c r="U19" i="1"/>
  <c r="T18" i="1"/>
  <c r="V18" i="1"/>
  <c r="S18" i="1"/>
  <c r="U18" i="1"/>
  <c r="T17" i="1"/>
  <c r="V17" i="1"/>
  <c r="S17" i="1"/>
  <c r="U17" i="1"/>
  <c r="T16" i="1"/>
  <c r="V16" i="1"/>
  <c r="S16" i="1"/>
  <c r="U16" i="1"/>
  <c r="T15" i="1"/>
  <c r="V15" i="1"/>
  <c r="T13" i="1"/>
  <c r="V13" i="1"/>
  <c r="M13" i="1"/>
  <c r="T11" i="1"/>
  <c r="V11" i="1"/>
  <c r="M11" i="1"/>
  <c r="T10" i="1"/>
  <c r="V10" i="1"/>
  <c r="M10" i="1"/>
  <c r="T9" i="1"/>
  <c r="V9" i="1"/>
  <c r="M9" i="1"/>
  <c r="U8" i="1"/>
</calcChain>
</file>

<file path=xl/sharedStrings.xml><?xml version="1.0" encoding="utf-8"?>
<sst xmlns="http://schemas.openxmlformats.org/spreadsheetml/2006/main" count="180" uniqueCount="161">
  <si>
    <r>
      <rPr>
        <b/>
        <sz val="10"/>
        <color theme="0"/>
        <rFont val="Arial"/>
        <family val="2"/>
      </rPr>
      <t>Date / Дата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</si>
  <si>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</si>
  <si>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</si>
  <si>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</si>
  <si>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</si>
  <si>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</si>
  <si>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</si>
  <si>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</si>
  <si>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</si>
  <si>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rgb="FF000000"/>
        <rFont val="Arial"/>
        <family val="2"/>
      </rPr>
      <t>Fully review and discuss the completed JHA with particular attention to identified hazards and the methods of controlling / removing them / Полный обзор и обсуждение составленного АСОР с особым вниманием на выявленные опасности и методы их контроля / устранения.</t>
    </r>
  </si>
  <si>
    <r>
      <rPr>
        <sz val="10"/>
        <color theme="0"/>
        <rFont val="Arial"/>
        <family val="2"/>
      </rPr>
      <t>Full Name / ФИО</t>
    </r>
  </si>
  <si>
    <r>
      <rPr>
        <sz val="10"/>
        <color theme="0"/>
        <rFont val="Arial"/>
        <family val="2"/>
      </rPr>
      <t>Job Title / Должность</t>
    </r>
  </si>
  <si>
    <r>
      <rPr>
        <sz val="10"/>
        <color theme="0"/>
        <rFont val="Arial"/>
        <family val="2"/>
      </rPr>
      <t>Signature / Подпись</t>
    </r>
  </si>
  <si>
    <r>
      <rPr>
        <sz val="10"/>
        <color theme="0"/>
        <rFont val="Arial"/>
        <family val="2"/>
      </rPr>
      <t>Comments, if any    "SAFETY IS MY PERSONAL VALUE" / Замечания, если имеются «БЕЗОПАСНОСТЬ - МОЯ ЛИЧНАЯ ЦЕННОСТЬ»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</si>
  <si>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</si>
  <si>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</si>
  <si>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</si>
  <si>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</si>
  <si>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</si>
  <si>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</si>
  <si>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</si>
  <si>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</si>
  <si>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</si>
  <si>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</si>
  <si>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</si>
  <si>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</si>
  <si>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</si>
  <si>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</si>
  <si>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</si>
  <si>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</si>
  <si>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</si>
  <si>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</si>
  <si>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</si>
  <si>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</si>
  <si>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</si>
  <si>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</si>
  <si>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</si>
  <si>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</si>
  <si>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</si>
  <si>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</si>
  <si>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</si>
  <si>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</si>
  <si>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</si>
  <si>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</si>
  <si>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</si>
  <si>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</si>
  <si>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</si>
  <si>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</si>
  <si>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</si>
  <si>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</si>
  <si>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</si>
  <si>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</si>
  <si>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</si>
  <si>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</si>
  <si>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</si>
  <si>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</si>
  <si>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</si>
  <si>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</si>
  <si>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</si>
  <si>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</si>
  <si>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</si>
  <si>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АНАЛИЗ СТЕПЕНИ ОПАСНОСТИ РАБОТ (АСОР)</t>
  </si>
  <si>
    <t>FRM-VSL-007</t>
  </si>
  <si>
    <t>Номер оценки рисков</t>
  </si>
  <si>
    <t>Парадный трап, сходня, спасательные средства</t>
  </si>
  <si>
    <t>Исходный риск</t>
  </si>
  <si>
    <t xml:space="preserve"> Оборудование</t>
  </si>
  <si>
    <t>Остаточный риск</t>
  </si>
  <si>
    <t>Этап</t>
  </si>
  <si>
    <t>Этапы работ</t>
  </si>
  <si>
    <t>Источник опасности / Энергия / Сценарий потенциального несчастного случая</t>
  </si>
  <si>
    <t>Степень тяжести</t>
  </si>
  <si>
    <t>Вероятность</t>
  </si>
  <si>
    <t xml:space="preserve">Доступ на буксир/берег затруднен или плохо освещен в темное время суток. </t>
  </si>
  <si>
    <t>Меры контроля для снижения риска</t>
  </si>
  <si>
    <t>Риск</t>
  </si>
  <si>
    <t>Травмы персонала в результате поскальзывания, или падения. Передача багажа. Травма с потерей рабочего времени. Более серьезные травмы не исключены, но считаются маловероятными. Персонал может ошибиться при выполнении "шага через борт" и упасть в воду. Багаж может выпасть из сетки и травмировать персонал, стоящий на палубе, а также повредиться.</t>
  </si>
  <si>
    <t xml:space="preserve">Зона перегрузки как на судне, так и на причале должна быть:  Хорошо освещена в темное время суток. Свободной от препятствий. Без масленых/мазутных пятен. При необходимости следует предусмотреть ступеньку, чтобы людям не приходилось "тянуться", чтобы добраться до нее. Персонал не должен нести багаж при пересадке на/из судна. На судне и на причале должен находиться человек для оказания помощи.  Обеспечьте надлежащую сетку или подъемное устройство для переноса багажа. </t>
  </si>
  <si>
    <t>Неконтролируемое движение ошвартованного у причала судна</t>
  </si>
  <si>
    <t>Травмы персонала в результате скольжения, падения или падения между судном и причалом.  Повреждение трапа в результате движения судна. Потеря рабочего времени. Не исключена более серьезная травма. Повреждение трапа, требующее ремонта.</t>
  </si>
  <si>
    <t xml:space="preserve">Для предотвращения движения судна у причала необходимо использовать соответствующие швартовые линии. Пересадка должна осуществляться только после подтверждения капитана, что судно ошвартовано безопасно. Выбирайте место для швартовки, защищенное от волн и ветра. </t>
  </si>
  <si>
    <t xml:space="preserve">Неправильно установленный или неподходящий трап (сходня).
</t>
  </si>
  <si>
    <t>Травмы персонала в результате поскальзывания, падения или падения между судном и причалом. Повреждение трапа из-за неправильной установки. Потеря рабочего времени. Не исключена более серьезная травма. Повреждение трапа, требующее ремонта.</t>
  </si>
  <si>
    <t xml:space="preserve">Трап должен быть: Оборудован защитными сетками и боковыми поручнями. Закреплен так, чтобы предотвратить ненужное движение.  Иметь протекторы для предотвращения скольжения. Изготовлен авторитетной компанией, сертифицирован и протестирован. 
</t>
  </si>
  <si>
    <t>Риски не выявлены персоналом, переходящим с/на причал.</t>
  </si>
  <si>
    <t>Травмы персонала в результате поскальзывания, падения или падения между судном и причалом. Травма с потерей рабочего времени. Не исключены более серьезные травмы.</t>
  </si>
  <si>
    <t>С экипажем необходимо регулярно проводить беседы о безопасной пересадке на причал и с причала.  Пересадка должна осуществляться по трапу; люди не должны перепрыгивать без него на причал.  Используйте стоп-карты для закрепления правильного поведения.  Персонал должен носить соответствующие СИЗ (каски, защитные ботинки, перчатки, спасательные жилеты и защитные очки).</t>
  </si>
  <si>
    <t>Человек за орбтом</t>
  </si>
  <si>
    <t>Травма с потерей рабочего времени. Не исключен летальный исход.</t>
  </si>
  <si>
    <t xml:space="preserve">Защитные ограждения / перила и т.д. должны поддерживаться в хорошем состоянии, на причале и на борту буксира.  Боковые ворота и лоц.порты должны быть закрыты, когда вы находитесь в море. Члены экипажа должны носить СИЗ, соответствующие выполняемой ими работе.  Спасательное оборудование должно регулярно проверяться и тестироваться. 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</si>
  <si>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</si>
  <si>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 xml:space="preserve"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</si>
  <si>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t>Учетная документация по инструктажам на рабочем месте</t>
  </si>
  <si>
    <r>
      <rPr>
        <b/>
        <sz val="10"/>
        <color rgb="FF000000"/>
        <rFont val="Arial"/>
        <family val="2"/>
        <charset val="204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  <family val="2"/>
        <charset val="204"/>
      </rPr>
      <t>необходимо</t>
    </r>
    <r>
      <rPr>
        <b/>
        <sz val="10"/>
        <color rgb="FF000000"/>
        <rFont val="Arial"/>
        <family val="2"/>
        <charset val="204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  <family val="2"/>
        <charset val="204"/>
      </rPr>
      <t>следует</t>
    </r>
    <r>
      <rPr>
        <b/>
        <sz val="10"/>
        <color rgb="FF000000"/>
        <rFont val="Arial"/>
        <family val="2"/>
        <charset val="204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</si>
  <si>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 xml:space="preserve"> 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</si>
  <si>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</si>
  <si>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</si>
  <si>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</si>
  <si>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</si>
  <si>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</si>
  <si>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</si>
  <si>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</si>
  <si>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</si>
  <si>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</si>
  <si>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</si>
  <si>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</si>
  <si>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</si>
  <si>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</si>
  <si>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</si>
  <si>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</si>
  <si>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</si>
  <si>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</si>
  <si>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</si>
  <si>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</si>
  <si>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</si>
  <si>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</si>
  <si>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</si>
  <si>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</si>
  <si>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</si>
  <si>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</si>
  <si>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</si>
  <si>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</si>
  <si>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</si>
  <si>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</si>
  <si>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</si>
  <si>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</si>
  <si>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</si>
  <si>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</si>
  <si>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</si>
  <si>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</si>
  <si>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</si>
  <si>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</si>
  <si>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</si>
  <si>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</si>
  <si>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</si>
  <si>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>Умеренное повреждение 
&lt;50.000€ / евро</t>
  </si>
  <si>
    <t>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</si>
  <si>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</si>
  <si>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</si>
  <si>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>Значительное воздействие
1-10 баррелей</t>
  </si>
  <si>
    <t>Значительное негативное воздействие</t>
  </si>
  <si>
    <t>Задержка 48 часов – 7 дней</t>
  </si>
  <si>
    <t>Сильное негативное воздействие</t>
  </si>
  <si>
    <t>Задержка более 7 дней</t>
  </si>
  <si>
    <t>Описание работ</t>
  </si>
  <si>
    <t>Название судна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</si>
  <si>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</si>
  <si>
    <t xml:space="preserve">перемещение экипажа/персонала с/на причал
</t>
  </si>
  <si>
    <t>BL_FRM-VSL-09-1312-001</t>
  </si>
  <si>
    <t>File 09 / Папка 09</t>
  </si>
  <si>
    <t>Retention 3 Year / Срок хранения документа 3 года</t>
  </si>
  <si>
    <t xml:space="preserve"> Репутация</t>
  </si>
  <si>
    <t xml:space="preserve"> График</t>
  </si>
  <si>
    <t xml:space="preserve"> Крайне маловероятно</t>
  </si>
  <si>
    <t>Несущественное воздействие 
&lt; 10 литров</t>
  </si>
  <si>
    <t xml:space="preserve"> Травма, ведущая к потере трудоспособности или к частичной нетрудоспособности</t>
  </si>
  <si>
    <t>Умеренное воздействие
 менее - 1 баррель</t>
  </si>
  <si>
    <t xml:space="preserve"> Значительное повреждение 
&lt;500.000€ / евро</t>
  </si>
  <si>
    <t>Более 1 смертельного случая</t>
  </si>
  <si>
    <t>Сильное воздействие
&gt; 10  баррелей</t>
  </si>
  <si>
    <t>Обширное повреждение
&gt; 500.000€ /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</si>
</sst>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8"/>
      <color rgb="FF333399"/>
      <name val="Arial Black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  <font>
      <b/>
      <sz val="14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8E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13" fillId="2" borderId="0" xfId="0" applyFont="1" applyFill="1"/>
    <xf numFmtId="0" fontId="16" fillId="2" borderId="0" xfId="0" applyFont="1" applyFill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5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9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7" fillId="0" borderId="6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5" borderId="3" xfId="0" applyFont="1" applyFill="1" applyBorder="1" applyAlignment="1">
      <alignment horizontal="center" vertical="center" wrapText="1"/>
    </xf>
    <xf numFmtId="0" fontId="22" fillId="5" borderId="7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7" fillId="4" borderId="11" xfId="0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6" borderId="7" xfId="0" applyFont="1" applyFill="1" applyBorder="1" applyAlignment="1">
      <alignment horizontal="center" vertical="center" wrapText="1"/>
    </xf>
    <xf numFmtId="0" fontId="27" fillId="6" borderId="15" xfId="0" applyFont="1" applyFill="1" applyBorder="1" applyAlignment="1">
      <alignment horizontal="center" vertical="center" wrapText="1"/>
    </xf>
    <xf numFmtId="0" fontId="22" fillId="5" borderId="1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25" fillId="2" borderId="18" xfId="0" applyFont="1" applyFill="1" applyBorder="1" applyAlignment="1">
      <alignment horizontal="center"/>
    </xf>
    <xf numFmtId="0" fontId="25" fillId="2" borderId="19" xfId="0" applyFont="1" applyFill="1" applyBorder="1" applyAlignment="1">
      <alignment horizontal="center"/>
    </xf>
    <xf numFmtId="0" fontId="13" fillId="2" borderId="19" xfId="0" applyFont="1" applyFill="1" applyBorder="1"/>
    <xf numFmtId="0" fontId="13" fillId="2" borderId="20" xfId="0" applyFont="1" applyFill="1" applyBorder="1"/>
    <xf numFmtId="0" fontId="3" fillId="2" borderId="28" xfId="0" applyFont="1" applyFill="1" applyBorder="1" applyAlignment="1">
      <alignment horizontal="left" vertical="center" indent="1"/>
    </xf>
    <xf numFmtId="0" fontId="15" fillId="2" borderId="29" xfId="0" applyFont="1" applyFill="1" applyBorder="1" applyAlignment="1">
      <alignment vertical="center"/>
    </xf>
    <xf numFmtId="0" fontId="0" fillId="2" borderId="29" xfId="0" applyFill="1" applyBorder="1" applyAlignment="1">
      <alignment vertical="center" wrapText="1"/>
    </xf>
    <xf numFmtId="0" fontId="0" fillId="2" borderId="28" xfId="0" applyFill="1" applyBorder="1" applyAlignment="1">
      <alignment vertical="center" wrapText="1"/>
    </xf>
    <xf numFmtId="0" fontId="13" fillId="2" borderId="18" xfId="0" applyFont="1" applyFill="1" applyBorder="1"/>
    <xf numFmtId="0" fontId="0" fillId="2" borderId="20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wrapText="1"/>
    </xf>
    <xf numFmtId="0" fontId="5" fillId="2" borderId="29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14" fontId="9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9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9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33" fillId="0" borderId="4" xfId="0" applyFont="1" applyBorder="1" applyAlignment="1" applyProtection="1">
      <alignment horizontal="left" vertical="center" wrapText="1"/>
      <protection locked="0"/>
    </xf>
    <xf numFmtId="0" fontId="33" fillId="0" borderId="1" xfId="0" applyFont="1" applyBorder="1" applyAlignment="1" applyProtection="1">
      <alignment horizontal="left" vertical="center" wrapText="1"/>
      <protection locked="0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0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9" fillId="2" borderId="8" xfId="0" applyFont="1" applyFill="1" applyBorder="1" applyAlignment="1" applyProtection="1">
      <alignment vertical="center" wrapText="1"/>
      <protection locked="0"/>
    </xf>
    <xf numFmtId="0" fontId="9" fillId="2" borderId="17" xfId="0" applyFont="1" applyFill="1" applyBorder="1" applyAlignment="1" applyProtection="1">
      <alignment vertical="center" wrapText="1"/>
      <protection locked="0"/>
    </xf>
    <xf numFmtId="0" fontId="9" fillId="2" borderId="4" xfId="0" applyFont="1" applyFill="1" applyBorder="1" applyAlignment="1" applyProtection="1">
      <alignment vertical="center" wrapText="1"/>
      <protection locked="0"/>
    </xf>
    <xf numFmtId="0" fontId="3" fillId="2" borderId="8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 wrapText="1"/>
    </xf>
    <xf numFmtId="0" fontId="36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35" fillId="2" borderId="8" xfId="0" applyFont="1" applyFill="1" applyBorder="1" applyAlignment="1">
      <alignment horizontal="left" vertical="center" wrapText="1"/>
    </xf>
    <xf numFmtId="0" fontId="10" fillId="2" borderId="17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6" fillId="2" borderId="8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 wrapText="1"/>
    </xf>
    <xf numFmtId="0" fontId="41" fillId="2" borderId="8" xfId="0" applyFont="1" applyFill="1" applyBorder="1" applyAlignment="1">
      <alignment horizontal="left" vertical="center" wrapText="1"/>
    </xf>
    <xf numFmtId="0" fontId="43" fillId="2" borderId="17" xfId="0" applyFont="1" applyFill="1" applyBorder="1" applyAlignment="1">
      <alignment horizontal="left" vertical="center" wrapText="1"/>
    </xf>
    <xf numFmtId="0" fontId="43" fillId="2" borderId="4" xfId="0" applyFont="1" applyFill="1" applyBorder="1" applyAlignment="1">
      <alignment horizontal="left" vertical="center" wrapText="1"/>
    </xf>
    <xf numFmtId="0" fontId="11" fillId="2" borderId="28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9" fillId="0" borderId="17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2" borderId="4" xfId="0" applyFont="1" applyFill="1" applyBorder="1" applyAlignment="1" applyProtection="1">
      <alignment horizontal="left" vertical="center" wrapText="1" shrinkToFit="1"/>
      <protection locked="0"/>
    </xf>
    <xf numFmtId="0" fontId="16" fillId="2" borderId="28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3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6" fillId="7" borderId="25" xfId="0" applyFont="1" applyFill="1" applyBorder="1" applyAlignment="1">
      <alignment horizontal="justify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18" fillId="0" borderId="39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36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7" borderId="30" xfId="0" applyFont="1" applyFill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9" fillId="7" borderId="33" xfId="0" applyFont="1" applyFill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9" fillId="7" borderId="35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37" fillId="2" borderId="0" xfId="0" applyFont="1" applyFill="1" applyAlignment="1">
      <alignment horizontal="center" vertical="center" wrapText="1"/>
    </xf>
    <xf numFmtId="0" fontId="24" fillId="8" borderId="8" xfId="0" applyFont="1" applyFill="1" applyBorder="1" applyAlignment="1">
      <alignment horizontal="right" vertical="center" wrapText="1"/>
    </xf>
    <xf numFmtId="0" fontId="24" fillId="8" borderId="4" xfId="0" applyFont="1" applyFill="1" applyBorder="1" applyAlignment="1">
      <alignment horizontal="right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textRotation="90" wrapText="1"/>
    </xf>
    <xf numFmtId="0" fontId="28" fillId="8" borderId="8" xfId="0" applyFont="1" applyFill="1" applyBorder="1" applyAlignment="1">
      <alignment horizontal="center" vertical="center" wrapText="1"/>
    </xf>
    <xf numFmtId="0" fontId="28" fillId="8" borderId="17" xfId="0" applyFont="1" applyFill="1" applyBorder="1" applyAlignment="1">
      <alignment horizontal="center" vertical="center" wrapText="1"/>
    </xf>
    <xf numFmtId="0" fontId="28" fillId="8" borderId="4" xfId="0" applyFont="1" applyFill="1" applyBorder="1" applyAlignment="1">
      <alignment horizontal="center" vertical="center" wrapText="1"/>
    </xf>
    <xf numFmtId="14" fontId="24" fillId="8" borderId="8" xfId="0" applyNumberFormat="1" applyFont="1" applyFill="1" applyBorder="1" applyAlignment="1">
      <alignment horizontal="center" vertical="center" wrapText="1"/>
    </xf>
    <xf numFmtId="14" fontId="24" fillId="8" borderId="17" xfId="0" applyNumberFormat="1" applyFont="1" applyFill="1" applyBorder="1" applyAlignment="1">
      <alignment horizontal="center" vertical="center" wrapText="1"/>
    </xf>
    <xf numFmtId="14" fontId="24" fillId="8" borderId="4" xfId="0" applyNumberFormat="1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right" vertical="center" wrapText="1"/>
    </xf>
    <xf numFmtId="0" fontId="24" fillId="8" borderId="1" xfId="0" applyFont="1" applyFill="1" applyBorder="1" applyAlignment="1" applyProtection="1">
      <alignment horizontal="center" vertical="center" wrapText="1"/>
      <protection locked="0"/>
    </xf>
    <xf numFmtId="0" fontId="39" fillId="8" borderId="17" xfId="0" applyFont="1" applyFill="1" applyBorder="1" applyAlignment="1">
      <alignment horizontal="left" vertical="center" wrapText="1"/>
    </xf>
    <xf numFmtId="0" fontId="29" fillId="8" borderId="17" xfId="0" applyFont="1" applyFill="1" applyBorder="1" applyAlignment="1">
      <alignment horizontal="left" vertical="center" wrapText="1"/>
    </xf>
    <xf numFmtId="0" fontId="40" fillId="8" borderId="18" xfId="0" applyFont="1" applyFill="1" applyBorder="1" applyAlignment="1">
      <alignment vertical="center"/>
    </xf>
    <xf numFmtId="0" fontId="30" fillId="8" borderId="19" xfId="0" applyFont="1" applyFill="1" applyBorder="1" applyAlignment="1">
      <alignment vertical="center"/>
    </xf>
    <xf numFmtId="0" fontId="31" fillId="8" borderId="19" xfId="0" applyFont="1" applyFill="1" applyBorder="1" applyAlignment="1">
      <alignment horizontal="center"/>
    </xf>
    <xf numFmtId="0" fontId="32" fillId="8" borderId="19" xfId="0" applyFont="1" applyFill="1" applyBorder="1" applyAlignment="1">
      <alignment horizontal="left" vertical="center" indent="1"/>
    </xf>
    <xf numFmtId="0" fontId="28" fillId="8" borderId="19" xfId="0" applyFont="1" applyFill="1" applyBorder="1" applyAlignment="1">
      <alignment vertical="center"/>
    </xf>
    <xf numFmtId="0" fontId="28" fillId="8" borderId="19" xfId="0" applyFont="1" applyFill="1" applyBorder="1" applyAlignment="1">
      <alignment horizontal="left" vertical="center"/>
    </xf>
    <xf numFmtId="0" fontId="28" fillId="8" borderId="20" xfId="0" applyFont="1" applyFill="1" applyBorder="1" applyAlignment="1">
      <alignment horizontal="right" vertical="center"/>
    </xf>
    <xf numFmtId="0" fontId="23" fillId="8" borderId="8" xfId="0" applyFont="1" applyFill="1" applyBorder="1" applyAlignment="1">
      <alignment horizontal="left" vertical="center" wrapText="1"/>
    </xf>
    <xf numFmtId="0" fontId="23" fillId="8" borderId="4" xfId="0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23" fillId="8" borderId="17" xfId="0" applyFont="1" applyFill="1" applyBorder="1" applyAlignment="1">
      <alignment horizontal="left" vertical="center" wrapText="1"/>
    </xf>
    <xf numFmtId="0" fontId="23" fillId="8" borderId="8" xfId="0" applyFont="1" applyFill="1" applyBorder="1" applyAlignment="1">
      <alignment vertical="center" wrapText="1"/>
    </xf>
    <xf numFmtId="0" fontId="23" fillId="8" borderId="4" xfId="0" applyFont="1" applyFill="1" applyBorder="1" applyAlignment="1">
      <alignment vertical="center" wrapText="1"/>
    </xf>
    <xf numFmtId="0" fontId="23" fillId="8" borderId="1" xfId="0" applyFont="1" applyFill="1" applyBorder="1" applyAlignment="1">
      <alignment vertical="center" wrapText="1"/>
    </xf>
    <xf numFmtId="0" fontId="23" fillId="8" borderId="18" xfId="0" applyFont="1" applyFill="1" applyBorder="1" applyAlignment="1">
      <alignment horizontal="center" vertical="center" wrapText="1"/>
    </xf>
    <xf numFmtId="0" fontId="23" fillId="8" borderId="19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14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wrapText="1"/>
    </xf>
    <xf numFmtId="0" fontId="23" fillId="8" borderId="8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44" fillId="3" borderId="6" xfId="0" applyFont="1" applyFill="1" applyBorder="1" applyAlignment="1">
      <alignment horizontal="center" textRotation="90" wrapText="1"/>
    </xf>
    <xf numFmtId="0" fontId="44" fillId="3" borderId="23" xfId="0" applyFont="1" applyFill="1" applyBorder="1" applyAlignment="1">
      <alignment horizontal="center" textRotation="90" wrapText="1"/>
    </xf>
    <xf numFmtId="0" fontId="44" fillId="3" borderId="24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13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0</xdr:col>
      <xdr:colOff>142875</xdr:colOff>
      <xdr:row>2</xdr:row>
      <xdr:rowOff>47626</xdr:rowOff>
    </xdr:from>
    <xdr:to>
      <xdr:col>1</xdr:col>
      <xdr:colOff>1762124</xdr:colOff>
      <xdr:row>2</xdr:row>
      <xdr:rowOff>230667</xdr:rowOff>
    </xdr:to>
    <xdr:pic>
      <xdr:nvPicPr>
        <xdr:cNvPr id="2" name="Рисунок 1" descr="bollard">
          <a:extLst>
            <a:ext uri="{FF2B5EF4-FFF2-40B4-BE49-F238E27FC236}">
              <a16:creationId xmlns:a16="http://schemas.microsoft.com/office/drawing/2014/main" id="{C7BF529F-4EF9-4A62-A777-3113DB6B616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14351"/>
          <a:ext cx="2076449" cy="18304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2" name="Text Box 30">
          <a:extLst>
            <a:ext uri="{FF2B5EF4-FFF2-40B4-BE49-F238E27FC236}">
              <a16:creationId xmlns:a16="http://schemas.microsoft.com/office/drawing/2014/main" id="{AEC43F22-6F30-4442-A043-7DCD8C50F661}"/>
            </a:ext>
          </a:extLst>
        </xdr:cNvPr>
        <xdr:cNvSpPr txBox="1">
          <a:spLocks noChangeArrowheads="1"/>
        </xdr:cNvSpPr>
      </xdr:nvSpPr>
      <xdr:spPr bwMode="auto">
        <a:xfrm>
          <a:off x="19050" y="8467725"/>
          <a:ext cx="2888192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3" name="Text Box 31">
          <a:extLst>
            <a:ext uri="{FF2B5EF4-FFF2-40B4-BE49-F238E27FC236}">
              <a16:creationId xmlns:a16="http://schemas.microsoft.com/office/drawing/2014/main" id="{51B8E7F3-35A2-44BE-B79E-6A2043C61133}"/>
            </a:ext>
          </a:extLst>
        </xdr:cNvPr>
        <xdr:cNvSpPr txBox="1">
          <a:spLocks noChangeArrowheads="1"/>
        </xdr:cNvSpPr>
      </xdr:nvSpPr>
      <xdr:spPr bwMode="auto">
        <a:xfrm>
          <a:off x="28575" y="9534525"/>
          <a:ext cx="2878667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4" name="Text Box 32">
          <a:extLst>
            <a:ext uri="{FF2B5EF4-FFF2-40B4-BE49-F238E27FC236}">
              <a16:creationId xmlns:a16="http://schemas.microsoft.com/office/drawing/2014/main" id="{13A4F381-64C2-413D-A0B1-F85CA651E725}"/>
            </a:ext>
          </a:extLst>
        </xdr:cNvPr>
        <xdr:cNvSpPr txBox="1">
          <a:spLocks noChangeArrowheads="1"/>
        </xdr:cNvSpPr>
      </xdr:nvSpPr>
      <xdr:spPr bwMode="auto">
        <a:xfrm>
          <a:off x="2117" y="10496550"/>
          <a:ext cx="29051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E5D4BAD-8910-4F56-8006-201AEF5C4093}"/>
            </a:ext>
          </a:extLst>
        </xdr:cNvPr>
        <xdr:cNvSpPr txBox="1"/>
      </xdr:nvSpPr>
      <xdr:spPr>
        <a:xfrm>
          <a:off x="2932339" y="8391527"/>
          <a:ext cx="5678261" cy="7592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C0070BE-3D3E-4572-BFE8-94A4A7E0C5D5}"/>
            </a:ext>
          </a:extLst>
        </xdr:cNvPr>
        <xdr:cNvSpPr txBox="1"/>
      </xdr:nvSpPr>
      <xdr:spPr>
        <a:xfrm>
          <a:off x="2934457" y="9401856"/>
          <a:ext cx="5703358" cy="101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1FE2909-F26D-4763-9449-F95B895B4FDC}"/>
            </a:ext>
          </a:extLst>
        </xdr:cNvPr>
        <xdr:cNvSpPr txBox="1"/>
      </xdr:nvSpPr>
      <xdr:spPr>
        <a:xfrm>
          <a:off x="2907242" y="10439400"/>
          <a:ext cx="5703358" cy="11770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C0A4120-C720-455E-B522-EC22A675B44C}"/>
            </a:ext>
          </a:extLst>
        </xdr:cNvPr>
        <xdr:cNvSpPr txBox="1"/>
      </xdr:nvSpPr>
      <xdr:spPr>
        <a:xfrm>
          <a:off x="2862943" y="11704864"/>
          <a:ext cx="5667375" cy="4871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  <xdr:oneCellAnchor>
    <xdr:from>
      <xdr:col>0</xdr:col>
      <xdr:colOff>171450</xdr:colOff>
      <xdr:row>1</xdr:row>
      <xdr:rowOff>66675</xdr:rowOff>
    </xdr:from>
    <xdr:ext cx="2071687" cy="183041"/>
    <xdr:pic>
      <xdr:nvPicPr>
        <xdr:cNvPr id="9" name="Рисунок 8" descr="bollard">
          <a:extLst>
            <a:ext uri="{FF2B5EF4-FFF2-40B4-BE49-F238E27FC236}">
              <a16:creationId xmlns:a16="http://schemas.microsoft.com/office/drawing/2014/main" id="{397E7CC1-E9D1-4429-A927-51BADE89A30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0525"/>
          <a:ext cx="2071687" cy="183041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57"/>
  <sheetViews>
    <sheetView topLeftCell="A33" zoomScale="80" zoomScaleNormal="80" zoomScalePageLayoutView="70" workbookViewId="0">
      <selection activeCell="A45" sqref="A45:B45"/>
    </sheetView>
  </sheetViews>
  <sheetFormatPr defaultColWidth="9.140625" defaultRowHeight="12.75" x14ac:dyDescent="0.2"/>
  <cols>
    <col min="1" max="1" width="6.85546875" style="3" customWidth="1"/>
    <col min="2" max="2" width="28.7109375" style="3" customWidth="1"/>
    <col min="3" max="3" width="66.140625" style="3" customWidth="1"/>
    <col min="4" max="4" width="4.85546875" style="3" customWidth="1"/>
    <col min="5" max="5" width="5.140625" style="3" customWidth="1"/>
    <col min="6" max="6" width="5.285156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285156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31"/>
      <c r="B1" s="132"/>
      <c r="C1" s="51"/>
      <c r="D1" s="52"/>
      <c r="E1" s="52"/>
      <c r="F1" s="52"/>
      <c r="G1" s="53"/>
      <c r="H1" s="54"/>
      <c r="I1" s="1"/>
      <c r="J1" s="59"/>
      <c r="K1" s="53"/>
      <c r="L1" s="53"/>
      <c r="M1" s="60"/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8" t="s">
        <v>20</v>
      </c>
    </row>
    <row r="2" spans="1:23" ht="25.5" customHeight="1" x14ac:dyDescent="0.2">
      <c r="A2" s="133"/>
      <c r="B2" s="134"/>
      <c r="C2" s="55"/>
      <c r="D2" s="50"/>
      <c r="E2" s="50"/>
      <c r="F2" s="50"/>
      <c r="G2" s="50"/>
      <c r="H2" s="56"/>
      <c r="I2" s="4"/>
      <c r="J2" s="117" t="s">
        <v>148</v>
      </c>
      <c r="K2" s="118"/>
      <c r="L2" s="118"/>
      <c r="M2" s="119"/>
      <c r="P2" s="7"/>
      <c r="Q2" s="14">
        <v>1</v>
      </c>
      <c r="R2" s="14" t="s">
        <v>21</v>
      </c>
      <c r="S2" s="15"/>
      <c r="T2" s="15"/>
      <c r="U2" s="15"/>
      <c r="V2" s="15"/>
      <c r="W2" s="18" t="s">
        <v>22</v>
      </c>
    </row>
    <row r="3" spans="1:23" ht="25.5" customHeight="1" x14ac:dyDescent="0.2">
      <c r="A3" s="133"/>
      <c r="B3" s="134"/>
      <c r="C3" s="128" t="s">
        <v>61</v>
      </c>
      <c r="D3" s="129"/>
      <c r="E3" s="129"/>
      <c r="F3" s="129"/>
      <c r="G3" s="129"/>
      <c r="H3" s="130"/>
      <c r="J3" s="117" t="s">
        <v>149</v>
      </c>
      <c r="K3" s="118"/>
      <c r="L3" s="118"/>
      <c r="M3" s="119"/>
      <c r="P3" s="7"/>
      <c r="Q3" s="14">
        <v>2</v>
      </c>
      <c r="R3" s="14" t="s">
        <v>23</v>
      </c>
      <c r="S3" s="15"/>
      <c r="T3" s="15"/>
      <c r="U3" s="15"/>
      <c r="V3" s="15"/>
      <c r="W3" s="18" t="s">
        <v>24</v>
      </c>
    </row>
    <row r="4" spans="1:23" ht="33.75" customHeight="1" x14ac:dyDescent="0.2">
      <c r="A4" s="135"/>
      <c r="B4" s="136"/>
      <c r="C4" s="58"/>
      <c r="H4" s="57"/>
      <c r="J4" s="120" t="s">
        <v>150</v>
      </c>
      <c r="K4" s="121"/>
      <c r="L4" s="121"/>
      <c r="M4" s="122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P5" s="7"/>
      <c r="Q5" s="14">
        <v>3</v>
      </c>
      <c r="R5" s="14" t="s">
        <v>25</v>
      </c>
      <c r="S5" s="15"/>
      <c r="T5" s="15"/>
      <c r="U5" s="15"/>
      <c r="V5" s="15"/>
      <c r="W5" s="18" t="s">
        <v>26</v>
      </c>
    </row>
    <row r="6" spans="1:23" s="7" customFormat="1" ht="57" customHeight="1" x14ac:dyDescent="0.2">
      <c r="A6" s="156" t="s">
        <v>145</v>
      </c>
      <c r="B6" s="157"/>
      <c r="C6" s="72"/>
      <c r="D6" s="62"/>
      <c r="E6" s="62"/>
      <c r="F6" s="63"/>
      <c r="G6" s="166" t="s">
        <v>144</v>
      </c>
      <c r="H6" s="74" t="s">
        <v>147</v>
      </c>
      <c r="I6" s="62"/>
      <c r="J6" s="167" t="s">
        <v>63</v>
      </c>
      <c r="K6" s="123" t="s">
        <v>62</v>
      </c>
      <c r="L6" s="123"/>
      <c r="M6" s="124"/>
      <c r="Q6" s="14">
        <v>4</v>
      </c>
      <c r="R6" s="14" t="s">
        <v>27</v>
      </c>
      <c r="S6" s="14"/>
      <c r="T6" s="14"/>
      <c r="U6" s="14"/>
      <c r="V6" s="14"/>
    </row>
    <row r="7" spans="1:23" s="7" customFormat="1" ht="36" customHeight="1" x14ac:dyDescent="0.2">
      <c r="A7" s="156" t="s">
        <v>0</v>
      </c>
      <c r="B7" s="157"/>
      <c r="C7" s="71"/>
      <c r="D7" s="163" t="s">
        <v>65</v>
      </c>
      <c r="E7" s="164"/>
      <c r="F7" s="165"/>
      <c r="G7" s="166" t="s">
        <v>66</v>
      </c>
      <c r="H7" s="84" t="s">
        <v>64</v>
      </c>
      <c r="I7" s="85"/>
      <c r="J7" s="86"/>
      <c r="K7" s="163" t="s">
        <v>67</v>
      </c>
      <c r="L7" s="164"/>
      <c r="M7" s="165"/>
      <c r="Q7" s="14">
        <v>5</v>
      </c>
      <c r="R7" s="14" t="s">
        <v>28</v>
      </c>
      <c r="S7" s="14"/>
      <c r="T7" s="14"/>
      <c r="U7" s="14"/>
      <c r="V7" s="14"/>
    </row>
    <row r="8" spans="1:23" ht="158.25" customHeight="1" x14ac:dyDescent="0.2">
      <c r="A8" s="158" t="s">
        <v>68</v>
      </c>
      <c r="B8" s="158" t="s">
        <v>69</v>
      </c>
      <c r="C8" s="158" t="s">
        <v>70</v>
      </c>
      <c r="D8" s="159" t="s">
        <v>71</v>
      </c>
      <c r="E8" s="159" t="s">
        <v>72</v>
      </c>
      <c r="F8" s="159" t="s">
        <v>65</v>
      </c>
      <c r="G8" s="160" t="s">
        <v>74</v>
      </c>
      <c r="H8" s="161"/>
      <c r="I8" s="161"/>
      <c r="J8" s="162"/>
      <c r="K8" s="159" t="s">
        <v>71</v>
      </c>
      <c r="L8" s="159" t="s">
        <v>72</v>
      </c>
      <c r="M8" s="159" t="s">
        <v>75</v>
      </c>
      <c r="Q8" s="14"/>
      <c r="R8" s="15"/>
      <c r="S8" s="15"/>
      <c r="T8" s="15"/>
      <c r="U8" s="15" t="str">
        <f>IF(L11="","",IF(N11="","",IF(M11+O11&lt;=5,$W$13,IF(M11+O11=6,$W$14,IF(M11+O11=7,$W$14,IF(M11+O11&gt;=8,$W$15,""))))))</f>
        <v/>
      </c>
      <c r="V8" s="15"/>
    </row>
    <row r="9" spans="1:23" ht="145.5" customHeight="1" x14ac:dyDescent="0.2">
      <c r="A9" s="73">
        <v>1</v>
      </c>
      <c r="B9" s="75" t="s">
        <v>73</v>
      </c>
      <c r="C9" s="76" t="s">
        <v>76</v>
      </c>
      <c r="D9" s="20">
        <v>4</v>
      </c>
      <c r="E9" s="13" t="s">
        <v>1</v>
      </c>
      <c r="F9" s="68" t="str">
        <f t="shared" ref="F9:F13" si="0">IF(D9="","",(IF(E9="","",IF(U9&lt;=1,"",IF(U9&lt;=5,$W$2,IF(U9=6,$W$3,IF(U9=7,$W$3,IF(U9&gt;=8,$W$5,""))))))))</f>
        <v>M</v>
      </c>
      <c r="G9" s="125" t="s">
        <v>77</v>
      </c>
      <c r="H9" s="126"/>
      <c r="I9" s="126"/>
      <c r="J9" s="127"/>
      <c r="K9" s="20">
        <v>1</v>
      </c>
      <c r="L9" s="13" t="s">
        <v>2</v>
      </c>
      <c r="M9" s="64" t="str">
        <f t="shared" ref="M9:M13" si="1">IF(K9="","",(IF(L9="","",IF(V9&lt;=1,"",IF(V9&lt;=5,$W$2,IF(V9=6,$W$3,IF(V9=7,$W$3,IF(V9&gt;=8,$W$5,""))))))))</f>
        <v>L</v>
      </c>
      <c r="Q9" s="14"/>
      <c r="R9" s="15"/>
      <c r="S9" s="19">
        <f>IF(E9="A",1,IF(E9="B",2,IF(E9="C",3,IF(E9="D",4,IF(E9="E",5,"")))))</f>
        <v>3</v>
      </c>
      <c r="T9" s="19">
        <f t="shared" ref="T9:T13" si="2">IF(L9="A",1,IF(L9="B",2,IF(L9="C",3,IF(L9="D",4,IF(L9="E",5,"")))))</f>
        <v>3</v>
      </c>
      <c r="U9" s="15">
        <f>D9+S9</f>
        <v>7</v>
      </c>
      <c r="V9" s="15">
        <f t="shared" ref="V9:V13" si="3">K9+T9</f>
        <v>4</v>
      </c>
    </row>
    <row r="10" spans="1:23" ht="97.5" customHeight="1" x14ac:dyDescent="0.2">
      <c r="A10" s="73">
        <v>2</v>
      </c>
      <c r="B10" s="75" t="s">
        <v>78</v>
      </c>
      <c r="C10" s="77" t="s">
        <v>79</v>
      </c>
      <c r="D10" s="20">
        <v>3</v>
      </c>
      <c r="E10" s="13" t="s">
        <v>3</v>
      </c>
      <c r="F10" s="68" t="str">
        <f t="shared" si="0"/>
        <v>M</v>
      </c>
      <c r="G10" s="125" t="s">
        <v>80</v>
      </c>
      <c r="H10" s="126"/>
      <c r="I10" s="126"/>
      <c r="J10" s="127"/>
      <c r="K10" s="20">
        <v>1</v>
      </c>
      <c r="L10" s="13" t="s">
        <v>4</v>
      </c>
      <c r="M10" s="64" t="str">
        <f t="shared" si="1"/>
        <v>L</v>
      </c>
      <c r="Q10" s="14"/>
      <c r="R10" s="15"/>
      <c r="S10" s="19">
        <f>IF(E10="A",1,IF(E10="B",2,IF(E10="C",3,IF(E10="D",4,IF(E10="E",5,"")))))</f>
        <v>3</v>
      </c>
      <c r="T10" s="19">
        <f t="shared" si="2"/>
        <v>3</v>
      </c>
      <c r="U10" s="15">
        <f>D10+S10</f>
        <v>6</v>
      </c>
      <c r="V10" s="15">
        <f t="shared" si="3"/>
        <v>4</v>
      </c>
    </row>
    <row r="11" spans="1:23" ht="107.25" customHeight="1" x14ac:dyDescent="0.2">
      <c r="A11" s="73">
        <v>3</v>
      </c>
      <c r="B11" s="77" t="s">
        <v>81</v>
      </c>
      <c r="C11" s="77" t="s">
        <v>82</v>
      </c>
      <c r="D11" s="20">
        <v>3</v>
      </c>
      <c r="E11" s="13" t="s">
        <v>5</v>
      </c>
      <c r="F11" s="68" t="str">
        <f t="shared" si="0"/>
        <v>L</v>
      </c>
      <c r="G11" s="125" t="s">
        <v>83</v>
      </c>
      <c r="H11" s="126"/>
      <c r="I11" s="126"/>
      <c r="J11" s="127"/>
      <c r="K11" s="20">
        <v>2</v>
      </c>
      <c r="L11" s="13" t="s">
        <v>6</v>
      </c>
      <c r="M11" s="64" t="str">
        <f t="shared" si="1"/>
        <v>L</v>
      </c>
      <c r="Q11" s="14"/>
      <c r="R11" s="15"/>
      <c r="S11" s="19">
        <f>IF(E11="A",1,IF(E11="B",2,IF(E11="C",3,IF(E11="D",4,IF(E11="E",5,"")))))</f>
        <v>2</v>
      </c>
      <c r="T11" s="19">
        <f t="shared" si="2"/>
        <v>2</v>
      </c>
      <c r="U11" s="15">
        <f>D11+S11</f>
        <v>5</v>
      </c>
      <c r="V11" s="15">
        <f t="shared" si="3"/>
        <v>4</v>
      </c>
    </row>
    <row r="12" spans="1:23" ht="116.25" customHeight="1" x14ac:dyDescent="0.2">
      <c r="A12" s="73">
        <v>4</v>
      </c>
      <c r="B12" s="77" t="s">
        <v>84</v>
      </c>
      <c r="C12" s="77" t="s">
        <v>85</v>
      </c>
      <c r="D12" s="20">
        <v>3</v>
      </c>
      <c r="E12" s="13" t="s">
        <v>23</v>
      </c>
      <c r="F12" s="68" t="s">
        <v>22</v>
      </c>
      <c r="G12" s="125" t="s">
        <v>86</v>
      </c>
      <c r="H12" s="126"/>
      <c r="I12" s="126"/>
      <c r="J12" s="127"/>
      <c r="K12" s="20">
        <v>1</v>
      </c>
      <c r="L12" s="13" t="s">
        <v>23</v>
      </c>
      <c r="M12" s="64" t="s">
        <v>22</v>
      </c>
      <c r="Q12" s="14"/>
      <c r="R12" s="15"/>
      <c r="S12" s="19"/>
      <c r="T12" s="19"/>
      <c r="U12" s="15"/>
      <c r="V12" s="15"/>
    </row>
    <row r="13" spans="1:23" ht="114" customHeight="1" x14ac:dyDescent="0.2">
      <c r="A13" s="73">
        <v>5</v>
      </c>
      <c r="B13" s="77" t="s">
        <v>87</v>
      </c>
      <c r="C13" s="77" t="s">
        <v>88</v>
      </c>
      <c r="D13" s="20">
        <v>3</v>
      </c>
      <c r="E13" s="13" t="s">
        <v>7</v>
      </c>
      <c r="F13" s="68" t="str">
        <f t="shared" si="0"/>
        <v>M</v>
      </c>
      <c r="G13" s="125" t="s">
        <v>89</v>
      </c>
      <c r="H13" s="126"/>
      <c r="I13" s="126"/>
      <c r="J13" s="127"/>
      <c r="K13" s="20">
        <v>1</v>
      </c>
      <c r="L13" s="13" t="s">
        <v>8</v>
      </c>
      <c r="M13" s="64" t="str">
        <f t="shared" si="1"/>
        <v>L</v>
      </c>
      <c r="Q13" s="14"/>
      <c r="R13" s="15"/>
      <c r="S13" s="19">
        <f>IF(E13="A",1,IF(E13="B",2,IF(E13="C",3,IF(E13="D",4,IF(E13="E",5,"")))))</f>
        <v>4</v>
      </c>
      <c r="T13" s="19">
        <f t="shared" si="2"/>
        <v>4</v>
      </c>
      <c r="U13" s="15">
        <f>D13+S13</f>
        <v>7</v>
      </c>
      <c r="V13" s="15">
        <f t="shared" si="3"/>
        <v>5</v>
      </c>
    </row>
    <row r="14" spans="1:23" ht="57" customHeight="1" x14ac:dyDescent="0.2">
      <c r="A14" s="90" t="s">
        <v>90</v>
      </c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2"/>
      <c r="Q14" s="14"/>
      <c r="R14" s="15"/>
      <c r="S14" s="19" t="e">
        <f>IF(#REF!="A",1,IF(#REF!="B",2,IF(#REF!="C",3,IF(#REF!="D",4,IF(#REF!="E",5,"")))))</f>
        <v>#REF!</v>
      </c>
      <c r="T14" s="19" t="e">
        <f>IF(#REF!="A",1,IF(#REF!="B",2,IF(#REF!="C",3,IF(#REF!="D",4,IF(#REF!="E",5,"")))))</f>
        <v>#REF!</v>
      </c>
      <c r="U14" s="15" t="e">
        <f>#REF!+S14</f>
        <v>#REF!</v>
      </c>
      <c r="V14" s="15" t="e">
        <f>#REF!+T14</f>
        <v>#REF!</v>
      </c>
    </row>
    <row r="15" spans="1:23" ht="30" customHeight="1" x14ac:dyDescent="0.2">
      <c r="A15" s="168" t="s">
        <v>91</v>
      </c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37.5" customHeight="1" x14ac:dyDescent="0.35">
      <c r="A16" s="170" t="s">
        <v>92</v>
      </c>
      <c r="B16" s="171"/>
      <c r="C16" s="171"/>
      <c r="D16" s="172"/>
      <c r="E16" s="172"/>
      <c r="F16" s="172"/>
      <c r="G16" s="173"/>
      <c r="H16" s="174"/>
      <c r="I16" s="174"/>
      <c r="J16" s="174"/>
      <c r="K16" s="174"/>
      <c r="L16" s="175"/>
      <c r="M16" s="176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44.25" customHeight="1" x14ac:dyDescent="0.2">
      <c r="A17" s="105" t="s">
        <v>93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7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45" customHeight="1" x14ac:dyDescent="0.2">
      <c r="A18" s="114" t="s">
        <v>146</v>
      </c>
      <c r="B18" s="115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6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45" customHeight="1" x14ac:dyDescent="0.2">
      <c r="A19" s="65">
        <v>1</v>
      </c>
      <c r="B19" s="93" t="s">
        <v>94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9"/>
      <c r="Q19" s="14"/>
      <c r="R19" s="15"/>
      <c r="S19" s="19" t="e">
        <f>IF(#REF!="A",1,IF(#REF!="B",2,IF(#REF!="C",3,IF(#REF!="D",4,IF(#REF!="E",5,"")))))</f>
        <v>#REF!</v>
      </c>
      <c r="T19" s="19" t="e">
        <f>IF(#REF!="A",1,IF(#REF!="B",2,IF(#REF!="C",3,IF(#REF!="D",4,IF(#REF!="E",5,"")))))</f>
        <v>#REF!</v>
      </c>
      <c r="U19" s="15" t="e">
        <f>#REF!+S19</f>
        <v>#REF!</v>
      </c>
      <c r="V19" s="15" t="e">
        <f>#REF!+T19</f>
        <v>#REF!</v>
      </c>
    </row>
    <row r="20" spans="1:22" ht="45" customHeight="1" x14ac:dyDescent="0.2">
      <c r="A20" s="65">
        <v>2</v>
      </c>
      <c r="B20" s="110" t="s">
        <v>95</v>
      </c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2"/>
      <c r="Q20" s="14"/>
      <c r="R20" s="15"/>
      <c r="S20" s="19" t="e">
        <f>IF(#REF!="A",1,IF(#REF!="B",2,IF(#REF!="C",3,IF(#REF!="D",4,IF(#REF!="E",5,"")))))</f>
        <v>#REF!</v>
      </c>
      <c r="T20" s="19" t="e">
        <f>IF(#REF!="A",1,IF(#REF!="B",2,IF(#REF!="C",3,IF(#REF!="D",4,IF(#REF!="E",5,"")))))</f>
        <v>#REF!</v>
      </c>
      <c r="U20" s="15" t="e">
        <f>#REF!+S20</f>
        <v>#REF!</v>
      </c>
      <c r="V20" s="15" t="e">
        <f>#REF!+T20</f>
        <v>#REF!</v>
      </c>
    </row>
    <row r="21" spans="1:22" ht="45" customHeight="1" x14ac:dyDescent="0.2">
      <c r="A21" s="65">
        <v>3</v>
      </c>
      <c r="B21" s="113" t="s">
        <v>9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9"/>
      <c r="Q21" s="14"/>
      <c r="R21" s="15"/>
      <c r="S21" s="19" t="e">
        <f>IF(#REF!="A",1,IF(#REF!="B",2,IF(#REF!="C",3,IF(#REF!="D",4,IF(#REF!="E",5,"")))))</f>
        <v>#REF!</v>
      </c>
      <c r="T21" s="19" t="e">
        <f>IF(#REF!="A",1,IF(#REF!="B",2,IF(#REF!="C",3,IF(#REF!="D",4,IF(#REF!="E",5,"")))))</f>
        <v>#REF!</v>
      </c>
      <c r="U21" s="15" t="e">
        <f>#REF!+S21</f>
        <v>#REF!</v>
      </c>
      <c r="V21" s="15" t="e">
        <f>#REF!+T21</f>
        <v>#REF!</v>
      </c>
    </row>
    <row r="22" spans="1:22" ht="45" customHeight="1" x14ac:dyDescent="0.2">
      <c r="A22" s="65">
        <v>4</v>
      </c>
      <c r="B22" s="110" t="s">
        <v>96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2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">
      <c r="A23" s="65">
        <v>5</v>
      </c>
      <c r="B23" s="93" t="s">
        <v>97</v>
      </c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5"/>
      <c r="Q23" s="14"/>
      <c r="R23" s="15"/>
      <c r="S23" s="19" t="e">
        <f>IF(#REF!="A",1,IF(#REF!="B",2,IF(#REF!="C",3,IF(#REF!="D",4,IF(#REF!="E",5,"")))))</f>
        <v>#REF!</v>
      </c>
      <c r="T23" s="19" t="e">
        <f>IF(#REF!="A",1,IF(#REF!="B",2,IF(#REF!="C",3,IF(#REF!="D",4,IF(#REF!="E",5,"")))))</f>
        <v>#REF!</v>
      </c>
      <c r="U23" s="15" t="e">
        <f>#REF!+S23</f>
        <v>#REF!</v>
      </c>
      <c r="V23" s="15" t="e">
        <f>#REF!+T23</f>
        <v>#REF!</v>
      </c>
    </row>
    <row r="24" spans="1:22" ht="45" customHeight="1" x14ac:dyDescent="0.2">
      <c r="A24" s="65">
        <v>6</v>
      </c>
      <c r="B24" s="110" t="s">
        <v>98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2"/>
    </row>
    <row r="25" spans="1:22" ht="45" customHeight="1" x14ac:dyDescent="0.2">
      <c r="A25" s="65">
        <v>7</v>
      </c>
      <c r="B25" s="93" t="s">
        <v>99</v>
      </c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</row>
    <row r="26" spans="1:22" ht="45" customHeight="1" x14ac:dyDescent="0.2">
      <c r="A26" s="65">
        <v>8</v>
      </c>
      <c r="B26" s="93" t="s">
        <v>100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</row>
    <row r="27" spans="1:22" ht="45" customHeight="1" x14ac:dyDescent="0.2">
      <c r="A27" s="65">
        <v>9</v>
      </c>
      <c r="B27" s="93" t="s">
        <v>101</v>
      </c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</row>
    <row r="28" spans="1:22" ht="45" customHeight="1" x14ac:dyDescent="0.2">
      <c r="A28" s="65">
        <v>10</v>
      </c>
      <c r="B28" s="102" t="s">
        <v>102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4"/>
    </row>
    <row r="29" spans="1:22" s="9" customFormat="1" ht="45" customHeight="1" x14ac:dyDescent="0.2">
      <c r="A29" s="65">
        <v>11</v>
      </c>
      <c r="B29" s="93" t="s">
        <v>103</v>
      </c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"/>
      <c r="O29" s="8"/>
      <c r="P29" s="8"/>
      <c r="Q29" s="16"/>
    </row>
    <row r="30" spans="1:22" s="9" customFormat="1" ht="45" customHeight="1" x14ac:dyDescent="0.2">
      <c r="A30" s="65">
        <v>12</v>
      </c>
      <c r="B30" s="93" t="s">
        <v>104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"/>
      <c r="O30" s="8"/>
      <c r="P30" s="8"/>
      <c r="Q30" s="16"/>
    </row>
    <row r="31" spans="1:22" s="9" customFormat="1" ht="45" customHeight="1" x14ac:dyDescent="0.2">
      <c r="A31" s="65">
        <v>13</v>
      </c>
      <c r="B31" s="93" t="s">
        <v>105</v>
      </c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"/>
      <c r="O31" s="8"/>
      <c r="P31" s="8"/>
      <c r="Q31" s="16"/>
    </row>
    <row r="32" spans="1:22" s="9" customFormat="1" ht="45" customHeight="1" x14ac:dyDescent="0.2">
      <c r="A32" s="65">
        <v>14</v>
      </c>
      <c r="B32" s="93" t="s">
        <v>106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"/>
      <c r="P32" s="8"/>
      <c r="Q32" s="16"/>
    </row>
    <row r="33" spans="1:17" s="9" customFormat="1" ht="45" customHeight="1" x14ac:dyDescent="0.2">
      <c r="A33" s="65">
        <v>15</v>
      </c>
      <c r="B33" s="93" t="s">
        <v>107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"/>
      <c r="P33" s="8"/>
      <c r="Q33" s="16"/>
    </row>
    <row r="34" spans="1:17" s="9" customFormat="1" ht="30" customHeight="1" x14ac:dyDescent="0.2">
      <c r="A34" s="87" t="s">
        <v>108</v>
      </c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9"/>
      <c r="N34" s="8"/>
      <c r="P34" s="8"/>
      <c r="Q34" s="16"/>
    </row>
    <row r="35" spans="1:17" s="9" customFormat="1" ht="27.75" customHeight="1" x14ac:dyDescent="0.2">
      <c r="A35" s="177" t="s">
        <v>10</v>
      </c>
      <c r="B35" s="178"/>
      <c r="C35" s="179" t="s">
        <v>11</v>
      </c>
      <c r="D35" s="177" t="s">
        <v>12</v>
      </c>
      <c r="E35" s="180"/>
      <c r="F35" s="180"/>
      <c r="G35" s="178"/>
      <c r="H35" s="177" t="s">
        <v>13</v>
      </c>
      <c r="I35" s="180"/>
      <c r="J35" s="180"/>
      <c r="K35" s="180"/>
      <c r="L35" s="180"/>
      <c r="M35" s="178"/>
      <c r="N35" s="8"/>
      <c r="P35" s="8"/>
      <c r="Q35" s="16"/>
    </row>
    <row r="36" spans="1:17" s="9" customFormat="1" ht="18" customHeight="1" x14ac:dyDescent="0.2">
      <c r="A36" s="96"/>
      <c r="B36" s="98"/>
      <c r="C36" s="6"/>
      <c r="D36" s="96"/>
      <c r="E36" s="97"/>
      <c r="F36" s="97"/>
      <c r="G36" s="98"/>
      <c r="H36" s="96"/>
      <c r="I36" s="97"/>
      <c r="J36" s="97"/>
      <c r="K36" s="97"/>
      <c r="L36" s="97"/>
      <c r="M36" s="98"/>
      <c r="N36" s="8"/>
      <c r="P36" s="8"/>
      <c r="Q36" s="16"/>
    </row>
    <row r="37" spans="1:17" s="9" customFormat="1" ht="18" customHeight="1" x14ac:dyDescent="0.2">
      <c r="A37" s="96"/>
      <c r="B37" s="98"/>
      <c r="C37" s="6"/>
      <c r="D37" s="96"/>
      <c r="E37" s="97"/>
      <c r="F37" s="97"/>
      <c r="G37" s="98"/>
      <c r="H37" s="96"/>
      <c r="I37" s="97"/>
      <c r="J37" s="97"/>
      <c r="K37" s="97"/>
      <c r="L37" s="97"/>
      <c r="M37" s="98"/>
      <c r="N37" s="8"/>
      <c r="P37" s="8"/>
      <c r="Q37" s="16"/>
    </row>
    <row r="38" spans="1:17" s="9" customFormat="1" ht="18" customHeight="1" x14ac:dyDescent="0.2">
      <c r="A38" s="96"/>
      <c r="B38" s="98"/>
      <c r="C38" s="6"/>
      <c r="D38" s="96"/>
      <c r="E38" s="97"/>
      <c r="F38" s="97"/>
      <c r="G38" s="98"/>
      <c r="H38" s="96"/>
      <c r="I38" s="97"/>
      <c r="J38" s="97"/>
      <c r="K38" s="97"/>
      <c r="L38" s="97"/>
      <c r="M38" s="98"/>
      <c r="N38" s="8"/>
      <c r="P38" s="8"/>
      <c r="Q38" s="16"/>
    </row>
    <row r="39" spans="1:17" s="9" customFormat="1" ht="18" customHeight="1" x14ac:dyDescent="0.2">
      <c r="A39" s="96"/>
      <c r="B39" s="98"/>
      <c r="C39" s="6"/>
      <c r="D39" s="96"/>
      <c r="E39" s="97"/>
      <c r="F39" s="97"/>
      <c r="G39" s="98"/>
      <c r="H39" s="96"/>
      <c r="I39" s="97"/>
      <c r="J39" s="97"/>
      <c r="K39" s="97"/>
      <c r="L39" s="97"/>
      <c r="M39" s="98"/>
      <c r="N39" s="8"/>
      <c r="P39" s="8"/>
      <c r="Q39" s="16"/>
    </row>
    <row r="40" spans="1:17" s="9" customFormat="1" ht="18" customHeight="1" x14ac:dyDescent="0.2">
      <c r="A40" s="96"/>
      <c r="B40" s="98"/>
      <c r="C40" s="6"/>
      <c r="D40" s="96"/>
      <c r="E40" s="97"/>
      <c r="F40" s="97"/>
      <c r="G40" s="98"/>
      <c r="H40" s="96"/>
      <c r="I40" s="97"/>
      <c r="J40" s="97"/>
      <c r="K40" s="97"/>
      <c r="L40" s="97"/>
      <c r="M40" s="98"/>
      <c r="N40" s="8"/>
      <c r="P40" s="8"/>
      <c r="Q40" s="16"/>
    </row>
    <row r="41" spans="1:17" s="9" customFormat="1" ht="34.5" customHeight="1" x14ac:dyDescent="0.2">
      <c r="A41" s="102" t="s">
        <v>109</v>
      </c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4"/>
      <c r="N41" s="8"/>
      <c r="P41" s="8"/>
      <c r="Q41" s="16"/>
    </row>
    <row r="42" spans="1:17" s="9" customFormat="1" ht="27.75" customHeight="1" x14ac:dyDescent="0.2">
      <c r="A42" s="181" t="s">
        <v>110</v>
      </c>
      <c r="B42" s="182"/>
      <c r="C42" s="183" t="s">
        <v>111</v>
      </c>
      <c r="D42" s="184" t="s">
        <v>112</v>
      </c>
      <c r="E42" s="185"/>
      <c r="F42" s="186"/>
      <c r="G42" s="78"/>
      <c r="H42" s="79"/>
      <c r="I42" s="79"/>
      <c r="J42" s="79"/>
      <c r="K42" s="79"/>
      <c r="L42" s="79"/>
      <c r="M42" s="80"/>
      <c r="N42" s="8"/>
      <c r="P42" s="8"/>
      <c r="Q42" s="16"/>
    </row>
    <row r="43" spans="1:17" s="9" customFormat="1" ht="27.75" customHeight="1" x14ac:dyDescent="0.2">
      <c r="A43" s="99"/>
      <c r="B43" s="101"/>
      <c r="C43" s="10"/>
      <c r="D43" s="187"/>
      <c r="E43" s="188"/>
      <c r="F43" s="189"/>
      <c r="G43" s="81"/>
      <c r="H43" s="82"/>
      <c r="I43" s="82"/>
      <c r="J43" s="82"/>
      <c r="K43" s="82"/>
      <c r="L43" s="82"/>
      <c r="M43" s="83"/>
      <c r="N43" s="8"/>
      <c r="P43" s="8"/>
      <c r="Q43" s="16"/>
    </row>
    <row r="44" spans="1:17" s="9" customFormat="1" ht="17.25" customHeight="1" x14ac:dyDescent="0.2">
      <c r="A44" s="66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67"/>
      <c r="Q44" s="17"/>
    </row>
    <row r="45" spans="1:17" ht="86.25" customHeight="1" x14ac:dyDescent="0.2">
      <c r="A45" s="190" t="s">
        <v>113</v>
      </c>
      <c r="B45" s="191"/>
      <c r="C45" s="99"/>
      <c r="D45" s="100"/>
      <c r="E45" s="100"/>
      <c r="F45" s="100"/>
      <c r="G45" s="100"/>
      <c r="H45" s="100"/>
      <c r="I45" s="100"/>
      <c r="J45" s="100"/>
      <c r="K45" s="100"/>
      <c r="L45" s="100"/>
      <c r="M45" s="101"/>
    </row>
    <row r="46" spans="1:17" ht="25.5" customHeight="1" x14ac:dyDescent="0.2">
      <c r="A46" s="87" t="s">
        <v>114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9"/>
    </row>
    <row r="47" spans="1:17" ht="18.75" customHeight="1" x14ac:dyDescent="0.2"/>
    <row r="48" spans="1:17" ht="18.75" customHeight="1" x14ac:dyDescent="0.2"/>
    <row r="49" spans="1:13" ht="18.75" customHeight="1" x14ac:dyDescent="0.2"/>
    <row r="50" spans="1:13" ht="18.75" customHeight="1" x14ac:dyDescent="0.2"/>
    <row r="51" spans="1:13" ht="18.75" customHeight="1" x14ac:dyDescent="0.2"/>
    <row r="52" spans="1:13" ht="33.75" customHeight="1" x14ac:dyDescent="0.2"/>
    <row r="53" spans="1:13" ht="20.25" customHeight="1" x14ac:dyDescent="0.2"/>
    <row r="54" spans="1:13" ht="57.75" customHeight="1" x14ac:dyDescent="0.2"/>
    <row r="55" spans="1:13" s="11" customFormat="1" ht="1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19.25" customHeight="1" x14ac:dyDescent="0.2"/>
    <row r="57" spans="1:13" s="12" customFormat="1" ht="24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</sheetData>
  <sheetProtection formatCells="0" formatColumns="0" formatRows="0" insertColumns="0" insertRows="0" insertHyperlinks="0" deleteColumns="0" deleteRows="0" sort="0" autoFilter="0" pivotTables="0"/>
  <mergeCells count="63">
    <mergeCell ref="J2:M2"/>
    <mergeCell ref="J3:M3"/>
    <mergeCell ref="J4:M4"/>
    <mergeCell ref="K6:M6"/>
    <mergeCell ref="A15:M15"/>
    <mergeCell ref="G12:J12"/>
    <mergeCell ref="C3:H3"/>
    <mergeCell ref="G13:J13"/>
    <mergeCell ref="G11:J11"/>
    <mergeCell ref="G10:J10"/>
    <mergeCell ref="G9:J9"/>
    <mergeCell ref="G8:J8"/>
    <mergeCell ref="A1:B4"/>
    <mergeCell ref="B22:M22"/>
    <mergeCell ref="B23:M23"/>
    <mergeCell ref="B26:M26"/>
    <mergeCell ref="B25:M25"/>
    <mergeCell ref="B28:M28"/>
    <mergeCell ref="B33:M33"/>
    <mergeCell ref="A37:B37"/>
    <mergeCell ref="H35:M35"/>
    <mergeCell ref="H36:M36"/>
    <mergeCell ref="A35:B35"/>
    <mergeCell ref="A36:B36"/>
    <mergeCell ref="A39:B39"/>
    <mergeCell ref="A38:B38"/>
    <mergeCell ref="D38:G38"/>
    <mergeCell ref="H37:M37"/>
    <mergeCell ref="H38:M38"/>
    <mergeCell ref="H39:M39"/>
    <mergeCell ref="D37:G37"/>
    <mergeCell ref="C45:M45"/>
    <mergeCell ref="A41:M41"/>
    <mergeCell ref="A17:M17"/>
    <mergeCell ref="B19:M19"/>
    <mergeCell ref="B20:M20"/>
    <mergeCell ref="B21:M21"/>
    <mergeCell ref="A34:M34"/>
    <mergeCell ref="A42:B42"/>
    <mergeCell ref="B24:M24"/>
    <mergeCell ref="A43:B43"/>
    <mergeCell ref="A18:M18"/>
    <mergeCell ref="H40:M40"/>
    <mergeCell ref="D39:G39"/>
    <mergeCell ref="D40:G40"/>
    <mergeCell ref="D42:F43"/>
    <mergeCell ref="A40:B40"/>
    <mergeCell ref="G42:M43"/>
    <mergeCell ref="A6:B6"/>
    <mergeCell ref="H7:J7"/>
    <mergeCell ref="A46:M46"/>
    <mergeCell ref="A7:B7"/>
    <mergeCell ref="A14:M14"/>
    <mergeCell ref="B27:M27"/>
    <mergeCell ref="B32:M32"/>
    <mergeCell ref="B29:M29"/>
    <mergeCell ref="B30:M30"/>
    <mergeCell ref="B31:M31"/>
    <mergeCell ref="K7:M7"/>
    <mergeCell ref="D7:F7"/>
    <mergeCell ref="D35:G35"/>
    <mergeCell ref="D36:G36"/>
    <mergeCell ref="A45:B45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3 D9:D13" xr:uid="{00000000-0002-0000-0000-000000000000}">
      <formula1>$Q$2:$Q$7</formula1>
    </dataValidation>
    <dataValidation type="list" allowBlank="1" showInputMessage="1" showErrorMessage="1" sqref="L9:L13 E9:E13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5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D5C5-3C9E-41EA-B550-F6D60F787274}">
  <dimension ref="A1:V34"/>
  <sheetViews>
    <sheetView tabSelected="1" showWhiteSpace="0" view="pageLayout" topLeftCell="A14" workbookViewId="0">
      <selection sqref="A1:C3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7109375" style="3" hidden="1" customWidth="1"/>
    <col min="13" max="14" width="9.140625" style="3" hidden="1" customWidth="1"/>
    <col min="15" max="15" width="11.5703125" style="7" hidden="1" customWidth="1"/>
    <col min="16" max="16" width="13.285156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155"/>
      <c r="B1" s="155"/>
      <c r="C1" s="155"/>
      <c r="D1" s="192"/>
      <c r="E1" s="192"/>
      <c r="F1" s="192"/>
      <c r="G1" s="1"/>
      <c r="H1" s="1"/>
      <c r="I1" s="193"/>
      <c r="J1" s="193"/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8" t="s">
        <v>20</v>
      </c>
      <c r="V1" s="2"/>
    </row>
    <row r="2" spans="1:22" ht="25.5" customHeight="1" x14ac:dyDescent="0.2">
      <c r="A2" s="155"/>
      <c r="B2" s="155"/>
      <c r="C2" s="155"/>
      <c r="D2" s="194" t="s">
        <v>115</v>
      </c>
      <c r="E2" s="144"/>
      <c r="F2" s="144"/>
      <c r="G2" s="144"/>
      <c r="H2" s="144"/>
      <c r="I2" s="195"/>
      <c r="J2" s="195"/>
      <c r="N2" s="7"/>
      <c r="O2" s="14">
        <v>1</v>
      </c>
      <c r="P2" s="14" t="s">
        <v>21</v>
      </c>
      <c r="Q2" s="15"/>
      <c r="R2" s="15"/>
      <c r="S2" s="15"/>
      <c r="T2" s="15"/>
      <c r="U2" s="18" t="s">
        <v>22</v>
      </c>
      <c r="V2" s="5"/>
    </row>
    <row r="3" spans="1:22" ht="25.5" customHeight="1" x14ac:dyDescent="0.2">
      <c r="A3" s="155"/>
      <c r="B3" s="155"/>
      <c r="C3" s="155"/>
      <c r="D3" s="49"/>
      <c r="E3" s="49"/>
      <c r="F3" s="49"/>
      <c r="G3" s="49"/>
      <c r="H3" s="49"/>
      <c r="I3" s="196"/>
      <c r="J3" s="196"/>
      <c r="K3" s="49"/>
      <c r="L3" s="49"/>
      <c r="M3" s="22"/>
    </row>
    <row r="4" spans="1:22" ht="17.45" customHeight="1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25">
      <c r="A5" s="149" t="s">
        <v>71</v>
      </c>
      <c r="B5" s="150"/>
      <c r="C5" s="139" t="s">
        <v>116</v>
      </c>
      <c r="D5" s="140"/>
      <c r="E5" s="140"/>
      <c r="F5" s="140"/>
      <c r="G5" s="141"/>
      <c r="H5" s="139" t="s">
        <v>117</v>
      </c>
      <c r="I5" s="140"/>
      <c r="J5" s="140"/>
      <c r="K5" s="140"/>
      <c r="L5" s="141"/>
      <c r="M5" s="22"/>
    </row>
    <row r="6" spans="1:22" ht="20.25" customHeight="1" thickBot="1" x14ac:dyDescent="0.25">
      <c r="A6" s="151"/>
      <c r="B6" s="152"/>
      <c r="C6" s="197" t="s">
        <v>118</v>
      </c>
      <c r="D6" s="197" t="s">
        <v>119</v>
      </c>
      <c r="E6" s="197" t="s">
        <v>120</v>
      </c>
      <c r="F6" s="197" t="s">
        <v>151</v>
      </c>
      <c r="G6" s="197" t="s">
        <v>152</v>
      </c>
      <c r="H6" s="69" t="s">
        <v>29</v>
      </c>
      <c r="I6" s="69" t="s">
        <v>30</v>
      </c>
      <c r="J6" s="69" t="s">
        <v>31</v>
      </c>
      <c r="K6" s="21" t="s">
        <v>27</v>
      </c>
      <c r="L6" s="21" t="s">
        <v>28</v>
      </c>
      <c r="M6" s="22"/>
    </row>
    <row r="7" spans="1:22" ht="112.5" x14ac:dyDescent="0.2">
      <c r="A7" s="151"/>
      <c r="B7" s="152"/>
      <c r="C7" s="198"/>
      <c r="D7" s="198"/>
      <c r="E7" s="198"/>
      <c r="F7" s="198"/>
      <c r="G7" s="198"/>
      <c r="H7" s="70" t="s">
        <v>121</v>
      </c>
      <c r="I7" s="70" t="s">
        <v>122</v>
      </c>
      <c r="J7" s="70" t="s">
        <v>123</v>
      </c>
      <c r="K7" s="23" t="s">
        <v>47</v>
      </c>
      <c r="L7" s="23" t="s">
        <v>48</v>
      </c>
      <c r="M7" s="22"/>
    </row>
    <row r="8" spans="1:22" ht="12.75" customHeight="1" x14ac:dyDescent="0.2">
      <c r="A8" s="151"/>
      <c r="B8" s="152"/>
      <c r="C8" s="198"/>
      <c r="D8" s="198"/>
      <c r="E8" s="198"/>
      <c r="F8" s="198"/>
      <c r="G8" s="198"/>
      <c r="H8" s="137" t="s">
        <v>153</v>
      </c>
      <c r="I8" s="137" t="s">
        <v>124</v>
      </c>
      <c r="J8" s="137" t="s">
        <v>125</v>
      </c>
      <c r="K8" s="137" t="s">
        <v>49</v>
      </c>
      <c r="L8" s="137" t="s">
        <v>50</v>
      </c>
      <c r="M8" s="22"/>
    </row>
    <row r="9" spans="1:22" ht="40.5" customHeight="1" thickBot="1" x14ac:dyDescent="0.25">
      <c r="A9" s="153"/>
      <c r="B9" s="154"/>
      <c r="C9" s="199"/>
      <c r="D9" s="199"/>
      <c r="E9" s="199"/>
      <c r="F9" s="199"/>
      <c r="G9" s="199"/>
      <c r="H9" s="138"/>
      <c r="I9" s="138"/>
      <c r="J9" s="138"/>
      <c r="K9" s="138"/>
      <c r="L9" s="138"/>
      <c r="M9" s="22"/>
    </row>
    <row r="10" spans="1:22" ht="49.5" customHeight="1" x14ac:dyDescent="0.2">
      <c r="A10" s="145">
        <v>1</v>
      </c>
      <c r="B10" s="146"/>
      <c r="C10" s="38" t="s">
        <v>126</v>
      </c>
      <c r="D10" s="38" t="s">
        <v>127</v>
      </c>
      <c r="E10" s="38" t="s">
        <v>128</v>
      </c>
      <c r="F10" s="38" t="s">
        <v>129</v>
      </c>
      <c r="G10" s="39" t="s">
        <v>130</v>
      </c>
      <c r="H10" s="30" t="s">
        <v>32</v>
      </c>
      <c r="I10" s="31" t="s">
        <v>33</v>
      </c>
      <c r="J10" s="31" t="s">
        <v>34</v>
      </c>
      <c r="K10" s="40" t="s">
        <v>51</v>
      </c>
      <c r="L10" s="32" t="s">
        <v>52</v>
      </c>
      <c r="M10" s="22"/>
    </row>
    <row r="11" spans="1:22" ht="64.5" customHeight="1" x14ac:dyDescent="0.2">
      <c r="A11" s="147">
        <v>2</v>
      </c>
      <c r="B11" s="148"/>
      <c r="C11" s="24" t="s">
        <v>131</v>
      </c>
      <c r="D11" s="24" t="s">
        <v>154</v>
      </c>
      <c r="E11" s="38" t="s">
        <v>132</v>
      </c>
      <c r="F11" s="24" t="s">
        <v>133</v>
      </c>
      <c r="G11" s="28" t="s">
        <v>134</v>
      </c>
      <c r="H11" s="33" t="s">
        <v>35</v>
      </c>
      <c r="I11" s="34" t="s">
        <v>36</v>
      </c>
      <c r="J11" s="34" t="s">
        <v>37</v>
      </c>
      <c r="K11" s="35" t="s">
        <v>53</v>
      </c>
      <c r="L11" s="36" t="s">
        <v>54</v>
      </c>
      <c r="M11" s="22"/>
    </row>
    <row r="12" spans="1:22" ht="69" customHeight="1" x14ac:dyDescent="0.2">
      <c r="A12" s="147">
        <v>3</v>
      </c>
      <c r="B12" s="148"/>
      <c r="C12" s="24" t="s">
        <v>155</v>
      </c>
      <c r="D12" s="24" t="s">
        <v>156</v>
      </c>
      <c r="E12" s="38" t="s">
        <v>135</v>
      </c>
      <c r="F12" s="24" t="s">
        <v>136</v>
      </c>
      <c r="G12" s="28" t="s">
        <v>137</v>
      </c>
      <c r="H12" s="33" t="s">
        <v>38</v>
      </c>
      <c r="I12" s="34" t="s">
        <v>39</v>
      </c>
      <c r="J12" s="35" t="s">
        <v>40</v>
      </c>
      <c r="K12" s="35" t="s">
        <v>55</v>
      </c>
      <c r="L12" s="41" t="s">
        <v>56</v>
      </c>
      <c r="M12" s="22"/>
    </row>
    <row r="13" spans="1:22" ht="78.75" customHeight="1" x14ac:dyDescent="0.2">
      <c r="A13" s="147">
        <v>4</v>
      </c>
      <c r="B13" s="148"/>
      <c r="C13" s="24" t="s">
        <v>138</v>
      </c>
      <c r="D13" s="24" t="s">
        <v>139</v>
      </c>
      <c r="E13" s="38" t="s">
        <v>157</v>
      </c>
      <c r="F13" s="24" t="s">
        <v>140</v>
      </c>
      <c r="G13" s="28" t="s">
        <v>141</v>
      </c>
      <c r="H13" s="33" t="s">
        <v>41</v>
      </c>
      <c r="I13" s="35" t="s">
        <v>42</v>
      </c>
      <c r="J13" s="35" t="s">
        <v>43</v>
      </c>
      <c r="K13" s="42" t="s">
        <v>57</v>
      </c>
      <c r="L13" s="41" t="s">
        <v>58</v>
      </c>
      <c r="M13" s="22"/>
    </row>
    <row r="14" spans="1:22" ht="75" customHeight="1" thickBot="1" x14ac:dyDescent="0.25">
      <c r="A14" s="142">
        <v>5</v>
      </c>
      <c r="B14" s="143"/>
      <c r="C14" s="25" t="s">
        <v>158</v>
      </c>
      <c r="D14" s="25" t="s">
        <v>159</v>
      </c>
      <c r="E14" s="25" t="s">
        <v>160</v>
      </c>
      <c r="F14" s="25" t="s">
        <v>142</v>
      </c>
      <c r="G14" s="29" t="s">
        <v>143</v>
      </c>
      <c r="H14" s="45" t="s">
        <v>44</v>
      </c>
      <c r="I14" s="37" t="s">
        <v>45</v>
      </c>
      <c r="J14" s="43" t="s">
        <v>46</v>
      </c>
      <c r="K14" s="43" t="s">
        <v>59</v>
      </c>
      <c r="L14" s="44" t="s">
        <v>60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K8:K9"/>
    <mergeCell ref="L8:L9"/>
    <mergeCell ref="A10:B10"/>
    <mergeCell ref="A11:B11"/>
    <mergeCell ref="A12:B12"/>
    <mergeCell ref="A13:B13"/>
    <mergeCell ref="E6:E9"/>
    <mergeCell ref="F6:F9"/>
    <mergeCell ref="G6:G9"/>
    <mergeCell ref="H8:H9"/>
    <mergeCell ref="I8:I9"/>
    <mergeCell ref="J8:J9"/>
    <mergeCell ref="A1:C3"/>
    <mergeCell ref="I1:J1"/>
    <mergeCell ref="D2:H2"/>
    <mergeCell ref="I2:J2"/>
    <mergeCell ref="I3:J3"/>
    <mergeCell ref="A5:B9"/>
    <mergeCell ref="C5:G5"/>
    <mergeCell ref="H5:L5"/>
    <mergeCell ref="C6:C9"/>
    <mergeCell ref="D6:D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34A5DBCF-E2DA-4D23-9549-E8E78AF171A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Dolzhikov Vladislav</cp:lastModifiedBy>
  <cp:lastPrinted>2014-11-10T14:56:30Z</cp:lastPrinted>
  <dcterms:created xsi:type="dcterms:W3CDTF">2011-02-21T14:14:41Z</dcterms:created>
  <dcterms:modified xsi:type="dcterms:W3CDTF">2025-02-26T14:24:10Z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