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5F7C22BE-E1BD-4660-918A-48A7CB069345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</sheets>
  <definedNames>
    <definedName name="Strongly_emphasise_each_individual_s__71" localSheetId="0">АСОР!$O$48</definedName>
    <definedName name="_xlnm.Print_Titles" localSheetId="0">АСОР!$1:$5</definedName>
    <definedName name="_xlnm.Print_Area" localSheetId="0">АСОР!$A$1:$M$49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" l="1"/>
  <c r="V13" i="1"/>
  <c r="S13" i="1"/>
  <c r="U13" i="1"/>
  <c r="M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<sst xmlns="http://schemas.openxmlformats.org/spreadsheetml/2006/main" count="90" uniqueCount="83">
  <si>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</si>
  <si>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</si>
  <si>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</si>
  <si>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</si>
  <si>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</si>
  <si>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</si>
  <si>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</si>
  <si>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</si>
  <si>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0"/>
        <color theme="0"/>
        <rFont val="Arial"/>
        <family val="2"/>
      </rPr>
      <t>Full Name / ФИО</t>
    </r>
  </si>
  <si>
    <r>
      <rPr>
        <sz val="10"/>
        <color theme="0"/>
        <rFont val="Arial"/>
        <family val="2"/>
      </rPr>
      <t>Job Title / Должность</t>
    </r>
  </si>
  <si>
    <r>
      <rPr>
        <sz val="10"/>
        <color theme="0"/>
        <rFont val="Arial"/>
        <family val="2"/>
      </rPr>
      <t>Signature / Подпись</t>
    </r>
  </si>
  <si>
    <r>
      <rPr>
        <sz val="10"/>
        <color theme="0"/>
        <rFont val="Arial"/>
        <family val="2"/>
      </rPr>
      <t>Comments, if any    "SAFETY IS MY PERSONAL VALUE" / Замечания, если имеются «БЕЗОПАСНОСТЬ - МОЯ ЛИЧНАЯ ЦЕННОСТЬ»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</si>
  <si>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</si>
  <si>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</si>
  <si>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</si>
  <si>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</si>
  <si>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</si>
  <si>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</si>
  <si>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</si>
  <si>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</si>
  <si>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</si>
  <si>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</si>
  <si>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</si>
  <si>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</si>
  <si>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</si>
  <si>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</si>
  <si>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</si>
  <si>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t>АНАЛИЗ СТЕПЕНИ ОПАСНОСТИ РАБОТ (АСОР)</t>
  </si>
  <si>
    <t>Работа с электрооборудованием</t>
  </si>
  <si>
    <t>Электрическое оборудование</t>
  </si>
  <si>
    <t xml:space="preserve"> Остаточный риск</t>
  </si>
  <si>
    <t xml:space="preserve"> Оборудование</t>
  </si>
  <si>
    <t xml:space="preserve"> Исходный риск</t>
  </si>
  <si>
    <t xml:space="preserve"> Описание работ</t>
  </si>
  <si>
    <t xml:space="preserve"> Дата</t>
  </si>
  <si>
    <t>Название судна</t>
  </si>
  <si>
    <t xml:space="preserve"> 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</si>
  <si>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</si>
  <si>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</si>
  <si>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</si>
  <si>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</si>
  <si>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</si>
  <si>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</si>
  <si>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</si>
  <si>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Поражение электрическим током и/или возможная смерть</t>
  </si>
  <si>
    <t>1) Все устанавливаемое или используемое оборудование должно соответствовать действующим стандартам безопасности.
2) Должна быть внедрена безопасная система работ, персонал должен быть ознакомлен с системами и процедурами (система блокировки и маркировки).
3) Работники должны осмотреть все оборудование на наличие дефектов перед использованием.
4) В отношении всего оборудования должен действовать приемлемый и достаточный график техобслуживания.
5) Электрооборудование должно быть отключено (система блокировки и маркировки) перед выполнением работ или техобслуживанием.
6) Работа электрика в одиночку на системах под напряжением запрещается.
7) Работа на оборудовании под напряжением без документально оформленной системы работ или согласованной компанией процедуры «строго воспрещается».</t>
  </si>
  <si>
    <t>Электрический ожог</t>
  </si>
  <si>
    <t>1) Работники должны осмотреть все оборудование на наличие дефектов перед использованием.
2) Электрические системы должны быть опробованы до начала каких-либо работ для обеспечения обесточивания и/или отключения систем.</t>
  </si>
  <si>
    <t>Пожары электрического происхождения</t>
  </si>
  <si>
    <t>1) После использования все отходы подлежат обязательной утилизации надлежащим образом.
2) Хранение горючих материалов вблизи проводников запрещается.
3) Возле помещений должны находиться средства пожаротушения в достаточном количестве.</t>
  </si>
  <si>
    <t>Взрыв</t>
  </si>
  <si>
    <t>1) Участки потенциального риска должны пройти оценку с внедрением приемлемых мер контроля или предосторожности.
2) Постоянно должны поддерживаться высочайшие стандарты чистоты и порядка.
3) Электрооборудование должно быть отключено, если не используется.</t>
  </si>
  <si>
    <t>Анализ степени опасности работ подлежит обсуждению на инструктаже в начале каждой смены как минимум.</t>
  </si>
  <si>
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</si>
  <si>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</si>
  <si>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</si>
  <si>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</si>
  <si>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</si>
  <si>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</si>
  <si>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</si>
  <si>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</si>
  <si>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</si>
  <si>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</si>
  <si>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</si>
  <si>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</si>
  <si>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</si>
  <si>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</si>
  <si>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</si>
  <si>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</si>
  <si>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</si>
  <si>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</si>
  <si>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</si>
  <si>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</si>
  <si>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</si>
  <si>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</si>
  <si>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</si>
  <si>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</si>
  <si>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</si>
  <si>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Номер оценки рисков</t>
  </si>
  <si>
    <r>
      <rPr>
        <i/>
        <sz val="12"/>
        <color rgb="FF000000"/>
        <rFont val="Arial"/>
        <family val="2"/>
        <charset val="204"/>
      </rPr>
      <t>Необходимо</t>
    </r>
    <r>
      <rPr>
        <sz val="12"/>
        <color rgb="FF000000"/>
        <rFont val="Arial"/>
        <family val="2"/>
        <charset val="204"/>
      </rPr>
      <t xml:space="preserve"> проверить следующие пункты:</t>
    </r>
  </si>
  <si>
    <t>File 09 / Папка 09</t>
  </si>
  <si>
    <t>Retention 3 Year / Срок хранения документа 3 года</t>
  </si>
  <si>
    <t>BL_FRM-VSL-09-1312-018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</si>
</sst>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11.5"/>
      <name val="Arial"/>
      <family val="2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</font>
    <font>
      <b/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  <font>
      <sz val="14"/>
      <color indexed="62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E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0" fillId="2" borderId="0" xfId="0" applyFont="1" applyFill="1"/>
    <xf numFmtId="0" fontId="0" fillId="2" borderId="0" xfId="0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left" vertical="center" indent="1"/>
    </xf>
    <xf numFmtId="0" fontId="15" fillId="2" borderId="7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0" fillId="2" borderId="8" xfId="0" applyFont="1" applyFill="1" applyBorder="1"/>
    <xf numFmtId="0" fontId="10" fillId="2" borderId="10" xfId="0" applyFont="1" applyFill="1" applyBorder="1"/>
    <xf numFmtId="0" fontId="2" fillId="2" borderId="13" xfId="0" applyFont="1" applyFill="1" applyBorder="1" applyAlignment="1">
      <alignment horizontal="left" vertical="center" indent="1"/>
    </xf>
    <xf numFmtId="0" fontId="11" fillId="2" borderId="14" xfId="0" applyFont="1" applyFill="1" applyBorder="1" applyAlignment="1">
      <alignment vertical="center"/>
    </xf>
    <xf numFmtId="0" fontId="0" fillId="2" borderId="14" xfId="0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10" fillId="2" borderId="7" xfId="0" applyFont="1" applyFill="1" applyBorder="1"/>
    <xf numFmtId="0" fontId="0" fillId="2" borderId="10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5" fillId="2" borderId="6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2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wrapText="1"/>
    </xf>
    <xf numFmtId="0" fontId="4" fillId="2" borderId="14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left" vertical="center" wrapText="1" shrinkToFit="1"/>
      <protection locked="0"/>
    </xf>
    <xf numFmtId="0" fontId="3" fillId="2" borderId="4" xfId="0" applyFont="1" applyFill="1" applyBorder="1" applyAlignment="1" applyProtection="1">
      <alignment horizontal="left" vertical="center" wrapText="1" shrinkToFi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2" borderId="6" xfId="0" applyFill="1" applyBorder="1" applyAlignment="1" applyProtection="1">
      <alignment horizontal="left" vertical="center" wrapText="1"/>
      <protection locked="0"/>
    </xf>
    <xf numFmtId="0" fontId="0" fillId="2" borderId="2" xfId="0" applyFill="1" applyBorder="1" applyAlignment="1" applyProtection="1">
      <alignment horizontal="left" vertical="center" wrapText="1"/>
      <protection locked="0"/>
    </xf>
    <xf numFmtId="0" fontId="0" fillId="2" borderId="10" xfId="0" applyFill="1" applyBorder="1" applyAlignment="1" applyProtection="1">
      <alignment horizontal="left" vertical="center" wrapText="1"/>
      <protection locked="0"/>
    </xf>
    <xf numFmtId="0" fontId="0" fillId="2" borderId="7" xfId="0" applyFill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9" fillId="2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2" borderId="3" xfId="0" applyFont="1" applyFill="1" applyBorder="1" applyAlignment="1" applyProtection="1">
      <alignment horizontal="center" vertical="center" wrapText="1" shrinkToFit="1"/>
      <protection locked="0"/>
    </xf>
    <xf numFmtId="0" fontId="3" fillId="2" borderId="6" xfId="0" applyFont="1" applyFill="1" applyBorder="1" applyAlignment="1" applyProtection="1">
      <alignment horizontal="center" vertical="center" wrapText="1" shrinkToFit="1"/>
      <protection locked="0"/>
    </xf>
    <xf numFmtId="0" fontId="0" fillId="0" borderId="6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7" fillId="0" borderId="6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24" fillId="2" borderId="3" xfId="0" applyFont="1" applyFill="1" applyBorder="1" applyAlignment="1" applyProtection="1">
      <alignment horizontal="left" vertical="center" wrapText="1" shrinkToFit="1"/>
      <protection locked="0"/>
    </xf>
    <xf numFmtId="0" fontId="24" fillId="2" borderId="6" xfId="0" applyFont="1" applyFill="1" applyBorder="1" applyAlignment="1" applyProtection="1">
      <alignment horizontal="left" vertical="center" wrapText="1" shrinkToFit="1"/>
      <protection locked="0"/>
    </xf>
    <xf numFmtId="0" fontId="24" fillId="0" borderId="6" xfId="0" applyFont="1" applyBorder="1" applyAlignment="1">
      <alignment horizontal="left" vertical="center" wrapText="1" shrinkToFit="1"/>
    </xf>
    <xf numFmtId="0" fontId="24" fillId="0" borderId="2" xfId="0" applyFont="1" applyBorder="1" applyAlignment="1">
      <alignment horizontal="left" vertical="center" wrapText="1" shrinkToFit="1"/>
    </xf>
    <xf numFmtId="0" fontId="3" fillId="2" borderId="3" xfId="0" applyFont="1" applyFill="1" applyBorder="1" applyAlignment="1" applyProtection="1">
      <alignment horizontal="left" vertical="center" wrapText="1" shrinkToFit="1"/>
      <protection locked="0"/>
    </xf>
    <xf numFmtId="0" fontId="3" fillId="2" borderId="6" xfId="0" applyFont="1" applyFill="1" applyBorder="1" applyAlignment="1" applyProtection="1">
      <alignment horizontal="left" vertical="center" wrapText="1" shrinkToFit="1"/>
      <protection locked="0"/>
    </xf>
    <xf numFmtId="0" fontId="0" fillId="0" borderId="6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0" fontId="25" fillId="2" borderId="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7" xfId="0" applyFill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0" xfId="0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left" vertical="center" wrapText="1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2" borderId="2" xfId="0" applyFill="1" applyBorder="1" applyAlignment="1" applyProtection="1">
      <alignment horizontal="left" vertical="center" wrapText="1"/>
      <protection locked="0"/>
    </xf>
    <xf numFmtId="0" fontId="4" fillId="2" borderId="3" xfId="0" applyFont="1" applyFill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4" fillId="2" borderId="3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27" fillId="2" borderId="3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8" fillId="2" borderId="3" xfId="0" applyFont="1" applyFill="1" applyBorder="1" applyAlignment="1">
      <alignment horizontal="left" vertical="center" wrapText="1"/>
    </xf>
    <xf numFmtId="0" fontId="30" fillId="2" borderId="6" xfId="0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0" xfId="0" applyFont="1" applyFill="1" applyBorder="1" applyAlignment="1" applyProtection="1">
      <alignment horizontal="left" vertical="center" wrapText="1"/>
      <protection locked="0"/>
    </xf>
    <xf numFmtId="0" fontId="4" fillId="2" borderId="5" xfId="0" applyFont="1" applyFill="1" applyBorder="1" applyAlignment="1" applyProtection="1">
      <alignment horizontal="left" vertical="center" wrapText="1"/>
      <protection locked="0"/>
    </xf>
    <xf numFmtId="0" fontId="4" fillId="2" borderId="11" xfId="0" applyFont="1" applyFill="1" applyBorder="1" applyAlignment="1" applyProtection="1">
      <alignment horizontal="left" vertical="center" wrapText="1"/>
      <protection locked="0"/>
    </xf>
    <xf numFmtId="0" fontId="4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3" xfId="0" applyFont="1" applyFill="1" applyBorder="1" applyAlignment="1" applyProtection="1">
      <alignment vertical="center" wrapText="1"/>
      <protection locked="0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6" xfId="0" applyFill="1" applyBorder="1" applyAlignment="1" applyProtection="1">
      <alignment horizontal="left" vertical="center" wrapText="1"/>
      <protection locked="0"/>
    </xf>
    <xf numFmtId="0" fontId="14" fillId="3" borderId="1" xfId="0" applyFont="1" applyFill="1" applyBorder="1" applyAlignment="1">
      <alignment horizontal="right" vertical="center" wrapText="1"/>
    </xf>
    <xf numFmtId="0" fontId="14" fillId="3" borderId="3" xfId="0" applyFont="1" applyFill="1" applyBorder="1" applyAlignment="1">
      <alignment horizontal="right" vertical="center" wrapText="1"/>
    </xf>
    <xf numFmtId="0" fontId="14" fillId="3" borderId="2" xfId="0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textRotation="90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14" fontId="14" fillId="3" borderId="3" xfId="0" applyNumberFormat="1" applyFont="1" applyFill="1" applyBorder="1" applyAlignment="1">
      <alignment horizontal="center" vertical="center" wrapText="1"/>
    </xf>
    <xf numFmtId="14" fontId="14" fillId="3" borderId="6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right" vertical="center" wrapText="1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14" fontId="14" fillId="3" borderId="2" xfId="0" applyNumberFormat="1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left" vertical="center" wrapText="1"/>
    </xf>
    <xf numFmtId="0" fontId="17" fillId="3" borderId="7" xfId="0" applyFont="1" applyFill="1" applyBorder="1" applyAlignment="1">
      <alignment vertical="center"/>
    </xf>
    <xf numFmtId="0" fontId="17" fillId="3" borderId="8" xfId="0" applyFont="1" applyFill="1" applyBorder="1" applyAlignment="1">
      <alignment vertical="center"/>
    </xf>
    <xf numFmtId="0" fontId="18" fillId="3" borderId="8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left" vertical="center" indent="1"/>
    </xf>
    <xf numFmtId="0" fontId="16" fillId="3" borderId="8" xfId="0" applyFont="1" applyFill="1" applyBorder="1" applyAlignment="1">
      <alignment vertical="center"/>
    </xf>
    <xf numFmtId="0" fontId="16" fillId="3" borderId="8" xfId="0" applyFont="1" applyFill="1" applyBorder="1" applyAlignment="1">
      <alignment horizontal="left" vertical="center"/>
    </xf>
    <xf numFmtId="0" fontId="16" fillId="3" borderId="10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173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785CC17F-B92B-42B6-8702-CE5644148DF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49"/>
  <sheetViews>
    <sheetView tabSelected="1" topLeftCell="A10" zoomScale="75" zoomScaleNormal="75" zoomScalePageLayoutView="73" workbookViewId="0">
      <selection activeCell="K6" sqref="K6:M6"/>
    </sheetView>
  </sheetViews>
  <sheetFormatPr defaultColWidth="9.140625" defaultRowHeight="12.75" x14ac:dyDescent="0.2"/>
  <cols>
    <col min="1" max="1" width="6.85546875" style="2" customWidth="1"/>
    <col min="2" max="2" width="28.5703125" style="2" customWidth="1"/>
    <col min="3" max="3" width="66.140625" style="2" customWidth="1"/>
    <col min="4" max="4" width="4.85546875" style="2" customWidth="1"/>
    <col min="5" max="5" width="5.140625" style="2" customWidth="1"/>
    <col min="6" max="6" width="5.42578125" style="2" customWidth="1"/>
    <col min="7" max="7" width="16.85546875" style="2" customWidth="1"/>
    <col min="8" max="8" width="37" style="2" customWidth="1"/>
    <col min="9" max="9" width="58.42578125" style="2" hidden="1" customWidth="1"/>
    <col min="10" max="10" width="19.5703125" style="2" customWidth="1"/>
    <col min="11" max="11" width="5.42578125" style="2" customWidth="1"/>
    <col min="12" max="12" width="5.140625" style="2" customWidth="1"/>
    <col min="13" max="13" width="5.5703125" style="2" customWidth="1"/>
    <col min="14" max="14" width="10.140625" style="2" customWidth="1"/>
    <col min="15" max="15" width="9.140625" style="2" customWidth="1"/>
    <col min="16" max="16" width="9.140625" style="2" hidden="1" customWidth="1"/>
    <col min="17" max="17" width="11.5703125" style="5" hidden="1" customWidth="1"/>
    <col min="18" max="18" width="13.42578125" style="2" hidden="1" customWidth="1"/>
    <col min="19" max="20" width="14.42578125" style="2" hidden="1" customWidth="1"/>
    <col min="21" max="21" width="10.140625" style="2" hidden="1" customWidth="1"/>
    <col min="22" max="23" width="9.140625" style="2" hidden="1" customWidth="1"/>
    <col min="24" max="16384" width="9.140625" style="2"/>
  </cols>
  <sheetData>
    <row r="1" spans="1:23" ht="11.25" customHeight="1" x14ac:dyDescent="0.35">
      <c r="A1" s="74"/>
      <c r="B1" s="148"/>
      <c r="C1" s="20"/>
      <c r="D1" s="21"/>
      <c r="E1" s="21"/>
      <c r="F1" s="21"/>
      <c r="G1" s="22"/>
      <c r="H1" s="23"/>
      <c r="I1" s="1"/>
      <c r="J1" s="28"/>
      <c r="K1" s="22"/>
      <c r="L1" s="22"/>
      <c r="M1" s="29"/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6" t="s">
        <v>18</v>
      </c>
    </row>
    <row r="2" spans="1:23" ht="25.5" customHeight="1" x14ac:dyDescent="0.2">
      <c r="A2" s="149"/>
      <c r="B2" s="150"/>
      <c r="C2" s="24"/>
      <c r="D2" s="19"/>
      <c r="E2" s="19"/>
      <c r="F2" s="19"/>
      <c r="G2" s="19"/>
      <c r="H2" s="25"/>
      <c r="I2" s="3"/>
      <c r="J2" s="51" t="s">
        <v>82</v>
      </c>
      <c r="K2" s="52"/>
      <c r="L2" s="52"/>
      <c r="M2" s="53"/>
      <c r="P2" s="5"/>
      <c r="Q2" s="12">
        <v>1</v>
      </c>
      <c r="R2" s="12" t="s">
        <v>19</v>
      </c>
      <c r="S2" s="13"/>
      <c r="T2" s="13"/>
      <c r="U2" s="13"/>
      <c r="V2" s="13"/>
      <c r="W2" s="16" t="s">
        <v>20</v>
      </c>
    </row>
    <row r="3" spans="1:23" ht="25.5" customHeight="1" x14ac:dyDescent="0.2">
      <c r="A3" s="149"/>
      <c r="B3" s="150"/>
      <c r="C3" s="57" t="s">
        <v>27</v>
      </c>
      <c r="D3" s="58"/>
      <c r="E3" s="58"/>
      <c r="F3" s="58"/>
      <c r="G3" s="58"/>
      <c r="H3" s="59"/>
      <c r="J3" s="51" t="s">
        <v>80</v>
      </c>
      <c r="K3" s="52"/>
      <c r="L3" s="52"/>
      <c r="M3" s="53"/>
      <c r="P3" s="5"/>
      <c r="Q3" s="12">
        <v>2</v>
      </c>
      <c r="R3" s="12" t="s">
        <v>21</v>
      </c>
      <c r="S3" s="13"/>
      <c r="T3" s="13"/>
      <c r="U3" s="13"/>
      <c r="V3" s="13"/>
      <c r="W3" s="16" t="s">
        <v>22</v>
      </c>
    </row>
    <row r="4" spans="1:23" ht="48.75" customHeight="1" x14ac:dyDescent="0.2">
      <c r="A4" s="151"/>
      <c r="B4" s="152"/>
      <c r="C4" s="27"/>
      <c r="H4" s="26"/>
      <c r="J4" s="54" t="s">
        <v>81</v>
      </c>
      <c r="K4" s="55"/>
      <c r="L4" s="55"/>
      <c r="M4" s="56"/>
      <c r="P4" s="5"/>
      <c r="Q4" s="12"/>
      <c r="R4" s="12"/>
      <c r="S4" s="13"/>
      <c r="T4" s="13"/>
      <c r="U4" s="13"/>
      <c r="V4" s="13"/>
      <c r="W4" s="16"/>
    </row>
    <row r="5" spans="1:23" ht="8.4499999999999993" customHeight="1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P5" s="5"/>
      <c r="Q5" s="12">
        <v>3</v>
      </c>
      <c r="R5" s="12" t="s">
        <v>23</v>
      </c>
      <c r="S5" s="13"/>
      <c r="T5" s="13"/>
      <c r="U5" s="13"/>
      <c r="V5" s="13"/>
      <c r="W5" s="16" t="s">
        <v>24</v>
      </c>
    </row>
    <row r="6" spans="1:23" s="5" customFormat="1" ht="57" customHeight="1" x14ac:dyDescent="0.2">
      <c r="A6" s="113" t="s">
        <v>35</v>
      </c>
      <c r="B6" s="113"/>
      <c r="C6" s="39"/>
      <c r="D6" s="31"/>
      <c r="E6" s="31"/>
      <c r="F6" s="32"/>
      <c r="G6" s="124" t="s">
        <v>33</v>
      </c>
      <c r="H6" s="42" t="s">
        <v>28</v>
      </c>
      <c r="I6" s="31"/>
      <c r="J6" s="125" t="s">
        <v>78</v>
      </c>
      <c r="K6" s="64" t="s">
        <v>82</v>
      </c>
      <c r="L6" s="64"/>
      <c r="M6" s="65"/>
      <c r="Q6" s="12">
        <v>4</v>
      </c>
      <c r="R6" s="12" t="s">
        <v>25</v>
      </c>
      <c r="S6" s="12"/>
      <c r="T6" s="12"/>
      <c r="U6" s="12"/>
      <c r="V6" s="12"/>
    </row>
    <row r="7" spans="1:23" s="5" customFormat="1" ht="36" customHeight="1" x14ac:dyDescent="0.2">
      <c r="A7" s="114" t="s">
        <v>34</v>
      </c>
      <c r="B7" s="115"/>
      <c r="C7" s="38"/>
      <c r="D7" s="122" t="s">
        <v>32</v>
      </c>
      <c r="E7" s="123"/>
      <c r="F7" s="123"/>
      <c r="G7" s="124" t="s">
        <v>31</v>
      </c>
      <c r="H7" s="106" t="s">
        <v>29</v>
      </c>
      <c r="I7" s="107"/>
      <c r="J7" s="108"/>
      <c r="K7" s="122" t="s">
        <v>30</v>
      </c>
      <c r="L7" s="123"/>
      <c r="M7" s="126"/>
      <c r="Q7" s="12">
        <v>5</v>
      </c>
      <c r="R7" s="12" t="s">
        <v>26</v>
      </c>
      <c r="S7" s="12"/>
      <c r="T7" s="12"/>
      <c r="U7" s="12"/>
      <c r="V7" s="12"/>
    </row>
    <row r="8" spans="1:23" ht="129" customHeight="1" x14ac:dyDescent="0.2">
      <c r="A8" s="116" t="s">
        <v>36</v>
      </c>
      <c r="B8" s="116" t="s">
        <v>37</v>
      </c>
      <c r="C8" s="116" t="s">
        <v>38</v>
      </c>
      <c r="D8" s="117" t="s">
        <v>39</v>
      </c>
      <c r="E8" s="117" t="s">
        <v>40</v>
      </c>
      <c r="F8" s="117" t="s">
        <v>41</v>
      </c>
      <c r="G8" s="118" t="s">
        <v>42</v>
      </c>
      <c r="H8" s="119"/>
      <c r="I8" s="120"/>
      <c r="J8" s="121"/>
      <c r="K8" s="117" t="s">
        <v>39</v>
      </c>
      <c r="L8" s="117" t="s">
        <v>40</v>
      </c>
      <c r="M8" s="117" t="s">
        <v>43</v>
      </c>
      <c r="Q8" s="12"/>
      <c r="R8" s="13"/>
      <c r="S8" s="13"/>
      <c r="T8" s="13"/>
      <c r="U8" s="13" t="str">
        <f>IF(L11="","",IF(N11="","",IF(M11+O11&lt;=5,$W$12,IF(M11+O11=6,$W$13,IF(M11+O11=7,$W$13,IF(M11+O11&gt;=8,#REF!,""))))))</f>
        <v/>
      </c>
      <c r="V8" s="13"/>
    </row>
    <row r="9" spans="1:23" ht="257.25" customHeight="1" x14ac:dyDescent="0.2">
      <c r="A9" s="40">
        <v>1</v>
      </c>
      <c r="B9" s="11" t="s">
        <v>28</v>
      </c>
      <c r="C9" s="44" t="s">
        <v>44</v>
      </c>
      <c r="D9" s="18">
        <v>4</v>
      </c>
      <c r="E9" s="11" t="s">
        <v>0</v>
      </c>
      <c r="F9" s="37" t="str">
        <f t="shared" ref="F9:F13" si="0">IF(D9="","",(IF(E9="","",IF(U9&lt;=1,"",IF(U9&lt;=5,$W$2,IF(U9=6,$W$3,IF(U9=7,$W$3,IF(U9&gt;=8,$W$5,""))))))))</f>
        <v>H</v>
      </c>
      <c r="G9" s="66" t="s">
        <v>45</v>
      </c>
      <c r="H9" s="67"/>
      <c r="I9" s="68"/>
      <c r="J9" s="69"/>
      <c r="K9" s="18">
        <v>1</v>
      </c>
      <c r="L9" s="11" t="s">
        <v>1</v>
      </c>
      <c r="M9" s="33" t="str">
        <f t="shared" ref="M9:M13" si="1">IF(K9="","",(IF(L9="","",IF(V9&lt;=1,"",IF(V9&lt;=5,$W$2,IF(V9=6,$W$3,IF(V9=7,$W$3,IF(V9&gt;=8,$W$5,""))))))))</f>
        <v>L</v>
      </c>
      <c r="Q9" s="12"/>
      <c r="R9" s="13"/>
      <c r="S9" s="17">
        <f t="shared" ref="S9:S13" si="2">IF(E9="A",1,IF(E9="B",2,IF(E9="C",3,IF(E9="D",4,IF(E9="E",5,"")))))</f>
        <v>4</v>
      </c>
      <c r="T9" s="17">
        <f t="shared" ref="T9:T13" si="3">IF(L9="A",1,IF(L9="B",2,IF(L9="C",3,IF(L9="D",4,IF(L9="E",5,"")))))</f>
        <v>4</v>
      </c>
      <c r="U9" s="13">
        <f t="shared" ref="U9:U13" si="4">D9+S9</f>
        <v>8</v>
      </c>
      <c r="V9" s="13">
        <f t="shared" ref="V9:V13" si="5">K9+T9</f>
        <v>5</v>
      </c>
    </row>
    <row r="10" spans="1:23" ht="93.75" customHeight="1" x14ac:dyDescent="0.2">
      <c r="A10" s="40">
        <v>2</v>
      </c>
      <c r="B10" s="11" t="s">
        <v>28</v>
      </c>
      <c r="C10" s="44" t="s">
        <v>46</v>
      </c>
      <c r="D10" s="18">
        <v>4</v>
      </c>
      <c r="E10" s="11" t="s">
        <v>2</v>
      </c>
      <c r="F10" s="37" t="str">
        <f t="shared" si="0"/>
        <v>M</v>
      </c>
      <c r="G10" s="70" t="s">
        <v>47</v>
      </c>
      <c r="H10" s="71"/>
      <c r="I10" s="72"/>
      <c r="J10" s="73"/>
      <c r="K10" s="18">
        <v>1</v>
      </c>
      <c r="L10" s="11" t="s">
        <v>3</v>
      </c>
      <c r="M10" s="33" t="str">
        <f t="shared" si="1"/>
        <v>L</v>
      </c>
      <c r="Q10" s="12"/>
      <c r="R10" s="13"/>
      <c r="S10" s="17">
        <f t="shared" si="2"/>
        <v>3</v>
      </c>
      <c r="T10" s="17">
        <f t="shared" si="3"/>
        <v>4</v>
      </c>
      <c r="U10" s="13">
        <f t="shared" si="4"/>
        <v>7</v>
      </c>
      <c r="V10" s="13">
        <f t="shared" si="5"/>
        <v>5</v>
      </c>
    </row>
    <row r="11" spans="1:23" ht="98.1" customHeight="1" x14ac:dyDescent="0.2">
      <c r="A11" s="40">
        <v>3</v>
      </c>
      <c r="B11" s="11" t="s">
        <v>28</v>
      </c>
      <c r="C11" s="44" t="s">
        <v>48</v>
      </c>
      <c r="D11" s="18">
        <v>3</v>
      </c>
      <c r="E11" s="11" t="s">
        <v>4</v>
      </c>
      <c r="F11" s="37" t="str">
        <f t="shared" si="0"/>
        <v>M</v>
      </c>
      <c r="G11" s="70" t="s">
        <v>49</v>
      </c>
      <c r="H11" s="71"/>
      <c r="I11" s="72"/>
      <c r="J11" s="73"/>
      <c r="K11" s="18">
        <v>1</v>
      </c>
      <c r="L11" s="11" t="s">
        <v>5</v>
      </c>
      <c r="M11" s="33" t="str">
        <f t="shared" si="1"/>
        <v>L</v>
      </c>
      <c r="Q11" s="12"/>
      <c r="R11" s="13"/>
      <c r="S11" s="17">
        <f t="shared" si="2"/>
        <v>4</v>
      </c>
      <c r="T11" s="17">
        <f t="shared" si="3"/>
        <v>4</v>
      </c>
      <c r="U11" s="13">
        <f t="shared" si="4"/>
        <v>7</v>
      </c>
      <c r="V11" s="13">
        <f t="shared" si="5"/>
        <v>5</v>
      </c>
    </row>
    <row r="12" spans="1:23" ht="114" customHeight="1" x14ac:dyDescent="0.2">
      <c r="A12" s="40">
        <v>4</v>
      </c>
      <c r="B12" s="11" t="s">
        <v>28</v>
      </c>
      <c r="C12" s="44" t="s">
        <v>50</v>
      </c>
      <c r="D12" s="18">
        <v>3</v>
      </c>
      <c r="E12" s="11" t="s">
        <v>6</v>
      </c>
      <c r="F12" s="37" t="str">
        <f t="shared" si="0"/>
        <v>M</v>
      </c>
      <c r="G12" s="70" t="s">
        <v>51</v>
      </c>
      <c r="H12" s="71"/>
      <c r="I12" s="72"/>
      <c r="J12" s="73"/>
      <c r="K12" s="18">
        <v>1</v>
      </c>
      <c r="L12" s="11" t="s">
        <v>7</v>
      </c>
      <c r="M12" s="33" t="str">
        <f t="shared" si="1"/>
        <v>L</v>
      </c>
      <c r="Q12" s="12"/>
      <c r="R12" s="13"/>
      <c r="S12" s="17">
        <f t="shared" si="2"/>
        <v>4</v>
      </c>
      <c r="T12" s="17">
        <f t="shared" si="3"/>
        <v>4</v>
      </c>
      <c r="U12" s="13">
        <f t="shared" si="4"/>
        <v>7</v>
      </c>
      <c r="V12" s="13">
        <f t="shared" si="5"/>
        <v>5</v>
      </c>
    </row>
    <row r="13" spans="1:23" ht="15" x14ac:dyDescent="0.2">
      <c r="A13" s="40">
        <v>5</v>
      </c>
      <c r="B13" s="41"/>
      <c r="C13" s="43"/>
      <c r="D13" s="18"/>
      <c r="E13" s="11"/>
      <c r="F13" s="37" t="str">
        <f t="shared" si="0"/>
        <v/>
      </c>
      <c r="G13" s="60"/>
      <c r="H13" s="61"/>
      <c r="I13" s="62"/>
      <c r="J13" s="63"/>
      <c r="K13" s="18"/>
      <c r="L13" s="11"/>
      <c r="M13" s="33" t="str">
        <f t="shared" si="1"/>
        <v/>
      </c>
      <c r="Q13" s="12"/>
      <c r="R13" s="13"/>
      <c r="S13" s="17" t="str">
        <f t="shared" si="2"/>
        <v/>
      </c>
      <c r="T13" s="17" t="str">
        <f t="shared" si="3"/>
        <v/>
      </c>
      <c r="U13" s="13" t="e">
        <f t="shared" si="4"/>
        <v>#VALUE!</v>
      </c>
      <c r="V13" s="13" t="e">
        <f t="shared" si="5"/>
        <v>#VALUE!</v>
      </c>
    </row>
    <row r="14" spans="1:23" x14ac:dyDescent="0.2">
      <c r="A14" s="27"/>
      <c r="M14" s="26"/>
    </row>
    <row r="15" spans="1:23" ht="35.1" customHeight="1" x14ac:dyDescent="0.2">
      <c r="A15" s="109" t="s">
        <v>52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1"/>
    </row>
    <row r="16" spans="1:23" ht="27.6" customHeight="1" x14ac:dyDescent="0.2">
      <c r="A16" s="127" t="s">
        <v>53</v>
      </c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</row>
    <row r="17" spans="1:17" ht="22.5" customHeight="1" x14ac:dyDescent="0.35">
      <c r="A17" s="128" t="s">
        <v>54</v>
      </c>
      <c r="B17" s="129"/>
      <c r="C17" s="129"/>
      <c r="D17" s="130"/>
      <c r="E17" s="130"/>
      <c r="F17" s="130"/>
      <c r="G17" s="131"/>
      <c r="H17" s="132"/>
      <c r="I17" s="132"/>
      <c r="J17" s="132"/>
      <c r="K17" s="132"/>
      <c r="L17" s="133"/>
      <c r="M17" s="134"/>
    </row>
    <row r="18" spans="1:17" ht="38.450000000000003" customHeight="1" x14ac:dyDescent="0.2">
      <c r="A18" s="89" t="s">
        <v>55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1"/>
    </row>
    <row r="19" spans="1:17" s="7" customFormat="1" ht="24.6" customHeight="1" x14ac:dyDescent="0.2">
      <c r="A19" s="96" t="s">
        <v>79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8"/>
      <c r="N19" s="6"/>
      <c r="O19" s="6"/>
      <c r="P19" s="6"/>
      <c r="Q19" s="14"/>
    </row>
    <row r="20" spans="1:17" s="7" customFormat="1" ht="45" customHeight="1" x14ac:dyDescent="0.2">
      <c r="A20" s="34">
        <v>1</v>
      </c>
      <c r="B20" s="92" t="s">
        <v>56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6"/>
      <c r="O20" s="6"/>
      <c r="P20" s="6"/>
      <c r="Q20" s="14"/>
    </row>
    <row r="21" spans="1:17" s="7" customFormat="1" ht="45" customHeight="1" x14ac:dyDescent="0.2">
      <c r="A21" s="34">
        <v>2</v>
      </c>
      <c r="B21" s="92" t="s">
        <v>57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6"/>
      <c r="O21" s="6"/>
      <c r="P21" s="6"/>
      <c r="Q21" s="14"/>
    </row>
    <row r="22" spans="1:17" s="7" customFormat="1" ht="45" customHeight="1" x14ac:dyDescent="0.2">
      <c r="A22" s="34">
        <v>3</v>
      </c>
      <c r="B22" s="75" t="s">
        <v>58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6"/>
      <c r="P22" s="6"/>
      <c r="Q22" s="14"/>
    </row>
    <row r="23" spans="1:17" s="7" customFormat="1" ht="45" customHeight="1" x14ac:dyDescent="0.2">
      <c r="A23" s="34">
        <v>4</v>
      </c>
      <c r="B23" s="92" t="s">
        <v>59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6"/>
      <c r="P23" s="6"/>
      <c r="Q23" s="14"/>
    </row>
    <row r="24" spans="1:17" s="7" customFormat="1" ht="45" customHeight="1" x14ac:dyDescent="0.2">
      <c r="A24" s="34">
        <v>5</v>
      </c>
      <c r="B24" s="75" t="s">
        <v>60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6"/>
      <c r="P24" s="6"/>
      <c r="Q24" s="14"/>
    </row>
    <row r="25" spans="1:17" s="7" customFormat="1" ht="45" customHeight="1" x14ac:dyDescent="0.2">
      <c r="A25" s="34">
        <v>6</v>
      </c>
      <c r="B25" s="92" t="s">
        <v>61</v>
      </c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6"/>
      <c r="P25" s="6"/>
      <c r="Q25" s="14"/>
    </row>
    <row r="26" spans="1:17" s="7" customFormat="1" ht="45" customHeight="1" x14ac:dyDescent="0.2">
      <c r="A26" s="34">
        <v>7</v>
      </c>
      <c r="B26" s="75" t="s">
        <v>62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6"/>
      <c r="P26" s="6"/>
      <c r="Q26" s="14"/>
    </row>
    <row r="27" spans="1:17" s="7" customFormat="1" ht="45" customHeight="1" x14ac:dyDescent="0.2">
      <c r="A27" s="34">
        <v>8</v>
      </c>
      <c r="B27" s="75" t="s">
        <v>63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6"/>
      <c r="P27" s="6"/>
      <c r="Q27" s="14"/>
    </row>
    <row r="28" spans="1:17" s="7" customFormat="1" ht="45" customHeight="1" x14ac:dyDescent="0.2">
      <c r="A28" s="34">
        <v>9</v>
      </c>
      <c r="B28" s="75" t="s">
        <v>64</v>
      </c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6"/>
      <c r="P28" s="6"/>
      <c r="Q28" s="14"/>
    </row>
    <row r="29" spans="1:17" s="7" customFormat="1" ht="45" customHeight="1" x14ac:dyDescent="0.2">
      <c r="A29" s="34">
        <v>10</v>
      </c>
      <c r="B29" s="99" t="s">
        <v>65</v>
      </c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6"/>
      <c r="P29" s="6"/>
      <c r="Q29" s="14"/>
    </row>
    <row r="30" spans="1:17" s="7" customFormat="1" ht="45" customHeight="1" x14ac:dyDescent="0.2">
      <c r="A30" s="34">
        <v>11</v>
      </c>
      <c r="B30" s="75" t="s">
        <v>66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6"/>
      <c r="P30" s="6"/>
      <c r="Q30" s="14"/>
    </row>
    <row r="31" spans="1:17" s="7" customFormat="1" ht="45" customHeight="1" x14ac:dyDescent="0.2">
      <c r="A31" s="34">
        <v>12</v>
      </c>
      <c r="B31" s="75" t="s">
        <v>67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6"/>
      <c r="P31" s="6"/>
      <c r="Q31" s="14"/>
    </row>
    <row r="32" spans="1:17" s="7" customFormat="1" ht="45" customHeight="1" x14ac:dyDescent="0.2">
      <c r="A32" s="34">
        <v>13</v>
      </c>
      <c r="B32" s="75" t="s">
        <v>68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6"/>
      <c r="P32" s="6"/>
      <c r="Q32" s="14"/>
    </row>
    <row r="33" spans="1:17" s="7" customFormat="1" ht="45" customHeight="1" x14ac:dyDescent="0.2">
      <c r="A33" s="34">
        <v>14</v>
      </c>
      <c r="B33" s="75" t="s">
        <v>69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6"/>
      <c r="P33" s="6"/>
      <c r="Q33" s="14"/>
    </row>
    <row r="34" spans="1:17" s="7" customFormat="1" ht="45" customHeight="1" x14ac:dyDescent="0.2">
      <c r="A34" s="34">
        <v>15</v>
      </c>
      <c r="B34" s="75" t="s">
        <v>70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Q34" s="15"/>
    </row>
    <row r="35" spans="1:17" ht="45" customHeight="1" x14ac:dyDescent="0.2">
      <c r="A35" s="94" t="s">
        <v>71</v>
      </c>
      <c r="B35" s="94"/>
      <c r="C35" s="94"/>
      <c r="D35" s="94"/>
      <c r="E35" s="94"/>
      <c r="F35" s="94"/>
      <c r="G35" s="94"/>
      <c r="H35" s="95"/>
      <c r="I35" s="95"/>
      <c r="J35" s="95"/>
      <c r="K35" s="95"/>
      <c r="L35" s="95"/>
      <c r="M35" s="95"/>
    </row>
    <row r="36" spans="1:17" ht="25.5" customHeight="1" x14ac:dyDescent="0.2">
      <c r="A36" s="135" t="s">
        <v>8</v>
      </c>
      <c r="B36" s="136"/>
      <c r="C36" s="137" t="s">
        <v>9</v>
      </c>
      <c r="D36" s="135" t="s">
        <v>10</v>
      </c>
      <c r="E36" s="138"/>
      <c r="F36" s="138"/>
      <c r="G36" s="136"/>
      <c r="H36" s="135" t="s">
        <v>11</v>
      </c>
      <c r="I36" s="138"/>
      <c r="J36" s="138"/>
      <c r="K36" s="138"/>
      <c r="L36" s="138"/>
      <c r="M36" s="136"/>
    </row>
    <row r="37" spans="1:17" ht="18" customHeight="1" x14ac:dyDescent="0.2">
      <c r="A37" s="81"/>
      <c r="B37" s="82"/>
      <c r="C37" s="4"/>
      <c r="D37" s="81"/>
      <c r="E37" s="112"/>
      <c r="F37" s="112"/>
      <c r="G37" s="82"/>
      <c r="H37" s="77"/>
      <c r="I37" s="78"/>
      <c r="J37" s="78"/>
      <c r="K37" s="78"/>
      <c r="L37" s="78"/>
      <c r="M37" s="79"/>
    </row>
    <row r="38" spans="1:17" ht="18" customHeight="1" x14ac:dyDescent="0.2">
      <c r="A38" s="45"/>
      <c r="B38" s="47"/>
      <c r="C38" s="4"/>
      <c r="D38" s="45"/>
      <c r="E38" s="46"/>
      <c r="F38" s="46"/>
      <c r="G38" s="47"/>
      <c r="H38" s="49"/>
      <c r="I38" s="50"/>
      <c r="J38" s="50"/>
      <c r="K38" s="50"/>
      <c r="L38" s="50"/>
      <c r="M38" s="48"/>
    </row>
    <row r="39" spans="1:17" ht="18" customHeight="1" x14ac:dyDescent="0.2">
      <c r="A39" s="45"/>
      <c r="B39" s="47"/>
      <c r="C39" s="4"/>
      <c r="D39" s="45"/>
      <c r="E39" s="46"/>
      <c r="F39" s="46"/>
      <c r="G39" s="47"/>
      <c r="H39" s="49"/>
      <c r="I39" s="50"/>
      <c r="J39" s="50"/>
      <c r="K39" s="50"/>
      <c r="L39" s="50"/>
      <c r="M39" s="48"/>
    </row>
    <row r="40" spans="1:17" ht="18" customHeight="1" x14ac:dyDescent="0.2">
      <c r="A40" s="45"/>
      <c r="B40" s="47"/>
      <c r="C40" s="4"/>
      <c r="D40" s="45"/>
      <c r="E40" s="46"/>
      <c r="F40" s="46"/>
      <c r="G40" s="47"/>
      <c r="H40" s="49"/>
      <c r="I40" s="50"/>
      <c r="J40" s="50"/>
      <c r="K40" s="50"/>
      <c r="L40" s="50"/>
      <c r="M40" s="48"/>
    </row>
    <row r="41" spans="1:17" ht="18" customHeight="1" x14ac:dyDescent="0.2">
      <c r="A41" s="45"/>
      <c r="B41" s="47"/>
      <c r="C41" s="4"/>
      <c r="D41" s="45"/>
      <c r="E41" s="46"/>
      <c r="F41" s="46"/>
      <c r="G41" s="47"/>
      <c r="H41" s="49"/>
      <c r="I41" s="50"/>
      <c r="J41" s="50"/>
      <c r="K41" s="50"/>
      <c r="L41" s="50"/>
      <c r="M41" s="48"/>
    </row>
    <row r="42" spans="1:17" ht="18" customHeight="1" x14ac:dyDescent="0.2">
      <c r="A42" s="45"/>
      <c r="B42" s="47"/>
      <c r="C42" s="4"/>
      <c r="D42" s="45"/>
      <c r="E42" s="46"/>
      <c r="F42" s="46"/>
      <c r="G42" s="47"/>
      <c r="H42" s="49"/>
      <c r="I42" s="50"/>
      <c r="J42" s="50"/>
      <c r="K42" s="50"/>
      <c r="L42" s="50"/>
      <c r="M42" s="48"/>
    </row>
    <row r="43" spans="1:17" ht="18" customHeight="1" x14ac:dyDescent="0.2">
      <c r="A43" s="45"/>
      <c r="B43" s="47"/>
      <c r="C43" s="4"/>
      <c r="D43" s="45"/>
      <c r="E43" s="46"/>
      <c r="F43" s="46"/>
      <c r="G43" s="47"/>
      <c r="H43" s="49"/>
      <c r="I43" s="50"/>
      <c r="J43" s="50"/>
      <c r="K43" s="50"/>
      <c r="L43" s="50"/>
      <c r="M43" s="48"/>
    </row>
    <row r="44" spans="1:17" ht="36" customHeight="1" x14ac:dyDescent="0.2">
      <c r="A44" s="86" t="s">
        <v>72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8"/>
    </row>
    <row r="45" spans="1:17" ht="20.25" customHeight="1" x14ac:dyDescent="0.2">
      <c r="A45" s="139" t="s">
        <v>73</v>
      </c>
      <c r="B45" s="139"/>
      <c r="C45" s="140" t="s">
        <v>74</v>
      </c>
      <c r="D45" s="141" t="s">
        <v>75</v>
      </c>
      <c r="E45" s="142"/>
      <c r="F45" s="143"/>
      <c r="G45" s="100"/>
      <c r="H45" s="101"/>
      <c r="I45" s="101"/>
      <c r="J45" s="101"/>
      <c r="K45" s="101"/>
      <c r="L45" s="101"/>
      <c r="M45" s="102"/>
    </row>
    <row r="46" spans="1:17" ht="42.95" customHeight="1" x14ac:dyDescent="0.2">
      <c r="A46" s="83"/>
      <c r="B46" s="85"/>
      <c r="C46" s="8"/>
      <c r="D46" s="144"/>
      <c r="E46" s="145"/>
      <c r="F46" s="146"/>
      <c r="G46" s="103"/>
      <c r="H46" s="104"/>
      <c r="I46" s="104"/>
      <c r="J46" s="104"/>
      <c r="K46" s="104"/>
      <c r="L46" s="104"/>
      <c r="M46" s="105"/>
    </row>
    <row r="47" spans="1:17" s="9" customFormat="1" ht="15" customHeight="1" x14ac:dyDescent="0.2">
      <c r="A47" s="35"/>
      <c r="M47" s="36"/>
    </row>
    <row r="48" spans="1:17" ht="83.25" customHeight="1" x14ac:dyDescent="0.2">
      <c r="A48" s="147" t="s">
        <v>76</v>
      </c>
      <c r="B48" s="121"/>
      <c r="C48" s="83"/>
      <c r="D48" s="84"/>
      <c r="E48" s="84"/>
      <c r="F48" s="84"/>
      <c r="G48" s="84"/>
      <c r="H48" s="84"/>
      <c r="I48" s="84"/>
      <c r="J48" s="84"/>
      <c r="K48" s="84"/>
      <c r="L48" s="84"/>
      <c r="M48" s="85"/>
    </row>
    <row r="49" spans="1:13" s="10" customFormat="1" ht="24" customHeight="1" x14ac:dyDescent="0.2">
      <c r="A49" s="94" t="s">
        <v>77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</row>
  </sheetData>
  <sheetProtection formatCells="0" formatColumns="0" formatRows="0" insertColumns="0" insertRows="0" insertHyperlinks="0" deleteColumns="0" deleteRows="0" sort="0" autoFilter="0" pivotTables="0"/>
  <mergeCells count="51">
    <mergeCell ref="G45:M46"/>
    <mergeCell ref="A6:B6"/>
    <mergeCell ref="H7:J7"/>
    <mergeCell ref="A49:M49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8:B48"/>
    <mergeCell ref="C48:M48"/>
    <mergeCell ref="A44:M44"/>
    <mergeCell ref="A18:M18"/>
    <mergeCell ref="B20:M20"/>
    <mergeCell ref="B21:M21"/>
    <mergeCell ref="B22:M22"/>
    <mergeCell ref="A35:M35"/>
    <mergeCell ref="A45:B45"/>
    <mergeCell ref="B25:M25"/>
    <mergeCell ref="A46:B46"/>
    <mergeCell ref="A19:M19"/>
    <mergeCell ref="D45:F46"/>
    <mergeCell ref="B23:M23"/>
    <mergeCell ref="B24:M24"/>
    <mergeCell ref="B27:M27"/>
    <mergeCell ref="B29:M29"/>
    <mergeCell ref="B34:M34"/>
    <mergeCell ref="H36:M36"/>
    <mergeCell ref="H37:M37"/>
    <mergeCell ref="B26:M26"/>
    <mergeCell ref="A36:B36"/>
    <mergeCell ref="A37:B37"/>
    <mergeCell ref="J2:M2"/>
    <mergeCell ref="J3:M3"/>
    <mergeCell ref="J4:M4"/>
    <mergeCell ref="C3:H3"/>
    <mergeCell ref="A16:M16"/>
    <mergeCell ref="G13:J13"/>
    <mergeCell ref="K6:M6"/>
    <mergeCell ref="G8:J8"/>
    <mergeCell ref="G9:J9"/>
    <mergeCell ref="G10:J10"/>
    <mergeCell ref="G11:J11"/>
    <mergeCell ref="G12:J12"/>
    <mergeCell ref="A1:B4"/>
  </mergeCells>
  <phoneticPr fontId="0" type="noConversion"/>
  <conditionalFormatting sqref="F9:F13 M9:M13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3 D9:D13" xr:uid="{00000000-0002-0000-0000-000000000000}">
      <formula1>$Q$2:$Q$7</formula1>
    </dataValidation>
    <dataValidation type="list" allowBlank="1" showInputMessage="1" showErrorMessage="1" sqref="L9:L13 E9:E13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6" max="1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faa5c77d-98fa-4e50-863f-182fb51ee117"/>
    <ds:schemaRef ds:uri="5470fdc2-d5b4-45ba-ae4a-b04105b307e7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АСОР</vt:lpstr>
      <vt:lpstr>АСОР!Strongly_emphasise_each_individual_s__71</vt:lpstr>
      <vt:lpstr>АСОР!Заголовки_для_печати</vt:lpstr>
      <vt:lpstr>АСОР!Область_печати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2018-09-20T07:08:49Z</cp:lastPrinted>
  <dcterms:created xsi:type="dcterms:W3CDTF">2011-02-21T14:14:41Z</dcterms:created>
  <dcterms:modified xsi:type="dcterms:W3CDTF">2025-02-26T14:46:03Z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