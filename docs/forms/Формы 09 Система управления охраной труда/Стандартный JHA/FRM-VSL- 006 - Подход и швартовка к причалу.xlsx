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autoCompressPictures="0"/>
  <mc:AlternateContent xmlns:mc="http://schemas.openxmlformats.org/markup-compatibility/2006">
    <mc:Choice Requires="x15">
      <x15ac:absPath xmlns:x15ac="http://schemas.microsoft.com/office/spreadsheetml/2010/11/ac" url="E:\JHA\ACOP\"/>
    </mc:Choice>
  </mc:AlternateContent>
  <bookViews>
    <workbookView xWindow="0" yWindow="0" windowWidth="23250" windowHeight="11700" tabRatio="307"/>
  </bookViews>
  <sheets>
    <sheet name="АСОР" sheetId="1" r:id="rId1"/>
    <sheet name="МОР" sheetId="3" r:id="rId2"/>
  </sheets>
  <definedNames>
    <definedName name="Strongly_emphasise_each_individual_s__71" localSheetId="0">АСОР!$O$55</definedName>
    <definedName name="Strongly_emphasise_each_individual_s__71" localSheetId="1">МОР!#REF!</definedName>
    <definedName name="_xlnm.Print_Titles" localSheetId="0">АСОР!$1:$5</definedName>
    <definedName name="_xlnm.Print_Titles" localSheetId="1">МОР!$1:$2</definedName>
    <definedName name="_xlnm.Print_Area" localSheetId="0">АСОР!$A$1:$M$45</definedName>
    <definedName name="_xlnm.Print_Area" localSheetId="1">МОР!$A$1:$V$34</definedName>
  </definedNames>
  <calcPr calcId="162913" concurrentCalc="0"/>
</workbook>
</file>

<file path=xl/calcChain.xml><?xml version="1.0" encoding="utf-8"?>
<calcChain xmlns="http://schemas.openxmlformats.org/spreadsheetml/2006/main">
  <c r="S13" i="1" l="1"/>
  <c r="U13" i="1"/>
  <c r="S14" i="1"/>
  <c r="U14" i="1"/>
  <c r="T13" i="1"/>
  <c r="V13" i="1"/>
  <c r="S9" i="1"/>
  <c r="U9" i="1"/>
  <c r="F9" i="1"/>
  <c r="S10" i="1"/>
  <c r="U10" i="1"/>
  <c r="F10" i="1"/>
  <c r="S11" i="1"/>
  <c r="U11" i="1"/>
  <c r="F11" i="1"/>
  <c r="S12" i="1"/>
  <c r="U12" i="1"/>
  <c r="F12" i="1"/>
  <c r="T22" i="1"/>
  <c r="V22" i="1"/>
  <c r="S22" i="1"/>
  <c r="U22" i="1"/>
  <c r="T21" i="1"/>
  <c r="V21" i="1"/>
  <c r="S21" i="1"/>
  <c r="U21" i="1"/>
  <c r="T20" i="1"/>
  <c r="V20" i="1"/>
  <c r="S20" i="1"/>
  <c r="U20" i="1"/>
  <c r="T19" i="1"/>
  <c r="V19" i="1"/>
  <c r="S19" i="1"/>
  <c r="U19" i="1"/>
  <c r="T18" i="1"/>
  <c r="V18" i="1"/>
  <c r="S18" i="1"/>
  <c r="U18" i="1"/>
  <c r="T17" i="1"/>
  <c r="V17" i="1"/>
  <c r="S17" i="1"/>
  <c r="U17" i="1"/>
  <c r="T16" i="1"/>
  <c r="V16" i="1"/>
  <c r="S16" i="1"/>
  <c r="U16" i="1"/>
  <c r="T15" i="1"/>
  <c r="V15" i="1"/>
  <c r="S15" i="1"/>
  <c r="U15" i="1"/>
  <c r="T14" i="1"/>
  <c r="V14" i="1"/>
  <c r="T12" i="1"/>
  <c r="V12" i="1"/>
  <c r="M12" i="1"/>
  <c r="T11" i="1"/>
  <c r="V11" i="1"/>
  <c r="M11" i="1"/>
  <c r="T10" i="1"/>
  <c r="V10" i="1"/>
  <c r="M10" i="1"/>
  <c r="T9" i="1"/>
  <c r="V9" i="1"/>
  <c r="M9" i="1"/>
  <c r="U8" i="1"/>
</calcChain>
</file>

<file path=xl/sharedStrings.xml><?xml version="1.0" encoding="utf-8"?>
<sst xmlns="http://schemas.openxmlformats.org/spreadsheetml/2006/main" count="178" uniqueCount="172">
  <si>
    <r>
      <rPr>
        <b/>
        <sz val="14"/>
        <rFont val="Arial"/>
        <family val="2"/>
      </rPr>
      <t>FRM-VSL-09-1301-001</t>
    </r>
  </si>
  <si>
    <r>
      <rPr>
        <sz val="12"/>
        <rFont val="Arial"/>
        <family val="2"/>
      </rPr>
      <t>C</t>
    </r>
  </si>
  <si>
    <r>
      <rPr>
        <sz val="12"/>
        <rFont val="Arial"/>
        <family val="2"/>
      </rPr>
      <t>C</t>
    </r>
  </si>
  <si>
    <r>
      <rPr>
        <sz val="12"/>
        <rFont val="Arial"/>
        <family val="2"/>
      </rPr>
      <t>C</t>
    </r>
  </si>
  <si>
    <r>
      <rPr>
        <sz val="12"/>
        <rFont val="Arial"/>
        <family val="2"/>
      </rPr>
      <t>C</t>
    </r>
  </si>
  <si>
    <r>
      <rPr>
        <sz val="12"/>
        <rFont val="Arial"/>
        <family val="2"/>
      </rPr>
      <t>B</t>
    </r>
  </si>
  <si>
    <r>
      <rPr>
        <sz val="12"/>
        <rFont val="Arial"/>
        <family val="2"/>
      </rPr>
      <t>B</t>
    </r>
  </si>
  <si>
    <r>
      <rPr>
        <sz val="12"/>
        <rFont val="Arial"/>
        <family val="2"/>
      </rPr>
      <t>D</t>
    </r>
  </si>
  <si>
    <r>
      <rPr>
        <sz val="12"/>
        <rFont val="Arial"/>
        <family val="2"/>
      </rPr>
      <t>D</t>
    </r>
  </si>
  <si>
    <t>Severity</t>
  </si>
  <si>
    <t>Likelihood</t>
  </si>
  <si>
    <t>Likelihood tranf initial</t>
  </si>
  <si>
    <t>Likelihood tranf residual</t>
  </si>
  <si>
    <t>Initial</t>
  </si>
  <si>
    <t>residual</t>
  </si>
  <si>
    <t xml:space="preserve">Risk </t>
  </si>
  <si>
    <t>A</t>
  </si>
  <si>
    <t>L</t>
  </si>
  <si>
    <t>B</t>
  </si>
  <si>
    <t>M</t>
  </si>
  <si>
    <t>C</t>
  </si>
  <si>
    <t>H</t>
  </si>
  <si>
    <t>D</t>
  </si>
  <si>
    <t>E</t>
  </si>
  <si>
    <r>
      <rPr>
        <b/>
        <sz val="11"/>
        <rFont val="Arial"/>
        <family val="2"/>
      </rPr>
      <t>FRM-VSL-09-1301-001</t>
    </r>
  </si>
  <si>
    <r>
      <rPr>
        <b/>
        <sz val="10"/>
        <rFont val="Arial"/>
        <family val="2"/>
      </rPr>
      <t>Consequences / Последствия</t>
    </r>
  </si>
  <si>
    <r>
      <rPr>
        <b/>
        <sz val="10"/>
        <rFont val="Arial"/>
        <family val="2"/>
      </rPr>
      <t>Increasing Likelihood / Возрастающая вероятность</t>
    </r>
  </si>
  <si>
    <r>
      <rPr>
        <b/>
        <sz val="10.5"/>
        <rFont val="Arial"/>
        <family val="2"/>
      </rPr>
      <t>A</t>
    </r>
  </si>
  <si>
    <r>
      <rPr>
        <b/>
        <sz val="10.5"/>
        <rFont val="Arial"/>
        <family val="2"/>
      </rPr>
      <t>B</t>
    </r>
  </si>
  <si>
    <r>
      <rPr>
        <b/>
        <sz val="10.5"/>
        <rFont val="Arial"/>
        <family val="2"/>
      </rPr>
      <t>C</t>
    </r>
  </si>
  <si>
    <r>
      <rPr>
        <b/>
        <i/>
        <sz val="8.5"/>
        <color rgb="FFFFFFFF"/>
        <rFont val="Arial"/>
        <family val="2"/>
      </rPr>
      <t>1A</t>
    </r>
  </si>
  <si>
    <r>
      <rPr>
        <b/>
        <i/>
        <sz val="8.5"/>
        <color rgb="FFFFFFFF"/>
        <rFont val="Arial"/>
        <family val="2"/>
      </rPr>
      <t>1B</t>
    </r>
  </si>
  <si>
    <r>
      <rPr>
        <b/>
        <i/>
        <sz val="8.5"/>
        <color rgb="FFFFFFFF"/>
        <rFont val="Arial"/>
        <family val="2"/>
      </rPr>
      <t>1C</t>
    </r>
  </si>
  <si>
    <r>
      <rPr>
        <b/>
        <i/>
        <sz val="8.5"/>
        <color rgb="FFFFFFFF"/>
        <rFont val="Arial"/>
        <family val="2"/>
      </rPr>
      <t>2A</t>
    </r>
  </si>
  <si>
    <r>
      <rPr>
        <b/>
        <i/>
        <sz val="8.5"/>
        <color rgb="FFFFFFFF"/>
        <rFont val="Arial"/>
        <family val="2"/>
      </rPr>
      <t>2B</t>
    </r>
  </si>
  <si>
    <r>
      <rPr>
        <b/>
        <i/>
        <sz val="8.5"/>
        <color rgb="FFFFFFFF"/>
        <rFont val="Arial"/>
        <family val="2"/>
      </rPr>
      <t>2C</t>
    </r>
  </si>
  <si>
    <r>
      <rPr>
        <b/>
        <i/>
        <sz val="8.5"/>
        <color rgb="FFFFFFFF"/>
        <rFont val="Arial"/>
        <family val="2"/>
      </rPr>
      <t>3A</t>
    </r>
  </si>
  <si>
    <r>
      <rPr>
        <b/>
        <i/>
        <sz val="8.5"/>
        <color rgb="FFFFFFFF"/>
        <rFont val="Arial"/>
        <family val="2"/>
      </rPr>
      <t>3B</t>
    </r>
  </si>
  <si>
    <r>
      <rPr>
        <b/>
        <i/>
        <sz val="8.5"/>
        <rFont val="Arial"/>
        <family val="2"/>
      </rPr>
      <t>3C</t>
    </r>
  </si>
  <si>
    <r>
      <rPr>
        <b/>
        <i/>
        <sz val="8.5"/>
        <color rgb="FFFFFFFF"/>
        <rFont val="Arial"/>
        <family val="2"/>
      </rPr>
      <t>4A</t>
    </r>
  </si>
  <si>
    <r>
      <rPr>
        <b/>
        <i/>
        <sz val="8.5"/>
        <rFont val="Arial"/>
        <family val="2"/>
      </rPr>
      <t>4B</t>
    </r>
  </si>
  <si>
    <r>
      <rPr>
        <b/>
        <i/>
        <sz val="8.5"/>
        <rFont val="Arial"/>
        <family val="2"/>
      </rPr>
      <t>4C</t>
    </r>
  </si>
  <si>
    <r>
      <rPr>
        <b/>
        <i/>
        <sz val="8.5"/>
        <rFont val="Arial"/>
        <family val="2"/>
      </rPr>
      <t>5A</t>
    </r>
  </si>
  <si>
    <r>
      <rPr>
        <b/>
        <i/>
        <sz val="8.5"/>
        <rFont val="Arial"/>
        <family val="2"/>
      </rPr>
      <t>5B</t>
    </r>
  </si>
  <si>
    <r>
      <rPr>
        <b/>
        <i/>
        <sz val="8.5"/>
        <color theme="0"/>
        <rFont val="Arial"/>
        <family val="2"/>
      </rPr>
      <t>5C</t>
    </r>
  </si>
  <si>
    <t>Severity</t>
  </si>
  <si>
    <t>Likelihood</t>
  </si>
  <si>
    <t>Likelihood tranf initial</t>
  </si>
  <si>
    <t>Likelihood tranf residual</t>
  </si>
  <si>
    <t>Initial</t>
  </si>
  <si>
    <t>residual</t>
  </si>
  <si>
    <t xml:space="preserve">Risk </t>
  </si>
  <si>
    <t>A</t>
  </si>
  <si>
    <t>L</t>
  </si>
  <si>
    <t>D</t>
  </si>
  <si>
    <t>E</t>
  </si>
  <si>
    <t>Occurred in the Company more than once in the last year (ashore or afloat)</t>
  </si>
  <si>
    <t>Occurred in the Company repeatedly in the last year (ashore or afloat)</t>
  </si>
  <si>
    <t>Likely</t>
  </si>
  <si>
    <t>Very Likely</t>
  </si>
  <si>
    <t>1D</t>
  </si>
  <si>
    <t>1E</t>
  </si>
  <si>
    <t>2D</t>
  </si>
  <si>
    <t>2E</t>
  </si>
  <si>
    <t>3D</t>
  </si>
  <si>
    <t>3E</t>
  </si>
  <si>
    <t>4D</t>
  </si>
  <si>
    <t>4E</t>
  </si>
  <si>
    <t>5D</t>
  </si>
  <si>
    <t>5E</t>
  </si>
  <si>
    <t xml:space="preserve">ООО «Боллард»
РФ, Краснодарский край, 
353919, г. Новороссийск,
 Мысхакское шоссе, д. 75 помещение 209 
Тел.: 8(8617) 70 00 95
Эл. почта: info@bollard-marine.group </t>
  </si>
  <si>
    <t>FRM-VSL-006</t>
  </si>
  <si>
    <t>Файл 09</t>
  </si>
  <si>
    <t>Срок хранения 3 года</t>
  </si>
  <si>
    <t>АНАЛИЗ СТЕПЕНИ ОПАСНОСТИ РАБОТ (АСОР)</t>
  </si>
  <si>
    <t>Название судна</t>
  </si>
  <si>
    <t xml:space="preserve"> Описание работ</t>
  </si>
  <si>
    <t>Швартовка отшвартовка к причалу.</t>
  </si>
  <si>
    <t>Номер оценки рисков</t>
  </si>
  <si>
    <t xml:space="preserve"> Дата</t>
  </si>
  <si>
    <t>Исходный риск</t>
  </si>
  <si>
    <t xml:space="preserve"> Оборудование</t>
  </si>
  <si>
    <t xml:space="preserve"> Остаточный риск</t>
  </si>
  <si>
    <t>Этап</t>
  </si>
  <si>
    <t>Этапы работ</t>
  </si>
  <si>
    <t>Источник опасности / Энергия / Сценарий потенциального несчастного случая</t>
  </si>
  <si>
    <t>Степень тяжести</t>
  </si>
  <si>
    <t>Вероятность</t>
  </si>
  <si>
    <t>Меры контроля для снижения риска</t>
  </si>
  <si>
    <t>Риск</t>
  </si>
  <si>
    <t>Подход и швартовка к причалу</t>
  </si>
  <si>
    <t>Травмы персонала из-за повреждения или обрыва швартовного каната, неровностей причала или аварийного контакта с причалом. Повреждение имущества в результате чрезмерной нагрузки на швартовное оборудование или не штатного контакта с причалом. Не исключен летальный исход. Возможно повреждение швартовых канатов и/или кнехтов причала</t>
  </si>
  <si>
    <t>Перед началом работ необходимо обсудить использование интрументов и механизмов. Между экипажем буксира и береговыми матросами  должна быть налажена радиосвязь или четкие сигналы руками. Персонал на судне и причале должен использовать СИЗ (защитные каски, ботинки, перчатки, спасательные жилеты и защитные очки). Швартовные канаты должны быть сертифицированы и проверены перед использованием. Швартовное оборудование / точки крепления должны быть проверены перед швартовкой. Лица, находящиеся на причале, должны следить за тем, чтобы не поскользнуться на поверхности причала. Если используется постоянный причал, территория должна быть свободна от препятствий. Кранцевая защита должна быть в хорошем состоянии и штатно расположена. Перед швартовкой необходимо проверить работу двигателя судна и АПС. К причалу разрешается подходить только подтвержденному буксиру. Перед швартовкой необходимо получить разрешение от СУДС. Следуйте указаниям администрации порта (Тамань). Ходовые огни должны соответствовать навигационному состоянию.</t>
  </si>
  <si>
    <t>Неконтролируемое движение ошвартованного судна (у причала)</t>
  </si>
  <si>
    <t>Травмы персонала в результате скольжения, падения или падения между буксирм и причалом.  Повреждение трапа в результате перемещения судна. Потеря рабочего времени. Не исключена более серьезная травма. Повреждение трапа, требующее ремонта.</t>
  </si>
  <si>
    <t>Для предотвращения "раскачивания" буксира у причала необходимо использовать соответствующие швартовые линии. Пересадка должна осуществляться только после подтверждения капитана, что судно ошвартовано безопасно. Выбирайте место для швартовки, защищенное от волн и ветра.</t>
  </si>
  <si>
    <t xml:space="preserve">Неправильно установленный или неподходящий трап. 
</t>
  </si>
  <si>
    <t>Травмы персонала в результате поскальзывания, падения или падения между буксиром и причалом. Повреждение трапа из-за неправильной установки. Потеря рабочего времени. Не исключена более серьезная травма. Повреждение трапа, требующее ремонта.</t>
  </si>
  <si>
    <t>Трап должен быть: Оборудован защитной сеткой и боковыми поручнями. Установлен так, чтобы исключить ненужное движение.  Иметь протекторы для предотвращения скольжения. Изготовлен авторитетной компанией, сертифицирован и проверен.</t>
  </si>
  <si>
    <t>Человек за бортом</t>
  </si>
  <si>
    <t>Травма с потерей рабочего времени. Не исключен летальный исход.</t>
  </si>
  <si>
    <t>Защитные ограждения / леера и т.д. должны поддерживаться в хорошем состоянии - на причале и на борту буксира. Лоц. порты и проемы должны быть закрыты, когда буксир находится в море. Члены экипажа должны носить СИЗ, соответствующие выполняемой ими работе.  Спасательное оборудование должно регулярно проверяться и тестироваться.</t>
  </si>
  <si>
    <t>АСОР подлежит проверке в конце каждой смены с целью определения дополнительных / других опасностей. Анализ степени опасности работ подлежит обсуждению на инструктаже в начале каждой смены как минимум.</t>
  </si>
  <si>
    <t xml:space="preserve"> ПРИМЕЧАНИЕ: Если вы вставите строки сверху, колонка «Исходный риск» не окрасится в цвет автоматически. См. вкладку «Матрица оценки риска» и добавьте соответствующий цвет вручную. </t>
  </si>
  <si>
    <r>
      <rPr>
        <b/>
        <sz val="10"/>
        <color rgb="FF000000"/>
        <rFont val="Arial"/>
        <family val="2"/>
        <charset val="204"/>
      </rPr>
      <t xml:space="preserve">В рамках процедур ООО БОЛЛАРД по предварительному планированию работ, </t>
    </r>
    <r>
      <rPr>
        <b/>
        <i/>
        <sz val="10"/>
        <color rgb="FF000000"/>
        <rFont val="Arial"/>
        <family val="2"/>
        <charset val="204"/>
      </rPr>
      <t>необходимо</t>
    </r>
    <r>
      <rPr>
        <b/>
        <sz val="10"/>
        <color rgb="FF000000"/>
        <rFont val="Arial"/>
        <family val="2"/>
        <charset val="204"/>
      </rPr>
      <t xml:space="preserve"> провести задокументированный инструктаж на рабочем месте. Все рабочие, участвующие в выполнении работ, должны присутствовать на инструктаже на рабочем месте. После инструктажа </t>
    </r>
    <r>
      <rPr>
        <b/>
        <i/>
        <sz val="10"/>
        <color rgb="FF000000"/>
        <rFont val="Arial"/>
        <family val="2"/>
        <charset val="204"/>
      </rPr>
      <t>следует</t>
    </r>
    <r>
      <rPr>
        <b/>
        <sz val="10"/>
        <color rgb="FF000000"/>
        <rFont val="Arial"/>
        <family val="2"/>
        <charset val="204"/>
      </rPr>
      <t xml:space="preserve"> передать Журнал инструктажа на рабочем месте вахтенному офицеру на мостике или в машинном отделении в зависимости от обстоятельств для внесения записи о проведенном инструктаже. </t>
    </r>
  </si>
  <si>
    <t>Использование подготовленного АСОР как основы для инструктажа на рабочем месте.</t>
  </si>
  <si>
    <t>Обсуждение всех выполняемых этапов работ.</t>
  </si>
  <si>
    <t>Полный обзор и обсуждение составленного АСОР с особым вниманием на выявленные опасности и методы их контроля / устранения.</t>
  </si>
  <si>
    <t>Подробное информирование о потенциально опасных факторах по каждому этапу работ;</t>
  </si>
  <si>
    <t>* Проследите, чтобы все выявленные дополнительные опасные факторы прошли оценку, сведены к минимуму и были отмечены в разделе ниже.</t>
  </si>
  <si>
    <t>Назначение обязанностей каждого работника в составе рабочего персонала.</t>
  </si>
  <si>
    <t>Обеспечение осмотра всех требуемых инструментов перед использованием, а также их надежного, исправного и рабочего состояния.</t>
  </si>
  <si>
    <t>Контроль ознакомления всеми членами рабочей группы с используемыми инструментами или оборудованием, а также соответствующих знаний и умений лица, назначенного для работы с инструментом или оборудованием.</t>
  </si>
  <si>
    <t>Учет эргономических факторов при использовании инструментов или других действий, которые могут потребовать повторяемых движений в течение длительного времени. Инструктирование персонала относительно смены руки, смены положения тела, необходимости регулярных перерывов, а также принятие мер по замене персонала, если потребуется при выполнении такого рода работ.</t>
  </si>
  <si>
    <t>Обеспечение наличия и использования соответствующих исправных СИЗ.</t>
  </si>
  <si>
    <t>Проверка исправности аппаратуры связи, методы связи согласованы и опробованы.</t>
  </si>
  <si>
    <t>Обеспечение понимания всеми периметра участка работ, установки достаточных предупреждающих знаков, а также наличия копии наряда-допуска и АСОР при входе на рабочую площадку.</t>
  </si>
  <si>
    <t>Организация осмотра, уборки и освобождения рабочих зон в зависимости от обстоятельств.</t>
  </si>
  <si>
    <t>Настойчивая рекомендация в отношении полномочий и обязанности каждого работника по «остановке работ» при обнаружении условия, небезопасного для персонала, оборудования, или которое может привести к загрязнению.</t>
  </si>
  <si>
    <t>После выполнения всего вышеизложенного проверьте еще раз имеются ли у кого-либо сомнения, вопросы или другие требования. If not, make the entry in the bridge/engineering dept logbook and commence the task / Если нет, внесите запись в журнал на мостике/в машинном отделении и приступайте к производству работ.</t>
  </si>
  <si>
    <t xml:space="preserve"> * Руководитель работ несет ответственность за оценку дополнительных рисков в нижеследующих ячейках по каждому этапу, которые могут иметься в результате условий на месте, таких как погодные условия, волнение моря или тип судна.</t>
  </si>
  <si>
    <t>ФИО</t>
  </si>
  <si>
    <t>Должность</t>
  </si>
  <si>
    <t>Подпись</t>
  </si>
  <si>
    <t>Замечания, если имеются «БЕЗОПАСНОСТЬ - МОЯ ЛИЧНАЯ ЦЕННОСТЬ»</t>
  </si>
  <si>
    <t>Проставляя свою подпись, я заявляю, что понимаю опасные факторы, предъявляемые ко мне требования, и подтверждаю свою соответствующую квалификацию и опыт для выполнения данных работ.</t>
  </si>
  <si>
    <t>ФИО Руководителя работ</t>
  </si>
  <si>
    <t>Дата инструктажа на рабочем месте</t>
  </si>
  <si>
    <t>Обзор АСОР после выполнения работ</t>
  </si>
  <si>
    <t>Отметьте что-либо в отношении данного АСОР, что может быть оптимизировано, например, конкретные этапы работ или дополнительные риски, которые следует включить как постоянные.</t>
  </si>
  <si>
    <t>Руководитель работ должен приобщить к документации составленный и проверенный АСОР.</t>
  </si>
  <si>
    <t>МАТРИЦА ОЦЕНКИ РИСКОВ</t>
  </si>
  <si>
    <t>ФАЙЛ 09</t>
  </si>
  <si>
    <t>Люди</t>
  </si>
  <si>
    <t>Окружающая среда</t>
  </si>
  <si>
    <t>Имущество</t>
  </si>
  <si>
    <t>Репутация</t>
  </si>
  <si>
    <t>График</t>
  </si>
  <si>
    <t>Нет сведений о подобном в сфере морских судов обеспечения (ни на берегу, ни в плавании)</t>
  </si>
  <si>
    <t>Редкие сведения в сфере морских судов обеспечения (на берегу или в плавании)</t>
  </si>
  <si>
    <t>Происходило в Компании в прошлом году или более одного раза в год в сфере морских судов обеспечения (на берегу или в плавании)</t>
  </si>
  <si>
    <t>Крайне маловероятно</t>
  </si>
  <si>
    <t>Маловероятно</t>
  </si>
  <si>
    <t>Возможно</t>
  </si>
  <si>
    <t>Травмы с оказанием доврачебной помощи</t>
  </si>
  <si>
    <t>Незначительное воздействие</t>
  </si>
  <si>
    <t>Незначительное повреждение 
&lt; 500€ / евро</t>
  </si>
  <si>
    <t>Незначительное негативное воздействие</t>
  </si>
  <si>
    <t>Задержка 1 час</t>
  </si>
  <si>
    <t>Медицинская помощь, травма с ограничением рабочих функций</t>
  </si>
  <si>
    <t>Несущественное воздействие 
&lt; 10 литров</t>
  </si>
  <si>
    <t>Несущественное повреждение 
&lt; 5000€ / евро</t>
  </si>
  <si>
    <t>Несущественное негативное воздействие</t>
  </si>
  <si>
    <t>Задержка 1–12 часов</t>
  </si>
  <si>
    <t xml:space="preserve"> Травма, ведущая к потере трудоспособности или к частичной нетрудоспособности</t>
  </si>
  <si>
    <t xml:space="preserve"> Умеренное воздействие
10  литров - 1баррель</t>
  </si>
  <si>
    <t xml:space="preserve"> Умеренное повреждение 
&lt;50.000€ / евро</t>
  </si>
  <si>
    <t xml:space="preserve"> Умеренное негативное воздействие</t>
  </si>
  <si>
    <t xml:space="preserve"> Задержка 12–48 часов</t>
  </si>
  <si>
    <t>Постоянная утрата трудоспособности или летальный исход</t>
  </si>
  <si>
    <t>Значительное воздействие
1-10 баррелей</t>
  </si>
  <si>
    <t>Значительное повреждение 
&lt;500.000€ / евро</t>
  </si>
  <si>
    <t>Значительное негативное воздействие</t>
  </si>
  <si>
    <t>Задержка 48 часов – 7 дней</t>
  </si>
  <si>
    <t>Более 1 смертельного случая</t>
  </si>
  <si>
    <t>Сильное воздействие
&gt; 10 баррелей</t>
  </si>
  <si>
    <t xml:space="preserve"> Обширное повреждение
&gt; 500.000€ / евро</t>
  </si>
  <si>
    <t xml:space="preserve"> Сильное негативное воздействие</t>
  </si>
  <si>
    <t>Задержка более 7 дней</t>
  </si>
  <si>
    <t>Швартовое оборудование, СИЗ</t>
  </si>
  <si>
    <t>Учетная документация по инструктажам на рабочем месте</t>
  </si>
  <si>
    <r>
      <rPr>
        <i/>
        <sz val="10"/>
        <color rgb="FF000000"/>
        <rFont val="Arial"/>
        <family val="2"/>
        <charset val="204"/>
      </rPr>
      <t>Необходимо</t>
    </r>
    <r>
      <rPr>
        <sz val="10"/>
        <color rgb="FF000000"/>
        <rFont val="Arial"/>
        <family val="2"/>
        <charset val="204"/>
      </rPr>
      <t xml:space="preserve"> проверить следующие пункты:</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</si>
</sst>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5" x14ac:knownFonts="1">
    <font>
      <sz val="10"/>
      <name val="Arial"/>
    </font>
    <font>
      <sz val="10"/>
      <color indexed="8"/>
      <name val="Arial"/>
      <family val="2"/>
    </font>
    <font>
      <sz val="14"/>
      <name val="Arial"/>
      <family val="2"/>
    </font>
    <font>
      <b/>
      <i/>
      <sz val="12"/>
      <name val="Arial"/>
      <family val="2"/>
    </font>
    <font>
      <sz val="12"/>
      <name val="Arial"/>
      <family val="2"/>
    </font>
    <font>
      <sz val="10"/>
      <name val="Arial"/>
      <family val="2"/>
    </font>
    <font>
      <b/>
      <sz val="10"/>
      <name val="Arial"/>
      <family val="2"/>
    </font>
    <font>
      <sz val="10"/>
      <color indexed="8"/>
      <name val="Arial"/>
      <family val="2"/>
    </font>
    <font>
      <sz val="10"/>
      <name val="Arial"/>
      <family val="2"/>
    </font>
    <font>
      <b/>
      <sz val="12"/>
      <name val="Arial"/>
      <family val="2"/>
    </font>
    <font>
      <b/>
      <sz val="10"/>
      <color indexed="8"/>
      <name val="Arial"/>
      <family val="2"/>
    </font>
    <font>
      <b/>
      <sz val="14"/>
      <name val="Arial"/>
      <family val="2"/>
    </font>
    <font>
      <sz val="14"/>
      <color indexed="62"/>
      <name val="Arial Black"/>
      <family val="2"/>
    </font>
    <font>
      <sz val="9"/>
      <color indexed="18"/>
      <name val="Arial"/>
      <family val="2"/>
    </font>
    <font>
      <b/>
      <sz val="16"/>
      <name val="Arial"/>
      <family val="2"/>
    </font>
    <font>
      <b/>
      <sz val="11"/>
      <name val="Arial"/>
      <family val="2"/>
    </font>
    <font>
      <sz val="12"/>
      <name val="Arial"/>
      <family val="2"/>
    </font>
    <font>
      <b/>
      <sz val="18"/>
      <name val="Arial"/>
      <family val="2"/>
    </font>
    <font>
      <sz val="8"/>
      <name val="Arial"/>
      <family val="2"/>
    </font>
    <font>
      <b/>
      <sz val="8.5"/>
      <name val="Arial"/>
      <family val="2"/>
    </font>
    <font>
      <b/>
      <sz val="10.5"/>
      <name val="Arial"/>
      <family val="2"/>
    </font>
    <font>
      <b/>
      <u/>
      <sz val="8"/>
      <name val="Arial"/>
      <family val="2"/>
    </font>
    <font>
      <sz val="8.5"/>
      <name val="Arial"/>
      <family val="2"/>
    </font>
    <font>
      <b/>
      <i/>
      <sz val="8.5"/>
      <name val="Arial"/>
      <family val="2"/>
    </font>
    <font>
      <sz val="10"/>
      <color theme="0"/>
      <name val="Arial"/>
      <family val="2"/>
    </font>
    <font>
      <b/>
      <sz val="10"/>
      <color theme="0"/>
      <name val="Arial"/>
      <family val="2"/>
    </font>
    <font>
      <b/>
      <sz val="18"/>
      <color rgb="FFFF0000"/>
      <name val="Arial"/>
      <family val="2"/>
    </font>
    <font>
      <b/>
      <i/>
      <sz val="8.5"/>
      <color rgb="FFFFFFFF"/>
      <name val="Arial"/>
      <family val="2"/>
    </font>
    <font>
      <b/>
      <i/>
      <sz val="8.5"/>
      <color theme="0"/>
      <name val="Arial"/>
      <family val="2"/>
    </font>
    <font>
      <sz val="12"/>
      <color theme="0"/>
      <name val="Arial"/>
      <family val="2"/>
    </font>
    <font>
      <sz val="9"/>
      <color theme="0"/>
      <name val="Arial"/>
      <family val="2"/>
    </font>
    <font>
      <b/>
      <sz val="16"/>
      <color theme="0"/>
      <name val="Arial"/>
      <family val="2"/>
    </font>
    <font>
      <b/>
      <sz val="18"/>
      <color theme="0"/>
      <name val="Arial"/>
      <family val="2"/>
    </font>
    <font>
      <b/>
      <i/>
      <sz val="12"/>
      <color theme="0"/>
      <name val="Arial"/>
      <family val="2"/>
    </font>
    <font>
      <sz val="12"/>
      <name val="Verdana"/>
      <family val="2"/>
    </font>
    <font>
      <b/>
      <i/>
      <sz val="10"/>
      <color rgb="FF000000"/>
      <name val="Arial"/>
      <family val="2"/>
      <charset val="204"/>
    </font>
    <font>
      <b/>
      <sz val="10"/>
      <color rgb="FF000000"/>
      <name val="Arial"/>
      <family val="2"/>
      <charset val="204"/>
    </font>
    <font>
      <sz val="10"/>
      <color rgb="FF000000"/>
      <name val="Arial"/>
      <family val="2"/>
    </font>
    <font>
      <b/>
      <sz val="8.5"/>
      <name val="Arial"/>
      <family val="2"/>
      <charset val="204"/>
    </font>
    <font>
      <sz val="8"/>
      <color rgb="FF006666"/>
      <name val="Arial Black"/>
      <family val="2"/>
      <charset val="204"/>
    </font>
    <font>
      <sz val="8"/>
      <color rgb="FF333399"/>
      <name val="Arial Black"/>
      <family val="2"/>
      <charset val="204"/>
    </font>
    <font>
      <sz val="11"/>
      <color theme="0"/>
      <name val="Arial"/>
      <family val="2"/>
      <charset val="204"/>
    </font>
    <font>
      <sz val="10"/>
      <color rgb="FF000000"/>
      <name val="Arial"/>
      <family val="2"/>
      <charset val="204"/>
    </font>
    <font>
      <i/>
      <sz val="10"/>
      <color rgb="FF000000"/>
      <name val="Arial"/>
      <family val="2"/>
      <charset val="204"/>
    </font>
    <font>
      <sz val="10"/>
      <color indexed="8"/>
      <name val="Arial"/>
      <family val="2"/>
      <charset val="204"/>
    </font>
  </fonts>
  <fills count="9">
    <fill>
      <patternFill patternType="none"/>
    </fill>
    <fill>
      <patternFill patternType="gray125"/>
    </fill>
    <fill>
      <patternFill patternType="solid">
        <fgColor theme="0"/>
        <bgColor indexed="64"/>
      </patternFill>
    </fill>
    <fill>
      <patternFill patternType="solid">
        <fgColor rgb="FFD9D9D9"/>
        <bgColor indexed="64"/>
      </patternFill>
    </fill>
    <fill>
      <patternFill patternType="solid">
        <fgColor rgb="FF00B050"/>
        <bgColor indexed="64"/>
      </patternFill>
    </fill>
    <fill>
      <patternFill patternType="solid">
        <fgColor rgb="FFFFFF00"/>
        <bgColor indexed="64"/>
      </patternFill>
    </fill>
    <fill>
      <patternFill patternType="solid">
        <fgColor rgb="FFC00000"/>
        <bgColor indexed="64"/>
      </patternFill>
    </fill>
    <fill>
      <patternFill patternType="solid">
        <fgColor rgb="FFBFBFBF"/>
        <bgColor indexed="64"/>
      </patternFill>
    </fill>
    <fill>
      <patternFill patternType="solid">
        <fgColor rgb="FF0000FF"/>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style="thin">
        <color indexed="64"/>
      </right>
      <top style="thin">
        <color indexed="64"/>
      </top>
      <bottom style="medium">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s>
  <cellStyleXfs count="1">
    <xf numFmtId="0" fontId="0" fillId="0" borderId="0"/>
  </cellStyleXfs>
  <cellXfs count="216">
    <xf numFmtId="0" fontId="0" fillId="0" borderId="0" xfId="0"/>
    <xf numFmtId="0" fontId="13" fillId="2" borderId="0" xfId="0" applyFont="1" applyFill="1"/>
    <xf numFmtId="0" fontId="17" fillId="2" borderId="0" xfId="0" applyFont="1" applyFill="1" applyBorder="1" applyAlignment="1">
      <alignment horizontal="right" vertical="center"/>
    </xf>
    <xf numFmtId="0" fontId="0" fillId="2" borderId="0" xfId="0" applyFill="1" applyAlignment="1">
      <alignment vertical="center" wrapText="1"/>
    </xf>
    <xf numFmtId="0" fontId="16" fillId="2" borderId="0" xfId="0" applyFont="1" applyFill="1" applyBorder="1" applyAlignment="1">
      <alignment vertical="center"/>
    </xf>
    <xf numFmtId="0" fontId="2" fillId="2" borderId="0" xfId="0" applyFont="1" applyFill="1" applyBorder="1" applyAlignment="1" applyProtection="1">
      <alignment horizontal="right" vertical="center"/>
    </xf>
    <xf numFmtId="0" fontId="0" fillId="2" borderId="1" xfId="0" applyFill="1" applyBorder="1" applyAlignment="1" applyProtection="1">
      <alignment horizontal="left" vertical="center" wrapText="1"/>
      <protection locked="0"/>
    </xf>
    <xf numFmtId="0" fontId="5" fillId="2" borderId="0" xfId="0" applyFont="1" applyFill="1" applyAlignment="1">
      <alignment vertical="center" wrapText="1"/>
    </xf>
    <xf numFmtId="0" fontId="0" fillId="2" borderId="0" xfId="0" applyFill="1" applyAlignment="1">
      <alignment horizontal="left" vertical="center" wrapText="1"/>
    </xf>
    <xf numFmtId="0" fontId="0" fillId="2" borderId="0" xfId="0" applyFill="1" applyAlignment="1">
      <alignment horizontal="center" vertical="center" wrapText="1"/>
    </xf>
    <xf numFmtId="14" fontId="5" fillId="2" borderId="1" xfId="0" applyNumberFormat="1" applyFont="1" applyFill="1" applyBorder="1" applyAlignment="1" applyProtection="1">
      <alignment horizontal="left" vertical="center" wrapText="1"/>
      <protection locked="0"/>
    </xf>
    <xf numFmtId="0" fontId="5" fillId="2" borderId="0" xfId="0" applyFont="1" applyFill="1" applyAlignment="1">
      <alignment wrapText="1"/>
    </xf>
    <xf numFmtId="0" fontId="9" fillId="2" borderId="0" xfId="0" applyFont="1" applyFill="1" applyAlignment="1">
      <alignment vertical="center" wrapText="1"/>
    </xf>
    <xf numFmtId="0" fontId="4" fillId="2" borderId="1" xfId="0" applyFont="1" applyFill="1" applyBorder="1" applyAlignment="1" applyProtection="1">
      <alignment horizontal="center" vertical="center" wrapText="1"/>
      <protection locked="0"/>
    </xf>
    <xf numFmtId="0" fontId="5" fillId="2" borderId="1" xfId="0" applyFont="1" applyFill="1" applyBorder="1" applyAlignment="1">
      <alignment vertical="center" wrapText="1"/>
    </xf>
    <xf numFmtId="0" fontId="0" fillId="2" borderId="1" xfId="0" applyFill="1" applyBorder="1" applyAlignment="1">
      <alignment vertical="center" wrapText="1"/>
    </xf>
    <xf numFmtId="0" fontId="5" fillId="2" borderId="0" xfId="0" applyFont="1" applyFill="1" applyAlignment="1">
      <alignment horizontal="left" vertical="center" wrapText="1"/>
    </xf>
    <xf numFmtId="0" fontId="5" fillId="2" borderId="0" xfId="0" applyFont="1" applyFill="1" applyAlignment="1">
      <alignment horizontal="center" vertical="center" wrapText="1"/>
    </xf>
    <xf numFmtId="0" fontId="5" fillId="2" borderId="4" xfId="0" applyFont="1" applyFill="1" applyBorder="1" applyAlignment="1">
      <alignment vertical="center" wrapText="1"/>
    </xf>
    <xf numFmtId="1" fontId="0" fillId="2" borderId="1" xfId="0" applyNumberFormat="1" applyFill="1" applyBorder="1" applyAlignment="1">
      <alignment vertical="center" wrapText="1"/>
    </xf>
    <xf numFmtId="1" fontId="4" fillId="2" borderId="1" xfId="0" applyNumberFormat="1" applyFont="1" applyFill="1" applyBorder="1" applyAlignment="1" applyProtection="1">
      <alignment horizontal="center" vertical="center" wrapText="1"/>
      <protection locked="0"/>
    </xf>
    <xf numFmtId="0" fontId="20" fillId="3" borderId="5" xfId="0" applyFont="1" applyFill="1" applyBorder="1" applyAlignment="1">
      <alignment horizontal="justify" vertical="top" wrapText="1"/>
    </xf>
    <xf numFmtId="0" fontId="0" fillId="2" borderId="0" xfId="0" applyFill="1"/>
    <xf numFmtId="0" fontId="18" fillId="0" borderId="6" xfId="0" applyFont="1" applyBorder="1" applyAlignment="1">
      <alignment horizontal="center" vertical="top" wrapText="1"/>
    </xf>
    <xf numFmtId="0" fontId="22" fillId="0" borderId="1" xfId="0" applyFont="1" applyBorder="1" applyAlignment="1">
      <alignment horizontal="center" vertical="center" wrapText="1"/>
    </xf>
    <xf numFmtId="0" fontId="22" fillId="0" borderId="7" xfId="0" applyFont="1" applyBorder="1" applyAlignment="1">
      <alignment horizontal="center" vertical="center" wrapText="1"/>
    </xf>
    <xf numFmtId="0" fontId="27" fillId="2" borderId="0" xfId="0" applyFont="1" applyFill="1" applyBorder="1" applyAlignment="1">
      <alignment horizontal="center" vertical="center" wrapText="1"/>
    </xf>
    <xf numFmtId="0" fontId="23" fillId="2" borderId="0" xfId="0" applyFont="1" applyFill="1" applyBorder="1" applyAlignment="1">
      <alignment horizontal="center" vertical="center" wrapText="1"/>
    </xf>
    <xf numFmtId="0" fontId="22" fillId="0" borderId="8" xfId="0" applyFont="1" applyBorder="1" applyAlignment="1">
      <alignment horizontal="center" vertical="center" wrapText="1"/>
    </xf>
    <xf numFmtId="0" fontId="22" fillId="0" borderId="9" xfId="0" applyFont="1" applyBorder="1" applyAlignment="1">
      <alignment horizontal="center" vertical="center" wrapText="1"/>
    </xf>
    <xf numFmtId="0" fontId="27" fillId="4" borderId="10" xfId="0" applyFont="1" applyFill="1" applyBorder="1" applyAlignment="1">
      <alignment horizontal="center" vertical="center" wrapText="1"/>
    </xf>
    <xf numFmtId="0" fontId="27" fillId="4" borderId="11" xfId="0" applyFont="1" applyFill="1" applyBorder="1" applyAlignment="1">
      <alignment horizontal="center" vertical="center" wrapText="1"/>
    </xf>
    <xf numFmtId="0" fontId="23" fillId="5" borderId="12" xfId="0" applyFont="1" applyFill="1" applyBorder="1" applyAlignment="1">
      <alignment horizontal="center" vertical="center" wrapText="1"/>
    </xf>
    <xf numFmtId="0" fontId="27" fillId="4" borderId="2" xfId="0" applyFont="1" applyFill="1" applyBorder="1" applyAlignment="1">
      <alignment horizontal="center" vertical="center" wrapText="1"/>
    </xf>
    <xf numFmtId="0" fontId="27" fillId="4" borderId="1" xfId="0" applyFont="1" applyFill="1" applyBorder="1" applyAlignment="1">
      <alignment horizontal="center" vertical="center" wrapText="1"/>
    </xf>
    <xf numFmtId="0" fontId="23" fillId="5" borderId="1" xfId="0" applyFont="1" applyFill="1" applyBorder="1" applyAlignment="1">
      <alignment horizontal="center" vertical="center" wrapText="1"/>
    </xf>
    <xf numFmtId="0" fontId="23" fillId="5" borderId="3" xfId="0" applyFont="1" applyFill="1" applyBorder="1" applyAlignment="1">
      <alignment horizontal="center" vertical="center" wrapText="1"/>
    </xf>
    <xf numFmtId="0" fontId="23" fillId="5" borderId="7" xfId="0" applyFont="1" applyFill="1" applyBorder="1" applyAlignment="1">
      <alignment horizontal="center" vertical="center" wrapText="1"/>
    </xf>
    <xf numFmtId="0" fontId="22" fillId="0" borderId="13" xfId="0" applyFont="1" applyBorder="1" applyAlignment="1">
      <alignment horizontal="center" vertical="center" wrapText="1"/>
    </xf>
    <xf numFmtId="0" fontId="22" fillId="0" borderId="14" xfId="0" applyFont="1" applyBorder="1" applyAlignment="1">
      <alignment horizontal="center" vertical="center" wrapText="1"/>
    </xf>
    <xf numFmtId="0" fontId="28" fillId="4" borderId="11" xfId="0" applyFont="1" applyFill="1" applyBorder="1" applyAlignment="1">
      <alignment horizontal="center" vertical="center" wrapText="1"/>
    </xf>
    <xf numFmtId="0" fontId="28" fillId="6" borderId="3" xfId="0" applyFont="1" applyFill="1" applyBorder="1" applyAlignment="1">
      <alignment horizontal="center" vertical="center" wrapText="1"/>
    </xf>
    <xf numFmtId="0" fontId="28" fillId="6" borderId="1" xfId="0" applyFont="1" applyFill="1" applyBorder="1" applyAlignment="1">
      <alignment horizontal="center" vertical="center" wrapText="1"/>
    </xf>
    <xf numFmtId="0" fontId="28" fillId="6" borderId="7" xfId="0" applyFont="1" applyFill="1" applyBorder="1" applyAlignment="1">
      <alignment horizontal="center" vertical="center" wrapText="1"/>
    </xf>
    <xf numFmtId="0" fontId="28" fillId="6" borderId="15" xfId="0" applyFont="1" applyFill="1" applyBorder="1" applyAlignment="1">
      <alignment horizontal="center" vertical="center" wrapText="1"/>
    </xf>
    <xf numFmtId="0" fontId="23" fillId="5" borderId="16" xfId="0" applyFont="1" applyFill="1" applyBorder="1" applyAlignment="1">
      <alignment horizontal="center" vertical="center" wrapText="1"/>
    </xf>
    <xf numFmtId="0" fontId="11" fillId="2" borderId="0" xfId="0" applyFont="1" applyFill="1" applyAlignment="1">
      <alignment horizontal="left" vertical="center"/>
    </xf>
    <xf numFmtId="0" fontId="19" fillId="2" borderId="0" xfId="0" applyFont="1" applyFill="1" applyBorder="1" applyAlignment="1">
      <alignment horizontal="center" wrapText="1"/>
    </xf>
    <xf numFmtId="0" fontId="22" fillId="2" borderId="0" xfId="0" applyFont="1" applyFill="1" applyBorder="1" applyAlignment="1">
      <alignment horizontal="center" vertical="center" wrapText="1"/>
    </xf>
    <xf numFmtId="0" fontId="9" fillId="2" borderId="0" xfId="0" applyFont="1" applyFill="1" applyAlignment="1">
      <alignment horizontal="left" vertical="center"/>
    </xf>
    <xf numFmtId="0" fontId="3" fillId="2" borderId="0" xfId="0" applyFont="1" applyFill="1" applyBorder="1" applyAlignment="1">
      <alignment horizontal="left" vertical="center" indent="1"/>
    </xf>
    <xf numFmtId="0" fontId="0" fillId="2" borderId="0" xfId="0" applyFill="1" applyBorder="1" applyAlignment="1">
      <alignment vertical="center" wrapText="1"/>
    </xf>
    <xf numFmtId="0" fontId="26" fillId="2" borderId="18" xfId="0" applyFont="1" applyFill="1" applyBorder="1" applyAlignment="1">
      <alignment horizontal="center"/>
    </xf>
    <xf numFmtId="0" fontId="26" fillId="2" borderId="19" xfId="0" applyFont="1" applyFill="1" applyBorder="1" applyAlignment="1">
      <alignment horizontal="center"/>
    </xf>
    <xf numFmtId="0" fontId="13" fillId="2" borderId="19" xfId="0" applyFont="1" applyFill="1" applyBorder="1"/>
    <xf numFmtId="0" fontId="13" fillId="2" borderId="20" xfId="0" applyFont="1" applyFill="1" applyBorder="1"/>
    <xf numFmtId="0" fontId="3" fillId="2" borderId="28" xfId="0" applyFont="1" applyFill="1" applyBorder="1" applyAlignment="1">
      <alignment horizontal="left" vertical="center" indent="1"/>
    </xf>
    <xf numFmtId="0" fontId="16" fillId="2" borderId="29" xfId="0" applyFont="1" applyFill="1" applyBorder="1" applyAlignment="1">
      <alignment vertical="center"/>
    </xf>
    <xf numFmtId="0" fontId="0" fillId="2" borderId="29" xfId="0" applyFill="1" applyBorder="1" applyAlignment="1">
      <alignment vertical="center" wrapText="1"/>
    </xf>
    <xf numFmtId="0" fontId="0" fillId="2" borderId="28" xfId="0" applyFill="1" applyBorder="1" applyAlignment="1">
      <alignment vertical="center" wrapText="1"/>
    </xf>
    <xf numFmtId="0" fontId="13" fillId="2" borderId="18" xfId="0" applyFont="1" applyFill="1" applyBorder="1"/>
    <xf numFmtId="0" fontId="0" fillId="2" borderId="20" xfId="0" applyFill="1" applyBorder="1" applyAlignment="1">
      <alignment vertical="center" wrapText="1"/>
    </xf>
    <xf numFmtId="0" fontId="0" fillId="2" borderId="17" xfId="0" applyFill="1" applyBorder="1" applyAlignment="1">
      <alignment vertical="center" wrapText="1"/>
    </xf>
    <xf numFmtId="0" fontId="6" fillId="2" borderId="17" xfId="0" applyFont="1" applyFill="1" applyBorder="1" applyAlignment="1" applyProtection="1">
      <alignment horizontal="centerContinuous" vertical="center" wrapText="1" shrinkToFit="1"/>
      <protection locked="0"/>
    </xf>
    <xf numFmtId="0" fontId="6" fillId="2" borderId="4" xfId="0" applyFont="1" applyFill="1" applyBorder="1" applyAlignment="1" applyProtection="1">
      <alignment horizontal="centerContinuous" vertical="center" wrapText="1" shrinkToFit="1"/>
      <protection locked="0"/>
    </xf>
    <xf numFmtId="0" fontId="4"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5" fillId="2" borderId="28" xfId="0" applyFont="1" applyFill="1" applyBorder="1" applyAlignment="1">
      <alignment wrapText="1"/>
    </xf>
    <xf numFmtId="0" fontId="5" fillId="2" borderId="0" xfId="0" applyFont="1" applyFill="1" applyBorder="1" applyAlignment="1">
      <alignment wrapText="1"/>
    </xf>
    <xf numFmtId="0" fontId="5" fillId="2" borderId="29" xfId="0" applyFont="1" applyFill="1" applyBorder="1" applyAlignment="1">
      <alignment wrapText="1"/>
    </xf>
    <xf numFmtId="0" fontId="32" fillId="8" borderId="19" xfId="0" applyFont="1" applyFill="1" applyBorder="1" applyAlignment="1">
      <alignment horizontal="center"/>
    </xf>
    <xf numFmtId="0" fontId="33" fillId="8" borderId="19" xfId="0" applyFont="1" applyFill="1" applyBorder="1" applyAlignment="1">
      <alignment horizontal="left" vertical="center" indent="1"/>
    </xf>
    <xf numFmtId="0" fontId="29" fillId="8" borderId="19" xfId="0" applyFont="1" applyFill="1" applyBorder="1" applyAlignment="1">
      <alignment vertical="center"/>
    </xf>
    <xf numFmtId="0" fontId="29" fillId="8" borderId="19" xfId="0" applyFont="1" applyFill="1" applyBorder="1" applyAlignment="1">
      <alignment horizontal="left" vertical="center"/>
    </xf>
    <xf numFmtId="0" fontId="29" fillId="8" borderId="20" xfId="0" applyFont="1" applyFill="1" applyBorder="1" applyAlignment="1" applyProtection="1">
      <alignment horizontal="right" vertical="center"/>
    </xf>
    <xf numFmtId="0" fontId="4" fillId="2" borderId="8" xfId="0" applyFont="1" applyFill="1" applyBorder="1" applyAlignment="1">
      <alignment horizontal="center" vertical="center" wrapText="1"/>
    </xf>
    <xf numFmtId="0" fontId="29" fillId="8" borderId="1" xfId="0" applyFont="1" applyFill="1" applyBorder="1" applyAlignment="1">
      <alignment horizontal="center" vertical="center" wrapText="1"/>
    </xf>
    <xf numFmtId="0" fontId="29" fillId="8" borderId="1" xfId="0" applyFont="1" applyFill="1" applyBorder="1" applyAlignment="1">
      <alignment horizontal="center" vertical="center" textRotation="90" wrapText="1"/>
    </xf>
    <xf numFmtId="0" fontId="25" fillId="8" borderId="1" xfId="0" applyFont="1" applyFill="1" applyBorder="1" applyAlignment="1">
      <alignment horizontal="right" vertical="center" wrapText="1"/>
    </xf>
    <xf numFmtId="0" fontId="24" fillId="8" borderId="1" xfId="0" applyFont="1" applyFill="1" applyBorder="1" applyAlignment="1">
      <alignment horizontal="left" vertical="center" wrapText="1"/>
    </xf>
    <xf numFmtId="0" fontId="24" fillId="8" borderId="1" xfId="0" applyFont="1" applyFill="1" applyBorder="1" applyAlignment="1">
      <alignment vertical="center" wrapText="1"/>
    </xf>
    <xf numFmtId="0" fontId="9" fillId="2" borderId="14" xfId="0" applyFont="1" applyFill="1" applyBorder="1" applyAlignment="1">
      <alignment horizontal="left" vertical="center"/>
    </xf>
    <xf numFmtId="0" fontId="9" fillId="2" borderId="21" xfId="0" applyFont="1" applyFill="1" applyBorder="1" applyAlignment="1">
      <alignment horizontal="left" vertical="center"/>
    </xf>
    <xf numFmtId="0" fontId="9" fillId="2" borderId="22" xfId="0" applyFont="1" applyFill="1" applyBorder="1" applyAlignment="1">
      <alignment horizontal="left" vertical="center"/>
    </xf>
    <xf numFmtId="0" fontId="20" fillId="3" borderId="5" xfId="0" applyFont="1" applyFill="1" applyBorder="1" applyAlignment="1">
      <alignment horizontal="center" vertical="center" wrapText="1"/>
    </xf>
    <xf numFmtId="0" fontId="18" fillId="0" borderId="6" xfId="0" applyFont="1" applyBorder="1" applyAlignment="1">
      <alignment horizontal="center" vertical="center" wrapText="1"/>
    </xf>
    <xf numFmtId="14" fontId="9" fillId="2" borderId="4" xfId="0" applyNumberFormat="1" applyFont="1" applyFill="1" applyBorder="1" applyAlignment="1" applyProtection="1">
      <alignment horizontal="center" vertical="center" wrapText="1"/>
      <protection locked="0"/>
    </xf>
    <xf numFmtId="0" fontId="9" fillId="2" borderId="8" xfId="0" applyFont="1" applyFill="1" applyBorder="1" applyAlignment="1" applyProtection="1">
      <alignment horizontal="center" vertical="center" wrapText="1" shrinkToFit="1"/>
      <protection locked="0"/>
    </xf>
    <xf numFmtId="0" fontId="0" fillId="2" borderId="1" xfId="0" applyFill="1" applyBorder="1" applyAlignment="1">
      <alignment horizontal="center" vertical="center"/>
    </xf>
    <xf numFmtId="0" fontId="25" fillId="8" borderId="1" xfId="0" applyFont="1" applyFill="1" applyBorder="1" applyAlignment="1" applyProtection="1">
      <alignment horizontal="center" vertical="center" wrapText="1"/>
      <protection locked="0"/>
    </xf>
    <xf numFmtId="0" fontId="9" fillId="2" borderId="8" xfId="0" applyFont="1" applyFill="1" applyBorder="1" applyAlignment="1" applyProtection="1">
      <alignment horizontal="left" vertical="center" wrapText="1" shrinkToFit="1"/>
      <protection locked="0"/>
    </xf>
    <xf numFmtId="0" fontId="4" fillId="0" borderId="1" xfId="0" applyFont="1" applyBorder="1" applyAlignment="1" applyProtection="1">
      <alignment horizontal="left" vertical="center" wrapText="1"/>
      <protection locked="0"/>
    </xf>
    <xf numFmtId="0" fontId="34" fillId="0" borderId="4" xfId="0" applyFont="1" applyBorder="1" applyAlignment="1" applyProtection="1">
      <alignment horizontal="left" vertical="center" wrapText="1"/>
      <protection locked="0"/>
    </xf>
    <xf numFmtId="0" fontId="34" fillId="0" borderId="1" xfId="0" applyFont="1" applyBorder="1" applyAlignment="1" applyProtection="1">
      <alignment horizontal="left" vertical="center" wrapText="1"/>
      <protection locked="0"/>
    </xf>
    <xf numFmtId="0" fontId="31" fillId="8" borderId="18" xfId="0" applyFont="1" applyFill="1" applyBorder="1" applyAlignment="1">
      <alignment vertical="center"/>
    </xf>
    <xf numFmtId="0" fontId="31" fillId="8" borderId="19" xfId="0" applyFont="1" applyFill="1" applyBorder="1" applyAlignment="1">
      <alignment vertical="center"/>
    </xf>
    <xf numFmtId="0" fontId="5" fillId="2" borderId="18" xfId="0" applyFont="1" applyFill="1" applyBorder="1" applyAlignment="1" applyProtection="1">
      <alignment horizontal="left" vertical="center" wrapText="1"/>
      <protection locked="0"/>
    </xf>
    <xf numFmtId="0" fontId="5" fillId="2" borderId="19" xfId="0" applyFont="1" applyFill="1" applyBorder="1" applyAlignment="1" applyProtection="1">
      <alignment horizontal="left" vertical="center" wrapText="1"/>
      <protection locked="0"/>
    </xf>
    <xf numFmtId="0" fontId="5" fillId="2" borderId="20" xfId="0" applyFont="1" applyFill="1" applyBorder="1" applyAlignment="1" applyProtection="1">
      <alignment horizontal="left" vertical="center" wrapText="1"/>
      <protection locked="0"/>
    </xf>
    <xf numFmtId="0" fontId="5" fillId="2" borderId="14" xfId="0" applyFont="1" applyFill="1" applyBorder="1" applyAlignment="1" applyProtection="1">
      <alignment horizontal="left" vertical="center" wrapText="1"/>
      <protection locked="0"/>
    </xf>
    <xf numFmtId="0" fontId="5" fillId="2" borderId="21" xfId="0" applyFont="1" applyFill="1" applyBorder="1" applyAlignment="1" applyProtection="1">
      <alignment horizontal="left" vertical="center" wrapText="1"/>
      <protection locked="0"/>
    </xf>
    <xf numFmtId="0" fontId="5" fillId="2" borderId="22" xfId="0" applyFont="1" applyFill="1" applyBorder="1" applyAlignment="1" applyProtection="1">
      <alignment horizontal="left" vertical="center" wrapText="1"/>
      <protection locked="0"/>
    </xf>
    <xf numFmtId="0" fontId="25" fillId="8" borderId="8" xfId="0" applyFont="1" applyFill="1" applyBorder="1" applyAlignment="1">
      <alignment horizontal="right" vertical="center" wrapText="1"/>
    </xf>
    <xf numFmtId="0" fontId="25" fillId="8" borderId="4" xfId="0" applyFont="1" applyFill="1" applyBorder="1" applyAlignment="1">
      <alignment horizontal="right" vertical="center" wrapText="1"/>
    </xf>
    <xf numFmtId="0" fontId="9" fillId="2" borderId="8" xfId="0" applyFont="1" applyFill="1" applyBorder="1" applyAlignment="1" applyProtection="1">
      <alignment vertical="center" wrapText="1"/>
      <protection locked="0"/>
    </xf>
    <xf numFmtId="0" fontId="9" fillId="2" borderId="17" xfId="0" applyFont="1" applyFill="1" applyBorder="1" applyAlignment="1" applyProtection="1">
      <alignment vertical="center" wrapText="1"/>
      <protection locked="0"/>
    </xf>
    <xf numFmtId="0" fontId="9" fillId="2" borderId="4" xfId="0" applyFont="1" applyFill="1" applyBorder="1" applyAlignment="1" applyProtection="1">
      <alignment vertical="center" wrapText="1"/>
      <protection locked="0"/>
    </xf>
    <xf numFmtId="0" fontId="3" fillId="2" borderId="8" xfId="0" applyFont="1" applyFill="1" applyBorder="1" applyAlignment="1">
      <alignment vertical="center" wrapText="1"/>
    </xf>
    <xf numFmtId="0" fontId="3" fillId="2" borderId="17" xfId="0" applyFont="1" applyFill="1" applyBorder="1" applyAlignment="1">
      <alignment vertical="center" wrapText="1"/>
    </xf>
    <xf numFmtId="0" fontId="3" fillId="2" borderId="4" xfId="0" applyFont="1" applyFill="1" applyBorder="1" applyAlignment="1">
      <alignment vertical="center" wrapText="1"/>
    </xf>
    <xf numFmtId="0" fontId="11" fillId="2" borderId="8" xfId="0" applyFont="1" applyFill="1" applyBorder="1" applyAlignment="1">
      <alignment vertical="center" wrapText="1"/>
    </xf>
    <xf numFmtId="0" fontId="11" fillId="2" borderId="17" xfId="0" applyFont="1" applyFill="1" applyBorder="1" applyAlignment="1">
      <alignment vertical="center" wrapText="1"/>
    </xf>
    <xf numFmtId="0" fontId="11" fillId="2" borderId="4" xfId="0" applyFont="1" applyFill="1" applyBorder="1" applyAlignment="1">
      <alignment vertical="center" wrapText="1"/>
    </xf>
    <xf numFmtId="0" fontId="37" fillId="2" borderId="8" xfId="0" applyFont="1" applyFill="1" applyBorder="1" applyAlignment="1">
      <alignment horizontal="left" vertical="center" wrapText="1"/>
    </xf>
    <xf numFmtId="0" fontId="7" fillId="2" borderId="17" xfId="0" applyFont="1" applyFill="1" applyBorder="1" applyAlignment="1">
      <alignment horizontal="left" vertical="center" wrapText="1"/>
    </xf>
    <xf numFmtId="0" fontId="7" fillId="2" borderId="4" xfId="0" applyFont="1" applyFill="1" applyBorder="1" applyAlignment="1">
      <alignment horizontal="left" vertical="center" wrapText="1"/>
    </xf>
    <xf numFmtId="14" fontId="25" fillId="8" borderId="8" xfId="0" applyNumberFormat="1" applyFont="1" applyFill="1" applyBorder="1" applyAlignment="1">
      <alignment horizontal="center" vertical="center" wrapText="1"/>
    </xf>
    <xf numFmtId="14" fontId="25" fillId="8" borderId="17" xfId="0" applyNumberFormat="1" applyFont="1" applyFill="1" applyBorder="1" applyAlignment="1">
      <alignment horizontal="center" vertical="center" wrapText="1"/>
    </xf>
    <xf numFmtId="14" fontId="25" fillId="8" borderId="4" xfId="0" applyNumberFormat="1" applyFont="1" applyFill="1" applyBorder="1" applyAlignment="1">
      <alignment horizontal="center" vertical="center" wrapText="1"/>
    </xf>
    <xf numFmtId="0" fontId="24" fillId="8" borderId="8" xfId="0" applyFont="1" applyFill="1" applyBorder="1" applyAlignment="1">
      <alignment horizontal="left" vertical="center" wrapText="1"/>
    </xf>
    <xf numFmtId="0" fontId="24" fillId="8" borderId="17" xfId="0" applyFont="1" applyFill="1" applyBorder="1" applyAlignment="1">
      <alignment horizontal="left" vertical="center" wrapText="1"/>
    </xf>
    <xf numFmtId="0" fontId="24" fillId="8" borderId="4" xfId="0" applyFont="1" applyFill="1" applyBorder="1" applyAlignment="1">
      <alignment horizontal="left" vertical="center" wrapText="1"/>
    </xf>
    <xf numFmtId="0" fontId="0" fillId="2" borderId="8" xfId="0" applyFill="1" applyBorder="1" applyAlignment="1" applyProtection="1">
      <alignment horizontal="left" vertical="center" wrapText="1"/>
      <protection locked="0"/>
    </xf>
    <xf numFmtId="0" fontId="0" fillId="2" borderId="17" xfId="0" applyFill="1" applyBorder="1" applyAlignment="1" applyProtection="1">
      <alignment horizontal="left" vertical="center" wrapText="1"/>
      <protection locked="0"/>
    </xf>
    <xf numFmtId="0" fontId="0" fillId="2" borderId="4" xfId="0" applyFill="1" applyBorder="1" applyAlignment="1" applyProtection="1">
      <alignment horizontal="left" vertical="center" wrapText="1"/>
      <protection locked="0"/>
    </xf>
    <xf numFmtId="0" fontId="24" fillId="8" borderId="8" xfId="0" applyFont="1" applyFill="1" applyBorder="1" applyAlignment="1">
      <alignment horizontal="center" vertical="center" wrapText="1"/>
    </xf>
    <xf numFmtId="0" fontId="24" fillId="8" borderId="4" xfId="0" applyFont="1" applyFill="1" applyBorder="1" applyAlignment="1">
      <alignment horizontal="center" vertical="center" wrapText="1"/>
    </xf>
    <xf numFmtId="0" fontId="5" fillId="2" borderId="8" xfId="0" applyFont="1" applyFill="1" applyBorder="1" applyAlignment="1" applyProtection="1">
      <alignment horizontal="left" vertical="center" wrapText="1"/>
      <protection locked="0"/>
    </xf>
    <xf numFmtId="0" fontId="5" fillId="2" borderId="17" xfId="0" applyFont="1" applyFill="1" applyBorder="1" applyAlignment="1" applyProtection="1">
      <alignment horizontal="left" vertical="center" wrapText="1"/>
      <protection locked="0"/>
    </xf>
    <xf numFmtId="0" fontId="5" fillId="2" borderId="4" xfId="0" applyFont="1" applyFill="1" applyBorder="1" applyAlignment="1" applyProtection="1">
      <alignment horizontal="left" vertical="center" wrapText="1"/>
      <protection locked="0"/>
    </xf>
    <xf numFmtId="0" fontId="5" fillId="2" borderId="8" xfId="0" applyFont="1" applyFill="1" applyBorder="1" applyAlignment="1">
      <alignment horizontal="left" vertical="center" wrapText="1"/>
    </xf>
    <xf numFmtId="0" fontId="5" fillId="2" borderId="17" xfId="0" applyFont="1" applyFill="1" applyBorder="1" applyAlignment="1">
      <alignment horizontal="left" vertical="center" wrapText="1"/>
    </xf>
    <xf numFmtId="0" fontId="5" fillId="2" borderId="4" xfId="0" applyFont="1" applyFill="1" applyBorder="1" applyAlignment="1">
      <alignment horizontal="left" vertical="center" wrapText="1"/>
    </xf>
    <xf numFmtId="0" fontId="36" fillId="2" borderId="8" xfId="0" applyFont="1" applyFill="1" applyBorder="1" applyAlignment="1">
      <alignment horizontal="left" vertical="center" wrapText="1"/>
    </xf>
    <xf numFmtId="0" fontId="10" fillId="2" borderId="17"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 fillId="2" borderId="17" xfId="0" applyFont="1" applyFill="1" applyBorder="1" applyAlignment="1">
      <alignment horizontal="left" vertical="center" wrapText="1"/>
    </xf>
    <xf numFmtId="0" fontId="1" fillId="2" borderId="4" xfId="0" applyFont="1" applyFill="1" applyBorder="1" applyAlignment="1">
      <alignment horizontal="left" vertical="center" wrapText="1"/>
    </xf>
    <xf numFmtId="0" fontId="37" fillId="2" borderId="8" xfId="0" applyFont="1" applyFill="1" applyBorder="1" applyAlignment="1">
      <alignment horizontal="left" vertical="center"/>
    </xf>
    <xf numFmtId="0" fontId="7" fillId="2" borderId="17" xfId="0" applyFont="1" applyFill="1" applyBorder="1" applyAlignment="1">
      <alignment horizontal="left" vertical="center"/>
    </xf>
    <xf numFmtId="0" fontId="7" fillId="2" borderId="4" xfId="0" applyFont="1" applyFill="1" applyBorder="1" applyAlignment="1">
      <alignment horizontal="left" vertical="center"/>
    </xf>
    <xf numFmtId="0" fontId="24" fillId="8" borderId="8" xfId="0" applyFont="1" applyFill="1" applyBorder="1" applyAlignment="1">
      <alignment vertical="center" wrapText="1"/>
    </xf>
    <xf numFmtId="0" fontId="24" fillId="8" borderId="4" xfId="0" applyFont="1" applyFill="1" applyBorder="1" applyAlignment="1">
      <alignment vertical="center" wrapText="1"/>
    </xf>
    <xf numFmtId="0" fontId="24" fillId="8" borderId="18" xfId="0" applyFont="1" applyFill="1" applyBorder="1" applyAlignment="1">
      <alignment horizontal="center" vertical="center" wrapText="1"/>
    </xf>
    <xf numFmtId="0" fontId="24" fillId="8" borderId="19" xfId="0" applyFont="1" applyFill="1" applyBorder="1" applyAlignment="1">
      <alignment horizontal="center" vertical="center" wrapText="1"/>
    </xf>
    <xf numFmtId="0" fontId="24" fillId="8" borderId="20" xfId="0" applyFont="1" applyFill="1" applyBorder="1" applyAlignment="1">
      <alignment horizontal="center" vertical="center" wrapText="1"/>
    </xf>
    <xf numFmtId="0" fontId="24" fillId="8" borderId="14" xfId="0" applyFont="1" applyFill="1" applyBorder="1" applyAlignment="1">
      <alignment horizontal="center" vertical="center" wrapText="1"/>
    </xf>
    <xf numFmtId="0" fontId="24" fillId="8" borderId="21" xfId="0" applyFont="1" applyFill="1" applyBorder="1" applyAlignment="1">
      <alignment horizontal="center" vertical="center" wrapText="1"/>
    </xf>
    <xf numFmtId="0" fontId="24" fillId="8" borderId="22" xfId="0" applyFont="1" applyFill="1" applyBorder="1" applyAlignment="1">
      <alignment horizontal="center" vertical="center" wrapText="1"/>
    </xf>
    <xf numFmtId="0" fontId="11" fillId="2" borderId="28" xfId="0" applyFont="1" applyFill="1" applyBorder="1" applyAlignment="1" applyProtection="1">
      <alignment horizontal="center" vertical="center"/>
    </xf>
    <xf numFmtId="0" fontId="11" fillId="0" borderId="0" xfId="0" applyFont="1" applyAlignment="1">
      <alignment horizontal="center" vertical="center"/>
    </xf>
    <xf numFmtId="0" fontId="11" fillId="0" borderId="29" xfId="0" applyFont="1" applyBorder="1" applyAlignment="1">
      <alignment horizontal="center" vertical="center"/>
    </xf>
    <xf numFmtId="0" fontId="11" fillId="2" borderId="28" xfId="0" applyFont="1" applyFill="1" applyBorder="1" applyAlignment="1">
      <alignment horizontal="center" vertical="center"/>
    </xf>
    <xf numFmtId="0" fontId="11" fillId="2" borderId="14" xfId="0" applyFont="1" applyFill="1" applyBorder="1" applyAlignment="1">
      <alignment horizontal="center" vertical="center" wrapText="1"/>
    </xf>
    <xf numFmtId="0" fontId="11" fillId="0" borderId="21" xfId="0" applyFont="1" applyBorder="1" applyAlignment="1">
      <alignment horizontal="center" vertical="center" wrapText="1"/>
    </xf>
    <xf numFmtId="0" fontId="11" fillId="0" borderId="22" xfId="0" applyFont="1" applyBorder="1" applyAlignment="1">
      <alignment horizontal="center" vertical="center" wrapText="1"/>
    </xf>
    <xf numFmtId="0" fontId="9" fillId="0" borderId="17" xfId="0" applyFont="1" applyBorder="1" applyAlignment="1">
      <alignment vertical="center" wrapText="1"/>
    </xf>
    <xf numFmtId="0" fontId="9" fillId="0" borderId="4" xfId="0" applyFont="1" applyBorder="1" applyAlignment="1">
      <alignment vertical="center" wrapText="1"/>
    </xf>
    <xf numFmtId="0" fontId="41" fillId="8" borderId="17" xfId="0" applyFont="1" applyFill="1" applyBorder="1" applyAlignment="1">
      <alignment horizontal="left" vertical="center" wrapText="1"/>
    </xf>
    <xf numFmtId="0" fontId="30" fillId="8" borderId="17" xfId="0" applyFont="1" applyFill="1" applyBorder="1" applyAlignment="1">
      <alignment horizontal="left" vertical="center" wrapText="1"/>
    </xf>
    <xf numFmtId="0" fontId="17" fillId="2" borderId="28" xfId="0" applyFont="1" applyFill="1" applyBorder="1" applyAlignment="1">
      <alignment horizontal="center" vertical="center"/>
    </xf>
    <xf numFmtId="0" fontId="17" fillId="2" borderId="0" xfId="0" applyFont="1" applyFill="1" applyBorder="1" applyAlignment="1">
      <alignment horizontal="center" vertical="center"/>
    </xf>
    <xf numFmtId="0" fontId="17" fillId="2" borderId="29" xfId="0" applyFont="1" applyFill="1" applyBorder="1" applyAlignment="1">
      <alignment horizontal="center" vertical="center"/>
    </xf>
    <xf numFmtId="0" fontId="4" fillId="2" borderId="8" xfId="0" applyFont="1" applyFill="1" applyBorder="1" applyAlignment="1" applyProtection="1">
      <alignment horizontal="left" vertical="center" wrapText="1" shrinkToFit="1"/>
      <protection locked="0"/>
    </xf>
    <xf numFmtId="0" fontId="4" fillId="2" borderId="17" xfId="0" applyFont="1" applyFill="1" applyBorder="1" applyAlignment="1" applyProtection="1">
      <alignment horizontal="left" vertical="center" wrapText="1" shrinkToFit="1"/>
      <protection locked="0"/>
    </xf>
    <xf numFmtId="0" fontId="4" fillId="2" borderId="4" xfId="0" applyFont="1" applyFill="1" applyBorder="1" applyAlignment="1" applyProtection="1">
      <alignment horizontal="left" vertical="center" wrapText="1" shrinkToFit="1"/>
      <protection locked="0"/>
    </xf>
    <xf numFmtId="0" fontId="29" fillId="8" borderId="8" xfId="0" applyFont="1" applyFill="1" applyBorder="1" applyAlignment="1">
      <alignment horizontal="center" vertical="center" wrapText="1"/>
    </xf>
    <xf numFmtId="0" fontId="29" fillId="8" borderId="17" xfId="0" applyFont="1" applyFill="1" applyBorder="1" applyAlignment="1">
      <alignment horizontal="center" vertical="center" wrapText="1"/>
    </xf>
    <xf numFmtId="0" fontId="29" fillId="8" borderId="4" xfId="0" applyFont="1" applyFill="1" applyBorder="1" applyAlignment="1">
      <alignment horizontal="center" vertical="center" wrapText="1"/>
    </xf>
    <xf numFmtId="0" fontId="39" fillId="2" borderId="18" xfId="0" applyFont="1" applyFill="1" applyBorder="1" applyAlignment="1" applyProtection="1">
      <alignment horizontal="center" vertical="center" wrapText="1"/>
    </xf>
    <xf numFmtId="0" fontId="12" fillId="2" borderId="20" xfId="0" applyFont="1" applyFill="1" applyBorder="1" applyAlignment="1" applyProtection="1">
      <alignment horizontal="center" vertical="center"/>
    </xf>
    <xf numFmtId="0" fontId="12" fillId="2" borderId="28" xfId="0" applyFont="1" applyFill="1" applyBorder="1" applyAlignment="1" applyProtection="1">
      <alignment horizontal="center" vertical="center"/>
    </xf>
    <xf numFmtId="0" fontId="12" fillId="2" borderId="29" xfId="0" applyFont="1" applyFill="1" applyBorder="1" applyAlignment="1" applyProtection="1">
      <alignment horizontal="center" vertical="center"/>
    </xf>
    <xf numFmtId="0" fontId="12" fillId="2" borderId="14" xfId="0" applyFont="1" applyFill="1" applyBorder="1" applyAlignment="1" applyProtection="1">
      <alignment horizontal="center" vertical="center"/>
    </xf>
    <xf numFmtId="0" fontId="12" fillId="2" borderId="22" xfId="0" applyFont="1" applyFill="1" applyBorder="1" applyAlignment="1" applyProtection="1">
      <alignment horizontal="center" vertical="center"/>
    </xf>
    <xf numFmtId="0" fontId="21" fillId="0" borderId="23" xfId="0" applyFont="1" applyBorder="1" applyAlignment="1">
      <alignment horizontal="center" vertical="center" wrapText="1"/>
    </xf>
    <xf numFmtId="0" fontId="21" fillId="0" borderId="24" xfId="0" applyFont="1" applyBorder="1" applyAlignment="1">
      <alignment horizontal="center" vertical="center" wrapText="1"/>
    </xf>
    <xf numFmtId="0" fontId="6" fillId="7" borderId="25" xfId="0" applyFont="1" applyFill="1" applyBorder="1" applyAlignment="1">
      <alignment horizontal="justify" wrapText="1"/>
    </xf>
    <xf numFmtId="0" fontId="6" fillId="7" borderId="26" xfId="0" applyFont="1" applyFill="1" applyBorder="1" applyAlignment="1">
      <alignment horizontal="justify" wrapText="1"/>
    </xf>
    <xf numFmtId="0" fontId="6" fillId="7" borderId="27" xfId="0" applyFont="1" applyFill="1" applyBorder="1" applyAlignment="1">
      <alignment horizontal="justify" wrapText="1"/>
    </xf>
    <xf numFmtId="0" fontId="38" fillId="3" borderId="6" xfId="0" applyFont="1" applyFill="1" applyBorder="1" applyAlignment="1">
      <alignment horizontal="center" textRotation="90" wrapText="1"/>
    </xf>
    <xf numFmtId="0" fontId="14" fillId="3" borderId="23" xfId="0" applyFont="1" applyFill="1" applyBorder="1" applyAlignment="1">
      <alignment horizontal="center" textRotation="90" wrapText="1"/>
    </xf>
    <xf numFmtId="0" fontId="14" fillId="3" borderId="24" xfId="0" applyFont="1" applyFill="1" applyBorder="1" applyAlignment="1">
      <alignment horizontal="center" textRotation="90" wrapText="1"/>
    </xf>
    <xf numFmtId="0" fontId="19" fillId="0" borderId="39" xfId="0" applyFont="1" applyBorder="1" applyAlignment="1">
      <alignment horizontal="center" vertical="center" wrapText="1"/>
    </xf>
    <xf numFmtId="0" fontId="0" fillId="0" borderId="31" xfId="0" applyBorder="1" applyAlignment="1">
      <alignment horizontal="center" vertical="center" wrapText="1"/>
    </xf>
    <xf numFmtId="0" fontId="15" fillId="2" borderId="18" xfId="0" applyFont="1" applyFill="1" applyBorder="1" applyAlignment="1">
      <alignment horizontal="center"/>
    </xf>
    <xf numFmtId="0" fontId="15" fillId="0" borderId="20" xfId="0" applyFont="1" applyBorder="1" applyAlignment="1">
      <alignment horizontal="center"/>
    </xf>
    <xf numFmtId="0" fontId="15" fillId="2" borderId="28" xfId="0" applyFont="1" applyFill="1" applyBorder="1" applyAlignment="1">
      <alignment horizontal="center" vertical="center"/>
    </xf>
    <xf numFmtId="0" fontId="15" fillId="0" borderId="29" xfId="0" applyFont="1" applyBorder="1" applyAlignment="1">
      <alignment horizontal="center" vertical="center"/>
    </xf>
    <xf numFmtId="0" fontId="15" fillId="2" borderId="14" xfId="0" applyFont="1" applyFill="1" applyBorder="1" applyAlignment="1">
      <alignment horizontal="center" vertical="center" wrapText="1"/>
    </xf>
    <xf numFmtId="0" fontId="15" fillId="0" borderId="22" xfId="0" applyFont="1" applyBorder="1" applyAlignment="1">
      <alignment horizontal="center" vertical="center" wrapText="1"/>
    </xf>
    <xf numFmtId="0" fontId="9" fillId="2" borderId="28" xfId="0" applyFont="1" applyFill="1" applyBorder="1" applyAlignment="1">
      <alignment horizontal="center" vertical="center"/>
    </xf>
    <xf numFmtId="0" fontId="0" fillId="0" borderId="0" xfId="0" applyAlignment="1">
      <alignment horizontal="center" vertical="center"/>
    </xf>
    <xf numFmtId="0" fontId="0" fillId="0" borderId="29" xfId="0" applyBorder="1" applyAlignment="1">
      <alignment horizontal="center" vertical="center"/>
    </xf>
    <xf numFmtId="0" fontId="19" fillId="0" borderId="36" xfId="0" applyFont="1" applyBorder="1" applyAlignment="1">
      <alignment horizontal="center" vertical="center" wrapText="1"/>
    </xf>
    <xf numFmtId="0" fontId="0" fillId="0" borderId="37" xfId="0" applyBorder="1" applyAlignment="1">
      <alignment horizontal="center" vertical="center" wrapText="1"/>
    </xf>
    <xf numFmtId="0" fontId="19" fillId="0" borderId="38" xfId="0" applyFont="1" applyBorder="1" applyAlignment="1">
      <alignment horizontal="center" vertical="center" wrapText="1"/>
    </xf>
    <xf numFmtId="0" fontId="0" fillId="0" borderId="4" xfId="0" applyBorder="1" applyAlignment="1">
      <alignment horizontal="center" vertical="center" wrapText="1"/>
    </xf>
    <xf numFmtId="0" fontId="9" fillId="7" borderId="30" xfId="0" applyFont="1" applyFill="1" applyBorder="1" applyAlignment="1">
      <alignment horizontal="center" textRotation="90" wrapText="1"/>
    </xf>
    <xf numFmtId="0" fontId="4" fillId="0" borderId="32" xfId="0" applyFont="1" applyBorder="1" applyAlignment="1">
      <alignment horizontal="center" textRotation="90" wrapText="1"/>
    </xf>
    <xf numFmtId="0" fontId="9" fillId="7" borderId="33" xfId="0" applyFont="1" applyFill="1" applyBorder="1" applyAlignment="1">
      <alignment horizontal="center" textRotation="90" wrapText="1"/>
    </xf>
    <xf numFmtId="0" fontId="4" fillId="0" borderId="34" xfId="0" applyFont="1" applyBorder="1" applyAlignment="1">
      <alignment horizontal="center" textRotation="90" wrapText="1"/>
    </xf>
    <xf numFmtId="0" fontId="9" fillId="7" borderId="35" xfId="0" applyFont="1" applyFill="1" applyBorder="1" applyAlignment="1">
      <alignment horizontal="center" textRotation="90" wrapText="1"/>
    </xf>
    <xf numFmtId="0" fontId="4" fillId="0" borderId="5" xfId="0" applyFont="1" applyBorder="1" applyAlignment="1">
      <alignment horizontal="center" textRotation="90" wrapText="1"/>
    </xf>
    <xf numFmtId="0" fontId="40" fillId="2" borderId="18" xfId="0" applyFont="1" applyFill="1" applyBorder="1" applyAlignment="1" applyProtection="1">
      <alignment horizontal="center" vertical="center" wrapText="1"/>
    </xf>
    <xf numFmtId="0" fontId="40" fillId="2" borderId="19" xfId="0" applyFont="1" applyFill="1" applyBorder="1" applyAlignment="1" applyProtection="1">
      <alignment horizontal="center" vertical="center" wrapText="1"/>
    </xf>
    <xf numFmtId="0" fontId="40" fillId="2" borderId="20" xfId="0" applyFont="1" applyFill="1" applyBorder="1" applyAlignment="1" applyProtection="1">
      <alignment horizontal="center" vertical="center" wrapText="1"/>
    </xf>
    <xf numFmtId="0" fontId="40" fillId="2" borderId="28" xfId="0" applyFont="1" applyFill="1" applyBorder="1" applyAlignment="1" applyProtection="1">
      <alignment horizontal="center" vertical="center" wrapText="1"/>
    </xf>
    <xf numFmtId="0" fontId="40" fillId="2" borderId="0" xfId="0" applyFont="1" applyFill="1" applyBorder="1" applyAlignment="1" applyProtection="1">
      <alignment horizontal="center" vertical="center" wrapText="1"/>
    </xf>
    <xf numFmtId="0" fontId="40" fillId="2" borderId="29" xfId="0" applyFont="1" applyFill="1" applyBorder="1" applyAlignment="1" applyProtection="1">
      <alignment horizontal="center" vertical="center" wrapText="1"/>
    </xf>
    <xf numFmtId="0" fontId="40" fillId="2" borderId="14" xfId="0" applyFont="1" applyFill="1" applyBorder="1" applyAlignment="1" applyProtection="1">
      <alignment horizontal="center" vertical="center" wrapText="1"/>
    </xf>
    <xf numFmtId="0" fontId="40" fillId="2" borderId="21" xfId="0" applyFont="1" applyFill="1" applyBorder="1" applyAlignment="1" applyProtection="1">
      <alignment horizontal="center" vertical="center" wrapText="1"/>
    </xf>
    <xf numFmtId="0" fontId="40" fillId="2" borderId="22" xfId="0" applyFont="1" applyFill="1" applyBorder="1" applyAlignment="1" applyProtection="1">
      <alignment horizontal="center" vertical="center" wrapText="1"/>
    </xf>
    <xf numFmtId="0" fontId="42" fillId="2" borderId="8" xfId="0" applyFont="1" applyFill="1" applyBorder="1" applyAlignment="1">
      <alignment horizontal="left" vertical="center" wrapText="1"/>
    </xf>
    <xf numFmtId="0" fontId="44" fillId="2" borderId="17" xfId="0" applyFont="1" applyFill="1" applyBorder="1" applyAlignment="1">
      <alignment horizontal="left" vertical="center" wrapText="1"/>
    </xf>
    <xf numFmtId="0" fontId="44" fillId="2" borderId="4" xfId="0" applyFont="1" applyFill="1" applyBorder="1" applyAlignment="1">
      <alignment horizontal="left" vertical="center" wrapText="1"/>
    </xf>
  </cellXfs>
  <cellStyles count="1">
    <cellStyle name="Обычный" xfId="0" builtinId="0"/>
  </cellStyles>
  <dxfs count="3">
    <dxf>
      <font>
        <color theme="0"/>
      </font>
      <fill>
        <patternFill>
          <bgColor rgb="FF00B050"/>
        </patternFill>
      </fill>
    </dxf>
    <dxf>
      <fill>
        <patternFill>
          <bgColor rgb="FFFFFF00"/>
        </patternFill>
      </fill>
    </dxf>
    <dxf>
      <font>
        <color theme="0"/>
      </font>
      <fill>
        <patternFill>
          <bgColor rgb="FFFF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oneCellAnchor>
    <xdr:from>
      <xdr:col>6</xdr:col>
      <xdr:colOff>952500</xdr:colOff>
      <xdr:row>9</xdr:row>
      <xdr:rowOff>0</xdr:rowOff>
    </xdr:from>
    <xdr:ext cx="184731" cy="264560"/>
    <xdr:sp macro="" textlink="">
      <xdr:nvSpPr>
        <xdr:cNvPr id="3" name="Tekstvak 2">
          <a:extLst>
            <a:ext uri="{FF2B5EF4-FFF2-40B4-BE49-F238E27FC236}">
              <a16:creationId xmlns:a16="http://schemas.microsoft.com/office/drawing/2014/main" id="{00000000-0008-0000-0000-000003000000}"/>
            </a:ext>
          </a:extLst>
        </xdr:cNvPr>
        <xdr:cNvSpPr txBox="1"/>
      </xdr:nvSpPr>
      <xdr:spPr>
        <a:xfrm>
          <a:off x="6991350" y="2057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6</xdr:col>
      <xdr:colOff>952500</xdr:colOff>
      <xdr:row>12</xdr:row>
      <xdr:rowOff>0</xdr:rowOff>
    </xdr:from>
    <xdr:ext cx="184731" cy="264560"/>
    <xdr:sp macro="" textlink="">
      <xdr:nvSpPr>
        <xdr:cNvPr id="4" name="Tekstvak 3">
          <a:extLst>
            <a:ext uri="{FF2B5EF4-FFF2-40B4-BE49-F238E27FC236}">
              <a16:creationId xmlns:a16="http://schemas.microsoft.com/office/drawing/2014/main" id="{00000000-0008-0000-0000-000004000000}"/>
            </a:ext>
          </a:extLst>
        </xdr:cNvPr>
        <xdr:cNvSpPr txBox="1"/>
      </xdr:nvSpPr>
      <xdr:spPr>
        <a:xfrm>
          <a:off x="6991350" y="13735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19050</xdr:colOff>
      <xdr:row>16</xdr:row>
      <xdr:rowOff>0</xdr:rowOff>
    </xdr:from>
    <xdr:to>
      <xdr:col>4</xdr:col>
      <xdr:colOff>2117</xdr:colOff>
      <xdr:row>18</xdr:row>
      <xdr:rowOff>123825</xdr:rowOff>
    </xdr:to>
    <xdr:sp macro="" textlink="">
      <xdr:nvSpPr>
        <xdr:cNvPr id="3" name="Text Box 30">
          <a:extLst>
            <a:ext uri="{FF2B5EF4-FFF2-40B4-BE49-F238E27FC236}">
              <a16:creationId xmlns:a16="http://schemas.microsoft.com/office/drawing/2014/main" id="{00000000-0008-0000-0100-000003000000}"/>
            </a:ext>
          </a:extLst>
        </xdr:cNvPr>
        <xdr:cNvSpPr txBox="1">
          <a:spLocks noChangeArrowheads="1"/>
        </xdr:cNvSpPr>
      </xdr:nvSpPr>
      <xdr:spPr bwMode="auto">
        <a:xfrm>
          <a:off x="323850" y="6724650"/>
          <a:ext cx="1600200" cy="447675"/>
        </a:xfrm>
        <a:prstGeom prst="rect">
          <a:avLst/>
        </a:prstGeom>
        <a:solidFill>
          <a:srgbClr val="00B050"/>
        </a:solidFill>
        <a:ln w="9525">
          <a:noFill/>
          <a:miter lim="800000"/>
          <a:headEnd/>
          <a:tailEnd/>
        </a:ln>
      </xdr:spPr>
      <xdr:txBody>
        <a:bodyPr vertOverflow="clip" wrap="square" lIns="91440" tIns="45720" rIns="91440" bIns="45720" anchor="t" upright="1"/>
        <a:lstStyle/>
        <a:p>
          <a:pPr algn="l" rtl="0">
            <a:lnSpc>
              <a:spcPts val="1100"/>
            </a:lnSpc>
          </a:pPr>
          <a:r>
            <a:rPr lang="en-GB" b="1">
              <a:solidFill>
                <a:srgbClr val="FFFFFF"/>
              </a:solidFill>
              <a:latin typeface="Arial"/>
              <a:cs typeface="Arial"/>
            </a:rPr>
            <a:t>НИЗКИЙ РИСК</a:t>
          </a:r>
        </a:p>
        <a:p>
          <a:pPr algn="l" rtl="0">
            <a:lnSpc>
              <a:spcPts val="1100"/>
            </a:lnSpc>
          </a:pPr>
          <a:endParaRPr lang="en-GB" sz="1100"/>
        </a:p>
      </xdr:txBody>
    </xdr:sp>
    <xdr:clientData/>
  </xdr:twoCellAnchor>
  <xdr:twoCellAnchor>
    <xdr:from>
      <xdr:col>0</xdr:col>
      <xdr:colOff>28575</xdr:colOff>
      <xdr:row>20</xdr:row>
      <xdr:rowOff>127000</xdr:rowOff>
    </xdr:from>
    <xdr:to>
      <xdr:col>4</xdr:col>
      <xdr:colOff>2117</xdr:colOff>
      <xdr:row>25</xdr:row>
      <xdr:rowOff>133349</xdr:rowOff>
    </xdr:to>
    <xdr:sp macro="" textlink="">
      <xdr:nvSpPr>
        <xdr:cNvPr id="4" name="Text Box 31">
          <a:extLst>
            <a:ext uri="{FF2B5EF4-FFF2-40B4-BE49-F238E27FC236}">
              <a16:creationId xmlns:a16="http://schemas.microsoft.com/office/drawing/2014/main" id="{00000000-0008-0000-0100-000004000000}"/>
            </a:ext>
          </a:extLst>
        </xdr:cNvPr>
        <xdr:cNvSpPr txBox="1">
          <a:spLocks noChangeArrowheads="1"/>
        </xdr:cNvSpPr>
      </xdr:nvSpPr>
      <xdr:spPr bwMode="auto">
        <a:xfrm>
          <a:off x="28575" y="9645650"/>
          <a:ext cx="2888192" cy="831849"/>
        </a:xfrm>
        <a:prstGeom prst="rect">
          <a:avLst/>
        </a:prstGeom>
        <a:solidFill>
          <a:srgbClr val="FFFF00"/>
        </a:solidFill>
        <a:ln w="9525">
          <a:noFill/>
          <a:miter lim="800000"/>
          <a:headEnd/>
          <a:tailEnd/>
        </a:ln>
      </xdr:spPr>
      <xdr:txBody>
        <a:bodyPr vertOverflow="clip" wrap="square" lIns="91440" tIns="45720" rIns="91440" bIns="45720" anchor="t" upright="1"/>
        <a:lstStyle/>
        <a:p>
          <a:pPr algn="l" rtl="0">
            <a:lnSpc>
              <a:spcPts val="1100"/>
            </a:lnSpc>
          </a:pPr>
          <a:r>
            <a:rPr lang="en-GB" b="1">
              <a:solidFill>
                <a:srgbClr val="FF0000"/>
              </a:solidFill>
              <a:latin typeface="Arial"/>
              <a:cs typeface="Arial"/>
            </a:rPr>
            <a:t>УМЕРЕННЫЙ РИСК</a:t>
          </a:r>
        </a:p>
        <a:p>
          <a:pPr algn="l" rtl="0">
            <a:lnSpc>
              <a:spcPts val="1100"/>
            </a:lnSpc>
          </a:pPr>
          <a:endParaRPr lang="en-GB" sz="1100"/>
        </a:p>
      </xdr:txBody>
    </xdr:sp>
    <xdr:clientData/>
  </xdr:twoCellAnchor>
  <xdr:twoCellAnchor>
    <xdr:from>
      <xdr:col>0</xdr:col>
      <xdr:colOff>2117</xdr:colOff>
      <xdr:row>25</xdr:row>
      <xdr:rowOff>406400</xdr:rowOff>
    </xdr:from>
    <xdr:to>
      <xdr:col>4</xdr:col>
      <xdr:colOff>2117</xdr:colOff>
      <xdr:row>29</xdr:row>
      <xdr:rowOff>107950</xdr:rowOff>
    </xdr:to>
    <xdr:sp macro="" textlink="">
      <xdr:nvSpPr>
        <xdr:cNvPr id="5" name="Text Box 32">
          <a:extLst>
            <a:ext uri="{FF2B5EF4-FFF2-40B4-BE49-F238E27FC236}">
              <a16:creationId xmlns:a16="http://schemas.microsoft.com/office/drawing/2014/main" id="{00000000-0008-0000-0100-000005000000}"/>
            </a:ext>
          </a:extLst>
        </xdr:cNvPr>
        <xdr:cNvSpPr txBox="1">
          <a:spLocks noChangeArrowheads="1"/>
        </xdr:cNvSpPr>
      </xdr:nvSpPr>
      <xdr:spPr bwMode="auto">
        <a:xfrm>
          <a:off x="2117" y="10750550"/>
          <a:ext cx="2914650" cy="939800"/>
        </a:xfrm>
        <a:prstGeom prst="rect">
          <a:avLst/>
        </a:prstGeom>
        <a:solidFill>
          <a:srgbClr val="FF0000"/>
        </a:solidFill>
        <a:ln w="9525">
          <a:noFill/>
          <a:miter lim="800000"/>
          <a:headEnd/>
          <a:tailEnd/>
        </a:ln>
      </xdr:spPr>
      <xdr:txBody>
        <a:bodyPr vertOverflow="clip" wrap="square" lIns="91440" tIns="45720" rIns="91440" bIns="45720" anchor="t" upright="1"/>
        <a:lstStyle/>
        <a:p>
          <a:pPr algn="l" rtl="0">
            <a:lnSpc>
              <a:spcPts val="1100"/>
            </a:lnSpc>
          </a:pPr>
          <a:r>
            <a:rPr lang="en-GB" b="1">
              <a:solidFill>
                <a:srgbClr val="FFFFFF"/>
              </a:solidFill>
              <a:latin typeface="Arial"/>
              <a:cs typeface="Arial"/>
            </a:rPr>
            <a:t>ВЫСОКИЙ РИСК</a:t>
          </a:r>
        </a:p>
        <a:p>
          <a:pPr algn="l" rtl="0">
            <a:lnSpc>
              <a:spcPts val="1100"/>
            </a:lnSpc>
          </a:pPr>
          <a:endParaRPr lang="en-GB" sz="1100"/>
        </a:p>
      </xdr:txBody>
    </xdr:sp>
    <xdr:clientData/>
  </xdr:twoCellAnchor>
  <xdr:twoCellAnchor>
    <xdr:from>
      <xdr:col>4</xdr:col>
      <xdr:colOff>2116</xdr:colOff>
      <xdr:row>15</xdr:row>
      <xdr:rowOff>85727</xdr:rowOff>
    </xdr:from>
    <xdr:to>
      <xdr:col>10</xdr:col>
      <xdr:colOff>0</xdr:colOff>
      <xdr:row>19</xdr:row>
      <xdr:rowOff>285751</xdr:rowOff>
    </xdr:to>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2916766" y="8550277"/>
          <a:ext cx="5712884" cy="8604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GB">
              <a:solidFill>
                <a:schemeClr val="dk1"/>
              </a:solidFill>
              <a:latin typeface="Calibri"/>
            </a:rPr>
            <a:t>Опасные факторы, уровень риска которых находится в зеленой зоне матрицы, считаются достаточно контролируемыми рисками. Дополнительные меры контроля не требуются. Необходим мониторинг регулярного применения мер контроля.</a:t>
          </a:r>
          <a:endParaRPr lang="en-GB" sz="1100"/>
        </a:p>
      </xdr:txBody>
    </xdr:sp>
    <xdr:clientData/>
  </xdr:twoCellAnchor>
  <xdr:twoCellAnchor>
    <xdr:from>
      <xdr:col>4</xdr:col>
      <xdr:colOff>29332</xdr:colOff>
      <xdr:row>20</xdr:row>
      <xdr:rowOff>57830</xdr:rowOff>
    </xdr:from>
    <xdr:to>
      <xdr:col>21</xdr:col>
      <xdr:colOff>27215</xdr:colOff>
      <xdr:row>25</xdr:row>
      <xdr:rowOff>184149</xdr:rowOff>
    </xdr:to>
    <xdr:sp macro="" textlink="">
      <xdr:nvSpPr>
        <xdr:cNvPr id="7" name="TextBox 6">
          <a:extLst>
            <a:ext uri="{FF2B5EF4-FFF2-40B4-BE49-F238E27FC236}">
              <a16:creationId xmlns:a16="http://schemas.microsoft.com/office/drawing/2014/main" id="{00000000-0008-0000-0100-000007000000}"/>
            </a:ext>
          </a:extLst>
        </xdr:cNvPr>
        <xdr:cNvSpPr txBox="1"/>
      </xdr:nvSpPr>
      <xdr:spPr>
        <a:xfrm>
          <a:off x="2943982" y="9576480"/>
          <a:ext cx="5712883" cy="9518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t>Опасные факторы, уровень риска которых находится в желтой зоне матрицы, </a:t>
          </a:r>
          <a:r>
            <a:rPr i="1"/>
            <a:t>требуют</a:t>
          </a:r>
          <a:r>
            <a:t> принятия обязательных мер по снижению уровня риска перед началом выполнения работ. Если это условие является невыполнимым, следует уведомить </a:t>
          </a:r>
          <a:r>
            <a:rPr b="1"/>
            <a:t>капитана/менеджера базового подразделения</a:t>
          </a:r>
          <a:r>
            <a:t> (в зависимости от места выполнения работ – в плавании или на берегу)..</a:t>
          </a:r>
          <a:r>
            <a:rPr lang="en-GB"/>
            <a:t> </a:t>
          </a:r>
          <a:endParaRPr lang="en-GB" sz="1100"/>
        </a:p>
      </xdr:txBody>
    </xdr:sp>
    <xdr:clientData/>
  </xdr:twoCellAnchor>
  <xdr:twoCellAnchor>
    <xdr:from>
      <xdr:col>4</xdr:col>
      <xdr:colOff>2117</xdr:colOff>
      <xdr:row>25</xdr:row>
      <xdr:rowOff>323850</xdr:rowOff>
    </xdr:from>
    <xdr:to>
      <xdr:col>10</xdr:col>
      <xdr:colOff>0</xdr:colOff>
      <xdr:row>30</xdr:row>
      <xdr:rowOff>120650</xdr:rowOff>
    </xdr:to>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2916767" y="10668000"/>
          <a:ext cx="5712883" cy="1200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t>При наличии опасных факторов с уровнем риска в красной зоне приступать к выполнению задания </a:t>
          </a:r>
          <a:r>
            <a:rPr i="1"/>
            <a:t>запрещено</a:t>
          </a:r>
          <a:r>
            <a:t>. Необходимо уведомить </a:t>
          </a:r>
          <a:r>
            <a:rPr b="1"/>
            <a:t>капитана/менеджера базового подразделения</a:t>
          </a:r>
          <a:r>
            <a:t> (в море/на берегу, в зависимости от обстоятельств). Если снижение уровня риска не представляется возможным даже при наличии неограниченных ресурсов, запрет на выполнение работ должен оставаться в силе до тех пор, пока не будет найден более безопасный способ выполнения задания.</a:t>
          </a:r>
          <a:r>
            <a:rPr lang="en-GB"/>
            <a:t> </a:t>
          </a:r>
          <a:endParaRPr lang="en-GB" sz="1100"/>
        </a:p>
      </xdr:txBody>
    </xdr:sp>
    <xdr:clientData/>
  </xdr:twoCellAnchor>
  <xdr:twoCellAnchor>
    <xdr:from>
      <xdr:col>3</xdr:col>
      <xdr:colOff>938893</xdr:colOff>
      <xdr:row>30</xdr:row>
      <xdr:rowOff>95251</xdr:rowOff>
    </xdr:from>
    <xdr:to>
      <xdr:col>9</xdr:col>
      <xdr:colOff>843643</xdr:colOff>
      <xdr:row>32</xdr:row>
      <xdr:rowOff>165101</xdr:rowOff>
    </xdr:to>
    <xdr:sp macro="" textlink="">
      <xdr:nvSpPr>
        <xdr:cNvPr id="9" name="TextBox 8">
          <a:extLst>
            <a:ext uri="{FF2B5EF4-FFF2-40B4-BE49-F238E27FC236}">
              <a16:creationId xmlns:a16="http://schemas.microsoft.com/office/drawing/2014/main" id="{00000000-0008-0000-0100-000009000000}"/>
            </a:ext>
          </a:extLst>
        </xdr:cNvPr>
        <xdr:cNvSpPr txBox="1"/>
      </xdr:nvSpPr>
      <xdr:spPr>
        <a:xfrm>
          <a:off x="2869293" y="11842751"/>
          <a:ext cx="5676900" cy="400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l"/>
          <a:r>
            <a:rPr lang="en-GB" b="1">
              <a:solidFill>
                <a:schemeClr val="dk1"/>
              </a:solidFill>
              <a:latin typeface="Calibri"/>
            </a:rPr>
            <a:t>РИСК = ВЕРОЯТНОСТЬ X ТЯЖЕСТЬ ПОСЛЕДСТВИЙ</a:t>
          </a:r>
          <a:endParaRPr lang="en-GB" sz="1100"/>
        </a:p>
      </xdr:txBody>
    </xdr:sp>
    <xdr:clientData/>
  </xdr:twoCellAnchor>
</xdr:wsDr>
</file>

<file path=xl/theme/theme1.xml><?xml version="1.0" encoding="utf-8"?>
<a:theme xmlns:a="http://schemas.openxmlformats.org/drawingml/2006/main" name="Thème Office">
  <a:themeElements>
    <a:clrScheme name="Bureau">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ureau">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
  <dimension ref="A1:W56"/>
  <sheetViews>
    <sheetView tabSelected="1" zoomScale="80" zoomScaleNormal="80" zoomScalePageLayoutView="70" workbookViewId="0">
      <selection activeCell="C38" sqref="C38"/>
    </sheetView>
  </sheetViews>
  <sheetFormatPr defaultColWidth="9.140625" defaultRowHeight="12.75" x14ac:dyDescent="0.2"/>
  <cols>
    <col min="1" max="1" width="6.85546875" style="3" customWidth="1"/>
    <col min="2" max="2" width="28.7109375" style="3" customWidth="1"/>
    <col min="3" max="3" width="66.140625" style="3" customWidth="1"/>
    <col min="4" max="4" width="4.85546875" style="3" customWidth="1"/>
    <col min="5" max="5" width="5.140625" style="3" customWidth="1"/>
    <col min="6" max="6" width="5.28515625" style="3" customWidth="1"/>
    <col min="7" max="7" width="16.85546875" style="3" customWidth="1"/>
    <col min="8" max="8" width="37" style="3" customWidth="1"/>
    <col min="9" max="9" width="58.42578125" style="3" hidden="1" customWidth="1"/>
    <col min="10" max="10" width="19.5703125" style="3" customWidth="1"/>
    <col min="11" max="11" width="5.42578125" style="3" customWidth="1"/>
    <col min="12" max="12" width="5.140625" style="3" customWidth="1"/>
    <col min="13" max="13" width="5.5703125" style="3" customWidth="1"/>
    <col min="14" max="14" width="10.140625" style="3" customWidth="1"/>
    <col min="15" max="15" width="9.140625" style="3" customWidth="1"/>
    <col min="16" max="16" width="9.140625" style="3" hidden="1" customWidth="1"/>
    <col min="17" max="17" width="11.5703125" style="7" hidden="1" customWidth="1"/>
    <col min="18" max="18" width="13.28515625" style="3" hidden="1" customWidth="1"/>
    <col min="19" max="20" width="14.42578125" style="3" hidden="1" customWidth="1"/>
    <col min="21" max="21" width="10.140625" style="3" hidden="1" customWidth="1"/>
    <col min="22" max="23" width="9.140625" style="3" hidden="1" customWidth="1"/>
    <col min="24" max="16384" width="9.140625" style="3"/>
  </cols>
  <sheetData>
    <row r="1" spans="1:23" ht="11.25" customHeight="1" x14ac:dyDescent="0.35">
      <c r="A1" s="169" t="s">
        <v>70</v>
      </c>
      <c r="B1" s="170"/>
      <c r="C1" s="52"/>
      <c r="D1" s="53"/>
      <c r="E1" s="53"/>
      <c r="F1" s="53"/>
      <c r="G1" s="54"/>
      <c r="H1" s="55"/>
      <c r="I1" s="1"/>
      <c r="J1" s="60"/>
      <c r="K1" s="54"/>
      <c r="L1" s="54"/>
      <c r="M1" s="61"/>
      <c r="Q1" s="14" t="s">
        <v>9</v>
      </c>
      <c r="R1" s="14" t="s">
        <v>10</v>
      </c>
      <c r="S1" s="14" t="s">
        <v>11</v>
      </c>
      <c r="T1" s="14" t="s">
        <v>12</v>
      </c>
      <c r="U1" s="14" t="s">
        <v>13</v>
      </c>
      <c r="V1" s="14" t="s">
        <v>14</v>
      </c>
      <c r="W1" s="18" t="s">
        <v>15</v>
      </c>
    </row>
    <row r="2" spans="1:23" ht="25.5" customHeight="1" x14ac:dyDescent="0.2">
      <c r="A2" s="171"/>
      <c r="B2" s="172"/>
      <c r="C2" s="56"/>
      <c r="D2" s="50"/>
      <c r="E2" s="50"/>
      <c r="F2" s="50"/>
      <c r="G2" s="50"/>
      <c r="H2" s="57"/>
      <c r="I2" s="4"/>
      <c r="J2" s="149" t="s">
        <v>0</v>
      </c>
      <c r="K2" s="150"/>
      <c r="L2" s="150"/>
      <c r="M2" s="151"/>
      <c r="P2" s="7"/>
      <c r="Q2" s="14">
        <v>1</v>
      </c>
      <c r="R2" s="14" t="s">
        <v>16</v>
      </c>
      <c r="S2" s="15"/>
      <c r="T2" s="15"/>
      <c r="U2" s="15"/>
      <c r="V2" s="15"/>
      <c r="W2" s="18" t="s">
        <v>17</v>
      </c>
    </row>
    <row r="3" spans="1:23" ht="25.5" customHeight="1" x14ac:dyDescent="0.2">
      <c r="A3" s="171"/>
      <c r="B3" s="172"/>
      <c r="C3" s="160" t="s">
        <v>74</v>
      </c>
      <c r="D3" s="161"/>
      <c r="E3" s="161"/>
      <c r="F3" s="161"/>
      <c r="G3" s="161"/>
      <c r="H3" s="162"/>
      <c r="J3" s="152" t="s">
        <v>72</v>
      </c>
      <c r="K3" s="150"/>
      <c r="L3" s="150"/>
      <c r="M3" s="151"/>
      <c r="P3" s="7"/>
      <c r="Q3" s="14">
        <v>2</v>
      </c>
      <c r="R3" s="14" t="s">
        <v>18</v>
      </c>
      <c r="S3" s="15"/>
      <c r="T3" s="15"/>
      <c r="U3" s="15"/>
      <c r="V3" s="15"/>
      <c r="W3" s="18" t="s">
        <v>19</v>
      </c>
    </row>
    <row r="4" spans="1:23" ht="33.75" customHeight="1" x14ac:dyDescent="0.2">
      <c r="A4" s="173"/>
      <c r="B4" s="174"/>
      <c r="C4" s="59"/>
      <c r="D4" s="51"/>
      <c r="E4" s="51"/>
      <c r="F4" s="51"/>
      <c r="G4" s="51"/>
      <c r="H4" s="58"/>
      <c r="J4" s="153" t="s">
        <v>73</v>
      </c>
      <c r="K4" s="154"/>
      <c r="L4" s="154"/>
      <c r="M4" s="155"/>
      <c r="P4" s="7"/>
      <c r="Q4" s="14"/>
      <c r="R4" s="14"/>
      <c r="S4" s="15"/>
      <c r="T4" s="15"/>
      <c r="U4" s="15"/>
      <c r="V4" s="15"/>
      <c r="W4" s="18"/>
    </row>
    <row r="5" spans="1:23" ht="8.4499999999999993" customHeight="1" x14ac:dyDescent="0.2">
      <c r="A5" s="62"/>
      <c r="B5" s="62"/>
      <c r="C5" s="62"/>
      <c r="D5" s="62"/>
      <c r="E5" s="62"/>
      <c r="F5" s="62"/>
      <c r="G5" s="62"/>
      <c r="H5" s="62"/>
      <c r="I5" s="62"/>
      <c r="J5" s="62"/>
      <c r="K5" s="62"/>
      <c r="L5" s="62"/>
      <c r="M5" s="62"/>
      <c r="P5" s="7"/>
      <c r="Q5" s="14">
        <v>3</v>
      </c>
      <c r="R5" s="14" t="s">
        <v>20</v>
      </c>
      <c r="S5" s="15"/>
      <c r="T5" s="15"/>
      <c r="U5" s="15"/>
      <c r="V5" s="15"/>
      <c r="W5" s="18" t="s">
        <v>21</v>
      </c>
    </row>
    <row r="6" spans="1:23" s="7" customFormat="1" ht="57" customHeight="1" x14ac:dyDescent="0.2">
      <c r="A6" s="102" t="s">
        <v>75</v>
      </c>
      <c r="B6" s="103"/>
      <c r="C6" s="87"/>
      <c r="D6" s="63"/>
      <c r="E6" s="63"/>
      <c r="F6" s="64"/>
      <c r="G6" s="78" t="s">
        <v>76</v>
      </c>
      <c r="H6" s="90" t="s">
        <v>77</v>
      </c>
      <c r="I6" s="63"/>
      <c r="J6" s="89" t="s">
        <v>78</v>
      </c>
      <c r="K6" s="156" t="s">
        <v>71</v>
      </c>
      <c r="L6" s="156"/>
      <c r="M6" s="157"/>
      <c r="Q6" s="14">
        <v>4</v>
      </c>
      <c r="R6" s="14" t="s">
        <v>22</v>
      </c>
      <c r="S6" s="14"/>
      <c r="T6" s="14"/>
      <c r="U6" s="14"/>
      <c r="V6" s="14"/>
    </row>
    <row r="7" spans="1:23" s="7" customFormat="1" ht="36" customHeight="1" x14ac:dyDescent="0.2">
      <c r="A7" s="102" t="s">
        <v>79</v>
      </c>
      <c r="B7" s="103"/>
      <c r="C7" s="86"/>
      <c r="D7" s="116" t="s">
        <v>80</v>
      </c>
      <c r="E7" s="117"/>
      <c r="F7" s="118"/>
      <c r="G7" s="78" t="s">
        <v>81</v>
      </c>
      <c r="H7" s="104" t="s">
        <v>169</v>
      </c>
      <c r="I7" s="105"/>
      <c r="J7" s="106"/>
      <c r="K7" s="116" t="s">
        <v>82</v>
      </c>
      <c r="L7" s="117"/>
      <c r="M7" s="118"/>
      <c r="Q7" s="14">
        <v>5</v>
      </c>
      <c r="R7" s="14" t="s">
        <v>23</v>
      </c>
      <c r="S7" s="14"/>
      <c r="T7" s="14"/>
      <c r="U7" s="14"/>
      <c r="V7" s="14"/>
    </row>
    <row r="8" spans="1:23" ht="158.25" customHeight="1" x14ac:dyDescent="0.2">
      <c r="A8" s="76" t="s">
        <v>83</v>
      </c>
      <c r="B8" s="76" t="s">
        <v>84</v>
      </c>
      <c r="C8" s="76" t="s">
        <v>85</v>
      </c>
      <c r="D8" s="77" t="s">
        <v>86</v>
      </c>
      <c r="E8" s="77" t="s">
        <v>87</v>
      </c>
      <c r="F8" s="77" t="s">
        <v>80</v>
      </c>
      <c r="G8" s="166" t="s">
        <v>88</v>
      </c>
      <c r="H8" s="167"/>
      <c r="I8" s="167"/>
      <c r="J8" s="168"/>
      <c r="K8" s="77" t="s">
        <v>86</v>
      </c>
      <c r="L8" s="77" t="s">
        <v>87</v>
      </c>
      <c r="M8" s="77" t="s">
        <v>89</v>
      </c>
      <c r="Q8" s="14"/>
      <c r="R8" s="15"/>
      <c r="S8" s="15"/>
      <c r="T8" s="15"/>
      <c r="U8" s="15" t="str">
        <f>IF(L11="","",IF(N11="","",IF(M11+O11&lt;=5,$W$12,IF(M11+O11=6,$W$13,IF(M11+O11=7,$W$13,IF(M11+O11&gt;=8,$W$14,""))))))</f>
        <v/>
      </c>
      <c r="V8" s="15"/>
    </row>
    <row r="9" spans="1:23" ht="282.75" customHeight="1" x14ac:dyDescent="0.2">
      <c r="A9" s="88">
        <v>1</v>
      </c>
      <c r="B9" s="91" t="s">
        <v>90</v>
      </c>
      <c r="C9" s="92" t="s">
        <v>91</v>
      </c>
      <c r="D9" s="20">
        <v>4</v>
      </c>
      <c r="E9" s="13" t="s">
        <v>1</v>
      </c>
      <c r="F9" s="75" t="str">
        <f t="shared" ref="F9:F12" si="0">IF(D9="","",(IF(E9="","",IF(U9&lt;=1,"",IF(U9&lt;=5,$W$2,IF(U9=6,$W$3,IF(U9=7,$W$3,IF(U9&gt;=8,$W$5,""))))))))</f>
        <v>M</v>
      </c>
      <c r="G9" s="163" t="s">
        <v>92</v>
      </c>
      <c r="H9" s="164"/>
      <c r="I9" s="164"/>
      <c r="J9" s="165"/>
      <c r="K9" s="20">
        <v>1</v>
      </c>
      <c r="L9" s="13" t="s">
        <v>2</v>
      </c>
      <c r="M9" s="65" t="str">
        <f t="shared" ref="M9:M12" si="1">IF(K9="","",(IF(L9="","",IF(V9&lt;=1,"",IF(V9&lt;=5,$W$2,IF(V9=6,$W$3,IF(V9=7,$W$3,IF(V9&gt;=8,$W$5,""))))))))</f>
        <v>L</v>
      </c>
      <c r="Q9" s="14"/>
      <c r="R9" s="15"/>
      <c r="S9" s="19">
        <f>IF(E9="A",1,IF(E9="B",2,IF(E9="C",3,IF(E9="D",4,IF(E9="E",5,"")))))</f>
        <v>3</v>
      </c>
      <c r="T9" s="19">
        <f t="shared" ref="T9:T12" si="2">IF(L9="A",1,IF(L9="B",2,IF(L9="C",3,IF(L9="D",4,IF(L9="E",5,"")))))</f>
        <v>3</v>
      </c>
      <c r="U9" s="15">
        <f>D9+S9</f>
        <v>7</v>
      </c>
      <c r="V9" s="15">
        <f t="shared" ref="V9:V12" si="3">K9+T9</f>
        <v>4</v>
      </c>
    </row>
    <row r="10" spans="1:23" ht="108.75" customHeight="1" x14ac:dyDescent="0.2">
      <c r="A10" s="88">
        <v>2</v>
      </c>
      <c r="B10" s="91" t="s">
        <v>93</v>
      </c>
      <c r="C10" s="93" t="s">
        <v>94</v>
      </c>
      <c r="D10" s="20">
        <v>3</v>
      </c>
      <c r="E10" s="13" t="s">
        <v>3</v>
      </c>
      <c r="F10" s="75" t="str">
        <f t="shared" si="0"/>
        <v>M</v>
      </c>
      <c r="G10" s="163" t="s">
        <v>95</v>
      </c>
      <c r="H10" s="164"/>
      <c r="I10" s="164"/>
      <c r="J10" s="165"/>
      <c r="K10" s="20">
        <v>1</v>
      </c>
      <c r="L10" s="13" t="s">
        <v>4</v>
      </c>
      <c r="M10" s="65" t="str">
        <f t="shared" si="1"/>
        <v>L</v>
      </c>
      <c r="Q10" s="14"/>
      <c r="R10" s="15"/>
      <c r="S10" s="19">
        <f>IF(E10="A",1,IF(E10="B",2,IF(E10="C",3,IF(E10="D",4,IF(E10="E",5,"")))))</f>
        <v>3</v>
      </c>
      <c r="T10" s="19">
        <f t="shared" si="2"/>
        <v>3</v>
      </c>
      <c r="U10" s="15">
        <f>D10+S10</f>
        <v>6</v>
      </c>
      <c r="V10" s="15">
        <f t="shared" si="3"/>
        <v>4</v>
      </c>
    </row>
    <row r="11" spans="1:23" ht="117.75" customHeight="1" x14ac:dyDescent="0.2">
      <c r="A11" s="88">
        <v>3</v>
      </c>
      <c r="B11" s="93" t="s">
        <v>96</v>
      </c>
      <c r="C11" s="93" t="s">
        <v>97</v>
      </c>
      <c r="D11" s="20">
        <v>3</v>
      </c>
      <c r="E11" s="13" t="s">
        <v>5</v>
      </c>
      <c r="F11" s="75" t="str">
        <f t="shared" si="0"/>
        <v>L</v>
      </c>
      <c r="G11" s="163" t="s">
        <v>98</v>
      </c>
      <c r="H11" s="164"/>
      <c r="I11" s="164"/>
      <c r="J11" s="165"/>
      <c r="K11" s="20">
        <v>2</v>
      </c>
      <c r="L11" s="13" t="s">
        <v>6</v>
      </c>
      <c r="M11" s="65" t="str">
        <f t="shared" si="1"/>
        <v>L</v>
      </c>
      <c r="Q11" s="14"/>
      <c r="R11" s="15"/>
      <c r="S11" s="19">
        <f>IF(E11="A",1,IF(E11="B",2,IF(E11="C",3,IF(E11="D",4,IF(E11="E",5,"")))))</f>
        <v>2</v>
      </c>
      <c r="T11" s="19">
        <f t="shared" si="2"/>
        <v>2</v>
      </c>
      <c r="U11" s="15">
        <f>D11+S11</f>
        <v>5</v>
      </c>
      <c r="V11" s="15">
        <f t="shared" si="3"/>
        <v>4</v>
      </c>
    </row>
    <row r="12" spans="1:23" ht="123" customHeight="1" x14ac:dyDescent="0.2">
      <c r="A12" s="88">
        <v>4</v>
      </c>
      <c r="B12" s="93" t="s">
        <v>99</v>
      </c>
      <c r="C12" s="93" t="s">
        <v>100</v>
      </c>
      <c r="D12" s="20">
        <v>3</v>
      </c>
      <c r="E12" s="13" t="s">
        <v>7</v>
      </c>
      <c r="F12" s="75" t="str">
        <f t="shared" si="0"/>
        <v>M</v>
      </c>
      <c r="G12" s="163" t="s">
        <v>101</v>
      </c>
      <c r="H12" s="164"/>
      <c r="I12" s="164"/>
      <c r="J12" s="165"/>
      <c r="K12" s="20">
        <v>1</v>
      </c>
      <c r="L12" s="13" t="s">
        <v>8</v>
      </c>
      <c r="M12" s="65" t="str">
        <f t="shared" si="1"/>
        <v>L</v>
      </c>
      <c r="Q12" s="14"/>
      <c r="R12" s="15"/>
      <c r="S12" s="19">
        <f>IF(E12="A",1,IF(E12="B",2,IF(E12="C",3,IF(E12="D",4,IF(E12="E",5,"")))))</f>
        <v>4</v>
      </c>
      <c r="T12" s="19">
        <f t="shared" si="2"/>
        <v>4</v>
      </c>
      <c r="U12" s="15">
        <f>D12+S12</f>
        <v>7</v>
      </c>
      <c r="V12" s="15">
        <f t="shared" si="3"/>
        <v>5</v>
      </c>
    </row>
    <row r="13" spans="1:23" ht="54.75" customHeight="1" x14ac:dyDescent="0.2">
      <c r="A13" s="110" t="s">
        <v>102</v>
      </c>
      <c r="B13" s="111"/>
      <c r="C13" s="111"/>
      <c r="D13" s="111"/>
      <c r="E13" s="111"/>
      <c r="F13" s="111"/>
      <c r="G13" s="111"/>
      <c r="H13" s="111"/>
      <c r="I13" s="111"/>
      <c r="J13" s="111"/>
      <c r="K13" s="111"/>
      <c r="L13" s="111"/>
      <c r="M13" s="112"/>
      <c r="Q13" s="14"/>
      <c r="R13" s="15"/>
      <c r="S13" s="19" t="e">
        <f>IF(#REF!="A",1,IF(#REF!="B",2,IF(#REF!="C",3,IF(#REF!="D",4,IF(#REF!="E",5,"")))))</f>
        <v>#REF!</v>
      </c>
      <c r="T13" s="19" t="e">
        <f>IF(#REF!="A",1,IF(#REF!="B",2,IF(#REF!="C",3,IF(#REF!="D",4,IF(#REF!="E",5,"")))))</f>
        <v>#REF!</v>
      </c>
      <c r="U13" s="15" t="e">
        <f>#REF!+S13</f>
        <v>#REF!</v>
      </c>
      <c r="V13" s="15" t="e">
        <f>#REF!+T13</f>
        <v>#REF!</v>
      </c>
    </row>
    <row r="14" spans="1:23" ht="45.75" customHeight="1" x14ac:dyDescent="0.2">
      <c r="A14" s="158" t="s">
        <v>103</v>
      </c>
      <c r="B14" s="159"/>
      <c r="C14" s="159"/>
      <c r="D14" s="159"/>
      <c r="E14" s="159"/>
      <c r="F14" s="159"/>
      <c r="G14" s="159"/>
      <c r="H14" s="159"/>
      <c r="I14" s="159"/>
      <c r="J14" s="159"/>
      <c r="K14" s="159"/>
      <c r="L14" s="159"/>
      <c r="M14" s="159"/>
      <c r="Q14" s="14"/>
      <c r="R14" s="15"/>
      <c r="S14" s="19" t="e">
        <f>IF(#REF!="A",1,IF(#REF!="B",2,IF(#REF!="C",3,IF(#REF!="D",4,IF(#REF!="E",5,"")))))</f>
        <v>#REF!</v>
      </c>
      <c r="T14" s="19" t="e">
        <f>IF(#REF!="A",1,IF(#REF!="B",2,IF(#REF!="C",3,IF(#REF!="D",4,IF(#REF!="E",5,"")))))</f>
        <v>#REF!</v>
      </c>
      <c r="U14" s="15" t="e">
        <f>#REF!+S14</f>
        <v>#REF!</v>
      </c>
      <c r="V14" s="15" t="e">
        <f>#REF!+T14</f>
        <v>#REF!</v>
      </c>
    </row>
    <row r="15" spans="1:23" ht="32.25" customHeight="1" x14ac:dyDescent="0.35">
      <c r="A15" s="94" t="s">
        <v>170</v>
      </c>
      <c r="B15" s="95"/>
      <c r="C15" s="95"/>
      <c r="D15" s="70"/>
      <c r="E15" s="70"/>
      <c r="F15" s="70"/>
      <c r="G15" s="71"/>
      <c r="H15" s="72"/>
      <c r="I15" s="72"/>
      <c r="J15" s="72"/>
      <c r="K15" s="72"/>
      <c r="L15" s="73"/>
      <c r="M15" s="74"/>
      <c r="Q15" s="14"/>
      <c r="R15" s="15"/>
      <c r="S15" s="19" t="e">
        <f>IF(#REF!="A",1,IF(#REF!="B",2,IF(#REF!="C",3,IF(#REF!="D",4,IF(#REF!="E",5,"")))))</f>
        <v>#REF!</v>
      </c>
      <c r="T15" s="19" t="e">
        <f>IF(#REF!="A",1,IF(#REF!="B",2,IF(#REF!="C",3,IF(#REF!="D",4,IF(#REF!="E",5,"")))))</f>
        <v>#REF!</v>
      </c>
      <c r="U15" s="15" t="e">
        <f>#REF!+S15</f>
        <v>#REF!</v>
      </c>
      <c r="V15" s="15" t="e">
        <f>#REF!+T15</f>
        <v>#REF!</v>
      </c>
    </row>
    <row r="16" spans="1:23" ht="49.5" customHeight="1" x14ac:dyDescent="0.2">
      <c r="A16" s="133" t="s">
        <v>104</v>
      </c>
      <c r="B16" s="134"/>
      <c r="C16" s="134"/>
      <c r="D16" s="134"/>
      <c r="E16" s="134"/>
      <c r="F16" s="134"/>
      <c r="G16" s="134"/>
      <c r="H16" s="134"/>
      <c r="I16" s="134"/>
      <c r="J16" s="134"/>
      <c r="K16" s="134"/>
      <c r="L16" s="134"/>
      <c r="M16" s="135"/>
      <c r="Q16" s="14"/>
      <c r="R16" s="15"/>
      <c r="S16" s="19" t="e">
        <f>IF(#REF!="A",1,IF(#REF!="B",2,IF(#REF!="C",3,IF(#REF!="D",4,IF(#REF!="E",5,"")))))</f>
        <v>#REF!</v>
      </c>
      <c r="T16" s="19" t="e">
        <f>IF(#REF!="A",1,IF(#REF!="B",2,IF(#REF!="C",3,IF(#REF!="D",4,IF(#REF!="E",5,"")))))</f>
        <v>#REF!</v>
      </c>
      <c r="U16" s="15" t="e">
        <f>#REF!+S16</f>
        <v>#REF!</v>
      </c>
      <c r="V16" s="15" t="e">
        <f>#REF!+T16</f>
        <v>#REF!</v>
      </c>
    </row>
    <row r="17" spans="1:22" ht="47.25" customHeight="1" x14ac:dyDescent="0.2">
      <c r="A17" s="213" t="s">
        <v>171</v>
      </c>
      <c r="B17" s="214"/>
      <c r="C17" s="214"/>
      <c r="D17" s="214"/>
      <c r="E17" s="214"/>
      <c r="F17" s="214"/>
      <c r="G17" s="214"/>
      <c r="H17" s="214"/>
      <c r="I17" s="214"/>
      <c r="J17" s="214"/>
      <c r="K17" s="214"/>
      <c r="L17" s="214"/>
      <c r="M17" s="215"/>
      <c r="Q17" s="14"/>
      <c r="R17" s="15"/>
      <c r="S17" s="19" t="e">
        <f>IF(#REF!="A",1,IF(#REF!="B",2,IF(#REF!="C",3,IF(#REF!="D",4,IF(#REF!="E",5,"")))))</f>
        <v>#REF!</v>
      </c>
      <c r="T17" s="19" t="e">
        <f>IF(#REF!="A",1,IF(#REF!="B",2,IF(#REF!="C",3,IF(#REF!="D",4,IF(#REF!="E",5,"")))))</f>
        <v>#REF!</v>
      </c>
      <c r="U17" s="15" t="e">
        <f>#REF!+S17</f>
        <v>#REF!</v>
      </c>
      <c r="V17" s="15" t="e">
        <f>#REF!+T17</f>
        <v>#REF!</v>
      </c>
    </row>
    <row r="18" spans="1:22" ht="45" customHeight="1" x14ac:dyDescent="0.2">
      <c r="A18" s="66">
        <v>1</v>
      </c>
      <c r="B18" s="113" t="s">
        <v>105</v>
      </c>
      <c r="C18" s="136"/>
      <c r="D18" s="136"/>
      <c r="E18" s="136"/>
      <c r="F18" s="136"/>
      <c r="G18" s="136"/>
      <c r="H18" s="136"/>
      <c r="I18" s="136"/>
      <c r="J18" s="136"/>
      <c r="K18" s="136"/>
      <c r="L18" s="136"/>
      <c r="M18" s="137"/>
      <c r="Q18" s="14"/>
      <c r="R18" s="15"/>
      <c r="S18" s="19" t="e">
        <f>IF(#REF!="A",1,IF(#REF!="B",2,IF(#REF!="C",3,IF(#REF!="D",4,IF(#REF!="E",5,"")))))</f>
        <v>#REF!</v>
      </c>
      <c r="T18" s="19" t="e">
        <f>IF(#REF!="A",1,IF(#REF!="B",2,IF(#REF!="C",3,IF(#REF!="D",4,IF(#REF!="E",5,"")))))</f>
        <v>#REF!</v>
      </c>
      <c r="U18" s="15" t="e">
        <f>#REF!+S18</f>
        <v>#REF!</v>
      </c>
      <c r="V18" s="15" t="e">
        <f>#REF!+T18</f>
        <v>#REF!</v>
      </c>
    </row>
    <row r="19" spans="1:22" ht="45" customHeight="1" x14ac:dyDescent="0.2">
      <c r="A19" s="66">
        <v>2</v>
      </c>
      <c r="B19" s="138" t="s">
        <v>106</v>
      </c>
      <c r="C19" s="139"/>
      <c r="D19" s="139"/>
      <c r="E19" s="139"/>
      <c r="F19" s="139"/>
      <c r="G19" s="139"/>
      <c r="H19" s="139"/>
      <c r="I19" s="139"/>
      <c r="J19" s="139"/>
      <c r="K19" s="139"/>
      <c r="L19" s="139"/>
      <c r="M19" s="140"/>
      <c r="Q19" s="14"/>
      <c r="R19" s="15"/>
      <c r="S19" s="19" t="e">
        <f>IF(#REF!="A",1,IF(#REF!="B",2,IF(#REF!="C",3,IF(#REF!="D",4,IF(#REF!="E",5,"")))))</f>
        <v>#REF!</v>
      </c>
      <c r="T19" s="19" t="e">
        <f>IF(#REF!="A",1,IF(#REF!="B",2,IF(#REF!="C",3,IF(#REF!="D",4,IF(#REF!="E",5,"")))))</f>
        <v>#REF!</v>
      </c>
      <c r="U19" s="15" t="e">
        <f>#REF!+S19</f>
        <v>#REF!</v>
      </c>
      <c r="V19" s="15" t="e">
        <f>#REF!+T19</f>
        <v>#REF!</v>
      </c>
    </row>
    <row r="20" spans="1:22" ht="45" customHeight="1" x14ac:dyDescent="0.2">
      <c r="A20" s="66">
        <v>3</v>
      </c>
      <c r="B20" s="113" t="s">
        <v>107</v>
      </c>
      <c r="C20" s="136"/>
      <c r="D20" s="136"/>
      <c r="E20" s="136"/>
      <c r="F20" s="136"/>
      <c r="G20" s="136"/>
      <c r="H20" s="136"/>
      <c r="I20" s="136"/>
      <c r="J20" s="136"/>
      <c r="K20" s="136"/>
      <c r="L20" s="136"/>
      <c r="M20" s="137"/>
      <c r="Q20" s="14"/>
      <c r="R20" s="15"/>
      <c r="S20" s="19" t="e">
        <f>IF(#REF!="A",1,IF(#REF!="B",2,IF(#REF!="C",3,IF(#REF!="D",4,IF(#REF!="E",5,"")))))</f>
        <v>#REF!</v>
      </c>
      <c r="T20" s="19" t="e">
        <f>IF(#REF!="A",1,IF(#REF!="B",2,IF(#REF!="C",3,IF(#REF!="D",4,IF(#REF!="E",5,"")))))</f>
        <v>#REF!</v>
      </c>
      <c r="U20" s="15" t="e">
        <f>#REF!+S20</f>
        <v>#REF!</v>
      </c>
      <c r="V20" s="15" t="e">
        <f>#REF!+T20</f>
        <v>#REF!</v>
      </c>
    </row>
    <row r="21" spans="1:22" ht="45" customHeight="1" x14ac:dyDescent="0.2">
      <c r="A21" s="66">
        <v>4</v>
      </c>
      <c r="B21" s="138" t="s">
        <v>108</v>
      </c>
      <c r="C21" s="139"/>
      <c r="D21" s="139"/>
      <c r="E21" s="139"/>
      <c r="F21" s="139"/>
      <c r="G21" s="139"/>
      <c r="H21" s="139"/>
      <c r="I21" s="139"/>
      <c r="J21" s="139"/>
      <c r="K21" s="139"/>
      <c r="L21" s="139"/>
      <c r="M21" s="140"/>
      <c r="Q21" s="14"/>
      <c r="R21" s="15"/>
      <c r="S21" s="19" t="e">
        <f>IF(#REF!="A",1,IF(#REF!="B",2,IF(#REF!="C",3,IF(#REF!="D",4,IF(#REF!="E",5,"")))))</f>
        <v>#REF!</v>
      </c>
      <c r="T21" s="19" t="e">
        <f>IF(#REF!="A",1,IF(#REF!="B",2,IF(#REF!="C",3,IF(#REF!="D",4,IF(#REF!="E",5,"")))))</f>
        <v>#REF!</v>
      </c>
      <c r="U21" s="15" t="e">
        <f>#REF!+S21</f>
        <v>#REF!</v>
      </c>
      <c r="V21" s="15" t="e">
        <f>#REF!+T21</f>
        <v>#REF!</v>
      </c>
    </row>
    <row r="22" spans="1:22" ht="45" customHeight="1" x14ac:dyDescent="0.2">
      <c r="A22" s="66">
        <v>5</v>
      </c>
      <c r="B22" s="113" t="s">
        <v>109</v>
      </c>
      <c r="C22" s="114"/>
      <c r="D22" s="114"/>
      <c r="E22" s="114"/>
      <c r="F22" s="114"/>
      <c r="G22" s="114"/>
      <c r="H22" s="114"/>
      <c r="I22" s="114"/>
      <c r="J22" s="114"/>
      <c r="K22" s="114"/>
      <c r="L22" s="114"/>
      <c r="M22" s="115"/>
      <c r="Q22" s="14"/>
      <c r="R22" s="15"/>
      <c r="S22" s="19" t="e">
        <f>IF(#REF!="A",1,IF(#REF!="B",2,IF(#REF!="C",3,IF(#REF!="D",4,IF(#REF!="E",5,"")))))</f>
        <v>#REF!</v>
      </c>
      <c r="T22" s="19" t="e">
        <f>IF(#REF!="A",1,IF(#REF!="B",2,IF(#REF!="C",3,IF(#REF!="D",4,IF(#REF!="E",5,"")))))</f>
        <v>#REF!</v>
      </c>
      <c r="U22" s="15" t="e">
        <f>#REF!+S22</f>
        <v>#REF!</v>
      </c>
      <c r="V22" s="15" t="e">
        <f>#REF!+T22</f>
        <v>#REF!</v>
      </c>
    </row>
    <row r="23" spans="1:22" ht="45" customHeight="1" x14ac:dyDescent="0.2">
      <c r="A23" s="66">
        <v>6</v>
      </c>
      <c r="B23" s="138" t="s">
        <v>110</v>
      </c>
      <c r="C23" s="139"/>
      <c r="D23" s="139"/>
      <c r="E23" s="139"/>
      <c r="F23" s="139"/>
      <c r="G23" s="139"/>
      <c r="H23" s="139"/>
      <c r="I23" s="139"/>
      <c r="J23" s="139"/>
      <c r="K23" s="139"/>
      <c r="L23" s="139"/>
      <c r="M23" s="140"/>
    </row>
    <row r="24" spans="1:22" ht="45" customHeight="1" x14ac:dyDescent="0.2">
      <c r="A24" s="66">
        <v>7</v>
      </c>
      <c r="B24" s="113" t="s">
        <v>111</v>
      </c>
      <c r="C24" s="114"/>
      <c r="D24" s="114"/>
      <c r="E24" s="114"/>
      <c r="F24" s="114"/>
      <c r="G24" s="114"/>
      <c r="H24" s="114"/>
      <c r="I24" s="114"/>
      <c r="J24" s="114"/>
      <c r="K24" s="114"/>
      <c r="L24" s="114"/>
      <c r="M24" s="115"/>
    </row>
    <row r="25" spans="1:22" ht="45" customHeight="1" x14ac:dyDescent="0.2">
      <c r="A25" s="66">
        <v>8</v>
      </c>
      <c r="B25" s="113" t="s">
        <v>112</v>
      </c>
      <c r="C25" s="114"/>
      <c r="D25" s="114"/>
      <c r="E25" s="114"/>
      <c r="F25" s="114"/>
      <c r="G25" s="114"/>
      <c r="H25" s="114"/>
      <c r="I25" s="114"/>
      <c r="J25" s="114"/>
      <c r="K25" s="114"/>
      <c r="L25" s="114"/>
      <c r="M25" s="115"/>
    </row>
    <row r="26" spans="1:22" ht="45" customHeight="1" x14ac:dyDescent="0.2">
      <c r="A26" s="66">
        <v>9</v>
      </c>
      <c r="B26" s="113" t="s">
        <v>113</v>
      </c>
      <c r="C26" s="114"/>
      <c r="D26" s="114"/>
      <c r="E26" s="114"/>
      <c r="F26" s="114"/>
      <c r="G26" s="114"/>
      <c r="H26" s="114"/>
      <c r="I26" s="114"/>
      <c r="J26" s="114"/>
      <c r="K26" s="114"/>
      <c r="L26" s="114"/>
      <c r="M26" s="115"/>
    </row>
    <row r="27" spans="1:22" ht="45" customHeight="1" x14ac:dyDescent="0.2">
      <c r="A27" s="66">
        <v>10</v>
      </c>
      <c r="B27" s="130" t="s">
        <v>114</v>
      </c>
      <c r="C27" s="131"/>
      <c r="D27" s="131"/>
      <c r="E27" s="131"/>
      <c r="F27" s="131"/>
      <c r="G27" s="131"/>
      <c r="H27" s="131"/>
      <c r="I27" s="131"/>
      <c r="J27" s="131"/>
      <c r="K27" s="131"/>
      <c r="L27" s="131"/>
      <c r="M27" s="132"/>
    </row>
    <row r="28" spans="1:22" s="9" customFormat="1" ht="45" customHeight="1" x14ac:dyDescent="0.2">
      <c r="A28" s="66">
        <v>11</v>
      </c>
      <c r="B28" s="113" t="s">
        <v>115</v>
      </c>
      <c r="C28" s="114"/>
      <c r="D28" s="114"/>
      <c r="E28" s="114"/>
      <c r="F28" s="114"/>
      <c r="G28" s="114"/>
      <c r="H28" s="114"/>
      <c r="I28" s="114"/>
      <c r="J28" s="114"/>
      <c r="K28" s="114"/>
      <c r="L28" s="114"/>
      <c r="M28" s="115"/>
      <c r="N28" s="8"/>
      <c r="O28" s="8"/>
      <c r="P28" s="8"/>
      <c r="Q28" s="16"/>
    </row>
    <row r="29" spans="1:22" s="9" customFormat="1" ht="45" customHeight="1" x14ac:dyDescent="0.2">
      <c r="A29" s="66">
        <v>12</v>
      </c>
      <c r="B29" s="113" t="s">
        <v>116</v>
      </c>
      <c r="C29" s="114"/>
      <c r="D29" s="114"/>
      <c r="E29" s="114"/>
      <c r="F29" s="114"/>
      <c r="G29" s="114"/>
      <c r="H29" s="114"/>
      <c r="I29" s="114"/>
      <c r="J29" s="114"/>
      <c r="K29" s="114"/>
      <c r="L29" s="114"/>
      <c r="M29" s="115"/>
      <c r="N29" s="8"/>
      <c r="O29" s="8"/>
      <c r="P29" s="8"/>
      <c r="Q29" s="16"/>
    </row>
    <row r="30" spans="1:22" s="9" customFormat="1" ht="45" customHeight="1" x14ac:dyDescent="0.2">
      <c r="A30" s="66">
        <v>13</v>
      </c>
      <c r="B30" s="113" t="s">
        <v>117</v>
      </c>
      <c r="C30" s="114"/>
      <c r="D30" s="114"/>
      <c r="E30" s="114"/>
      <c r="F30" s="114"/>
      <c r="G30" s="114"/>
      <c r="H30" s="114"/>
      <c r="I30" s="114"/>
      <c r="J30" s="114"/>
      <c r="K30" s="114"/>
      <c r="L30" s="114"/>
      <c r="M30" s="115"/>
      <c r="N30" s="8"/>
      <c r="O30" s="8"/>
      <c r="P30" s="8"/>
      <c r="Q30" s="16"/>
    </row>
    <row r="31" spans="1:22" s="9" customFormat="1" ht="45" customHeight="1" x14ac:dyDescent="0.2">
      <c r="A31" s="66">
        <v>14</v>
      </c>
      <c r="B31" s="113" t="s">
        <v>118</v>
      </c>
      <c r="C31" s="114"/>
      <c r="D31" s="114"/>
      <c r="E31" s="114"/>
      <c r="F31" s="114"/>
      <c r="G31" s="114"/>
      <c r="H31" s="114"/>
      <c r="I31" s="114"/>
      <c r="J31" s="114"/>
      <c r="K31" s="114"/>
      <c r="L31" s="114"/>
      <c r="M31" s="115"/>
      <c r="N31" s="8"/>
      <c r="P31" s="8"/>
      <c r="Q31" s="16"/>
    </row>
    <row r="32" spans="1:22" s="9" customFormat="1" ht="45" customHeight="1" x14ac:dyDescent="0.2">
      <c r="A32" s="66">
        <v>15</v>
      </c>
      <c r="B32" s="113" t="s">
        <v>119</v>
      </c>
      <c r="C32" s="114"/>
      <c r="D32" s="114"/>
      <c r="E32" s="114"/>
      <c r="F32" s="114"/>
      <c r="G32" s="114"/>
      <c r="H32" s="114"/>
      <c r="I32" s="114"/>
      <c r="J32" s="114"/>
      <c r="K32" s="114"/>
      <c r="L32" s="114"/>
      <c r="M32" s="115"/>
      <c r="N32" s="8"/>
      <c r="P32" s="8"/>
      <c r="Q32" s="16"/>
    </row>
    <row r="33" spans="1:17" s="9" customFormat="1" ht="30" customHeight="1" x14ac:dyDescent="0.2">
      <c r="A33" s="107" t="s">
        <v>120</v>
      </c>
      <c r="B33" s="108"/>
      <c r="C33" s="108"/>
      <c r="D33" s="108"/>
      <c r="E33" s="108"/>
      <c r="F33" s="108"/>
      <c r="G33" s="108"/>
      <c r="H33" s="108"/>
      <c r="I33" s="108"/>
      <c r="J33" s="108"/>
      <c r="K33" s="108"/>
      <c r="L33" s="108"/>
      <c r="M33" s="109"/>
      <c r="N33" s="8"/>
      <c r="P33" s="8"/>
      <c r="Q33" s="16"/>
    </row>
    <row r="34" spans="1:17" s="9" customFormat="1" ht="18" customHeight="1" x14ac:dyDescent="0.2">
      <c r="A34" s="119" t="s">
        <v>121</v>
      </c>
      <c r="B34" s="121"/>
      <c r="C34" s="79" t="s">
        <v>122</v>
      </c>
      <c r="D34" s="119" t="s">
        <v>123</v>
      </c>
      <c r="E34" s="120"/>
      <c r="F34" s="120"/>
      <c r="G34" s="121"/>
      <c r="H34" s="119" t="s">
        <v>124</v>
      </c>
      <c r="I34" s="120"/>
      <c r="J34" s="120"/>
      <c r="K34" s="120"/>
      <c r="L34" s="120"/>
      <c r="M34" s="121"/>
      <c r="N34" s="8"/>
      <c r="P34" s="8"/>
      <c r="Q34" s="16"/>
    </row>
    <row r="35" spans="1:17" s="9" customFormat="1" ht="18" customHeight="1" x14ac:dyDescent="0.2">
      <c r="A35" s="122"/>
      <c r="B35" s="124"/>
      <c r="C35" s="6"/>
      <c r="D35" s="122"/>
      <c r="E35" s="123"/>
      <c r="F35" s="123"/>
      <c r="G35" s="124"/>
      <c r="H35" s="122"/>
      <c r="I35" s="123"/>
      <c r="J35" s="123"/>
      <c r="K35" s="123"/>
      <c r="L35" s="123"/>
      <c r="M35" s="124"/>
      <c r="N35" s="8"/>
      <c r="P35" s="8"/>
      <c r="Q35" s="16"/>
    </row>
    <row r="36" spans="1:17" s="9" customFormat="1" ht="18" customHeight="1" x14ac:dyDescent="0.2">
      <c r="A36" s="122"/>
      <c r="B36" s="124"/>
      <c r="C36" s="6"/>
      <c r="D36" s="122"/>
      <c r="E36" s="123"/>
      <c r="F36" s="123"/>
      <c r="G36" s="124"/>
      <c r="H36" s="122"/>
      <c r="I36" s="123"/>
      <c r="J36" s="123"/>
      <c r="K36" s="123"/>
      <c r="L36" s="123"/>
      <c r="M36" s="124"/>
      <c r="N36" s="8"/>
      <c r="P36" s="8"/>
      <c r="Q36" s="16"/>
    </row>
    <row r="37" spans="1:17" s="9" customFormat="1" ht="18" customHeight="1" x14ac:dyDescent="0.2">
      <c r="A37" s="122"/>
      <c r="B37" s="124"/>
      <c r="C37" s="6"/>
      <c r="D37" s="122"/>
      <c r="E37" s="123"/>
      <c r="F37" s="123"/>
      <c r="G37" s="124"/>
      <c r="H37" s="122"/>
      <c r="I37" s="123"/>
      <c r="J37" s="123"/>
      <c r="K37" s="123"/>
      <c r="L37" s="123"/>
      <c r="M37" s="124"/>
      <c r="N37" s="8"/>
      <c r="P37" s="8"/>
      <c r="Q37" s="16"/>
    </row>
    <row r="38" spans="1:17" s="9" customFormat="1" ht="18" customHeight="1" x14ac:dyDescent="0.2">
      <c r="A38" s="122"/>
      <c r="B38" s="124"/>
      <c r="C38" s="6"/>
      <c r="D38" s="122"/>
      <c r="E38" s="123"/>
      <c r="F38" s="123"/>
      <c r="G38" s="124"/>
      <c r="H38" s="122"/>
      <c r="I38" s="123"/>
      <c r="J38" s="123"/>
      <c r="K38" s="123"/>
      <c r="L38" s="123"/>
      <c r="M38" s="124"/>
      <c r="N38" s="8"/>
      <c r="P38" s="8"/>
      <c r="Q38" s="16"/>
    </row>
    <row r="39" spans="1:17" s="9" customFormat="1" ht="18" customHeight="1" x14ac:dyDescent="0.2">
      <c r="A39" s="122"/>
      <c r="B39" s="124"/>
      <c r="C39" s="6"/>
      <c r="D39" s="122"/>
      <c r="E39" s="123"/>
      <c r="F39" s="123"/>
      <c r="G39" s="124"/>
      <c r="H39" s="122"/>
      <c r="I39" s="123"/>
      <c r="J39" s="123"/>
      <c r="K39" s="123"/>
      <c r="L39" s="123"/>
      <c r="M39" s="124"/>
      <c r="N39" s="8"/>
      <c r="P39" s="8"/>
      <c r="Q39" s="16"/>
    </row>
    <row r="40" spans="1:17" s="9" customFormat="1" ht="34.5" customHeight="1" x14ac:dyDescent="0.2">
      <c r="A40" s="130" t="s">
        <v>125</v>
      </c>
      <c r="B40" s="131"/>
      <c r="C40" s="131"/>
      <c r="D40" s="131"/>
      <c r="E40" s="131"/>
      <c r="F40" s="131"/>
      <c r="G40" s="131"/>
      <c r="H40" s="131"/>
      <c r="I40" s="131"/>
      <c r="J40" s="131"/>
      <c r="K40" s="131"/>
      <c r="L40" s="131"/>
      <c r="M40" s="132"/>
      <c r="N40" s="8"/>
      <c r="P40" s="8"/>
      <c r="Q40" s="16"/>
    </row>
    <row r="41" spans="1:17" s="9" customFormat="1" ht="29.25" customHeight="1" x14ac:dyDescent="0.2">
      <c r="A41" s="141" t="s">
        <v>126</v>
      </c>
      <c r="B41" s="142"/>
      <c r="C41" s="80" t="s">
        <v>127</v>
      </c>
      <c r="D41" s="143" t="s">
        <v>128</v>
      </c>
      <c r="E41" s="144"/>
      <c r="F41" s="145"/>
      <c r="G41" s="96"/>
      <c r="H41" s="97"/>
      <c r="I41" s="97"/>
      <c r="J41" s="97"/>
      <c r="K41" s="97"/>
      <c r="L41" s="97"/>
      <c r="M41" s="98"/>
      <c r="N41" s="8"/>
      <c r="P41" s="8"/>
      <c r="Q41" s="16"/>
    </row>
    <row r="42" spans="1:17" s="9" customFormat="1" ht="21" customHeight="1" x14ac:dyDescent="0.2">
      <c r="A42" s="127"/>
      <c r="B42" s="129"/>
      <c r="C42" s="10"/>
      <c r="D42" s="146"/>
      <c r="E42" s="147"/>
      <c r="F42" s="148"/>
      <c r="G42" s="99"/>
      <c r="H42" s="100"/>
      <c r="I42" s="100"/>
      <c r="J42" s="100"/>
      <c r="K42" s="100"/>
      <c r="L42" s="100"/>
      <c r="M42" s="101"/>
      <c r="N42" s="8"/>
      <c r="P42" s="8"/>
      <c r="Q42" s="16"/>
    </row>
    <row r="43" spans="1:17" s="9" customFormat="1" ht="18.75" customHeight="1" x14ac:dyDescent="0.2">
      <c r="A43" s="67"/>
      <c r="B43" s="68"/>
      <c r="C43" s="68"/>
      <c r="D43" s="68"/>
      <c r="E43" s="68"/>
      <c r="F43" s="68"/>
      <c r="G43" s="68"/>
      <c r="H43" s="68"/>
      <c r="I43" s="68"/>
      <c r="J43" s="68"/>
      <c r="K43" s="68"/>
      <c r="L43" s="68"/>
      <c r="M43" s="69"/>
      <c r="Q43" s="17"/>
    </row>
    <row r="44" spans="1:17" ht="77.25" customHeight="1" x14ac:dyDescent="0.2">
      <c r="A44" s="125" t="s">
        <v>129</v>
      </c>
      <c r="B44" s="126"/>
      <c r="C44" s="127"/>
      <c r="D44" s="128"/>
      <c r="E44" s="128"/>
      <c r="F44" s="128"/>
      <c r="G44" s="128"/>
      <c r="H44" s="128"/>
      <c r="I44" s="128"/>
      <c r="J44" s="128"/>
      <c r="K44" s="128"/>
      <c r="L44" s="128"/>
      <c r="M44" s="129"/>
    </row>
    <row r="45" spans="1:17" ht="25.5" customHeight="1" x14ac:dyDescent="0.2">
      <c r="A45" s="107" t="s">
        <v>130</v>
      </c>
      <c r="B45" s="108"/>
      <c r="C45" s="108"/>
      <c r="D45" s="108"/>
      <c r="E45" s="108"/>
      <c r="F45" s="108"/>
      <c r="G45" s="108"/>
      <c r="H45" s="108"/>
      <c r="I45" s="108"/>
      <c r="J45" s="108"/>
      <c r="K45" s="108"/>
      <c r="L45" s="108"/>
      <c r="M45" s="109"/>
    </row>
    <row r="46" spans="1:17" ht="18.75" customHeight="1" x14ac:dyDescent="0.2"/>
    <row r="47" spans="1:17" ht="18.75" customHeight="1" x14ac:dyDescent="0.2"/>
    <row r="48" spans="1:17" ht="18.75" customHeight="1" x14ac:dyDescent="0.2"/>
    <row r="49" spans="1:13" ht="18.75" customHeight="1" x14ac:dyDescent="0.2"/>
    <row r="50" spans="1:13" ht="18.75" customHeight="1" x14ac:dyDescent="0.2"/>
    <row r="51" spans="1:13" ht="33.75" customHeight="1" x14ac:dyDescent="0.2"/>
    <row r="52" spans="1:13" ht="20.25" customHeight="1" x14ac:dyDescent="0.2"/>
    <row r="53" spans="1:13" ht="57.75" customHeight="1" x14ac:dyDescent="0.2"/>
    <row r="54" spans="1:13" s="11" customFormat="1" ht="15" customHeight="1" x14ac:dyDescent="0.2">
      <c r="A54" s="3"/>
      <c r="B54" s="3"/>
      <c r="C54" s="3"/>
      <c r="D54" s="3"/>
      <c r="E54" s="3"/>
      <c r="F54" s="3"/>
      <c r="G54" s="3"/>
      <c r="H54" s="3"/>
      <c r="I54" s="3"/>
      <c r="J54" s="3"/>
      <c r="K54" s="3"/>
      <c r="L54" s="3"/>
      <c r="M54" s="3"/>
    </row>
    <row r="55" spans="1:13" ht="119.25" customHeight="1" x14ac:dyDescent="0.2"/>
    <row r="56" spans="1:13" s="12" customFormat="1" ht="24" customHeight="1" x14ac:dyDescent="0.2">
      <c r="A56" s="3"/>
      <c r="B56" s="3"/>
      <c r="C56" s="3"/>
      <c r="D56" s="3"/>
      <c r="E56" s="3"/>
      <c r="F56" s="3"/>
      <c r="G56" s="3"/>
      <c r="H56" s="3"/>
      <c r="I56" s="3"/>
      <c r="J56" s="3"/>
      <c r="K56" s="3"/>
      <c r="L56" s="3"/>
      <c r="M56" s="3"/>
    </row>
  </sheetData>
  <sheetProtection formatCells="0" formatColumns="0" formatRows="0" insertColumns="0" insertRows="0" insertHyperlinks="0" deleteColumns="0" deleteRows="0" sort="0" autoFilter="0" pivotTables="0"/>
  <mergeCells count="62">
    <mergeCell ref="J2:M2"/>
    <mergeCell ref="J3:M3"/>
    <mergeCell ref="J4:M4"/>
    <mergeCell ref="K6:M6"/>
    <mergeCell ref="A14:M14"/>
    <mergeCell ref="C3:H3"/>
    <mergeCell ref="G12:J12"/>
    <mergeCell ref="G11:J11"/>
    <mergeCell ref="G10:J10"/>
    <mergeCell ref="G9:J9"/>
    <mergeCell ref="G8:J8"/>
    <mergeCell ref="A1:B4"/>
    <mergeCell ref="B21:M21"/>
    <mergeCell ref="B22:M22"/>
    <mergeCell ref="B25:M25"/>
    <mergeCell ref="B24:M24"/>
    <mergeCell ref="B27:M27"/>
    <mergeCell ref="B32:M32"/>
    <mergeCell ref="A36:B36"/>
    <mergeCell ref="H34:M34"/>
    <mergeCell ref="H35:M35"/>
    <mergeCell ref="A34:B34"/>
    <mergeCell ref="A35:B35"/>
    <mergeCell ref="A38:B38"/>
    <mergeCell ref="A37:B37"/>
    <mergeCell ref="D37:G37"/>
    <mergeCell ref="H36:M36"/>
    <mergeCell ref="H37:M37"/>
    <mergeCell ref="H38:M38"/>
    <mergeCell ref="D36:G36"/>
    <mergeCell ref="C44:M44"/>
    <mergeCell ref="A40:M40"/>
    <mergeCell ref="A16:M16"/>
    <mergeCell ref="B18:M18"/>
    <mergeCell ref="B19:M19"/>
    <mergeCell ref="B20:M20"/>
    <mergeCell ref="A33:M33"/>
    <mergeCell ref="A41:B41"/>
    <mergeCell ref="B23:M23"/>
    <mergeCell ref="A42:B42"/>
    <mergeCell ref="A17:M17"/>
    <mergeCell ref="H39:M39"/>
    <mergeCell ref="D38:G38"/>
    <mergeCell ref="D39:G39"/>
    <mergeCell ref="D41:F42"/>
    <mergeCell ref="A39:B39"/>
    <mergeCell ref="G41:M42"/>
    <mergeCell ref="A6:B6"/>
    <mergeCell ref="H7:J7"/>
    <mergeCell ref="A45:M45"/>
    <mergeCell ref="A7:B7"/>
    <mergeCell ref="A13:M13"/>
    <mergeCell ref="B26:M26"/>
    <mergeCell ref="B31:M31"/>
    <mergeCell ref="B28:M28"/>
    <mergeCell ref="B29:M29"/>
    <mergeCell ref="B30:M30"/>
    <mergeCell ref="K7:M7"/>
    <mergeCell ref="D7:F7"/>
    <mergeCell ref="D34:G34"/>
    <mergeCell ref="D35:G35"/>
    <mergeCell ref="A44:B44"/>
  </mergeCells>
  <phoneticPr fontId="0" type="noConversion"/>
  <conditionalFormatting sqref="F9:F12 M9:M12">
    <cfRule type="cellIs" dxfId="2" priority="7" stopIfTrue="1" operator="equal">
      <formula>$W$5</formula>
    </cfRule>
    <cfRule type="cellIs" dxfId="1" priority="8" stopIfTrue="1" operator="equal">
      <formula>$W$3</formula>
    </cfRule>
    <cfRule type="cellIs" dxfId="0" priority="9" stopIfTrue="1" operator="equal">
      <formula>$W$2</formula>
    </cfRule>
  </conditionalFormatting>
  <dataValidations count="2">
    <dataValidation type="list" allowBlank="1" showInputMessage="1" showErrorMessage="1" sqref="K9:K12 D9:D12">
      <formula1>$Q$2:$Q$7</formula1>
    </dataValidation>
    <dataValidation type="list" allowBlank="1" showInputMessage="1" showErrorMessage="1" sqref="L9:L12 E9:E12">
      <formula1>$R$2:$R$7</formula1>
    </dataValidation>
  </dataValidations>
  <pageMargins left="0.62029109589041098" right="0.59332191780821919" top="0.55118110236220474" bottom="0.51181102362204722" header="7.874015748031496E-2" footer="0.23622047244094491"/>
  <pageSetup paperSize="9" scale="63" fitToHeight="2" orientation="landscape" horizontalDpi="300" verticalDpi="300" copies="3" r:id="rId1"/>
  <headerFooter>
    <oddFooter>&amp;L&amp;8&amp;K000000Issue date: 03-03-2017 Revision: 02Document owner: Group SHEQ Manager.&amp;R&amp;8&amp;P/&amp;N</oddFooter>
  </headerFooter>
  <rowBreaks count="1" manualBreakCount="1">
    <brk id="14" max="10"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4"/>
  <sheetViews>
    <sheetView showWhiteSpace="0" view="pageLayout" topLeftCell="A3" workbookViewId="0">
      <selection activeCell="F33" sqref="F33"/>
    </sheetView>
  </sheetViews>
  <sheetFormatPr defaultColWidth="9.140625" defaultRowHeight="12.75" x14ac:dyDescent="0.2"/>
  <cols>
    <col min="1" max="1" width="4.42578125" style="3" customWidth="1"/>
    <col min="2" max="2" width="9.42578125" style="3" customWidth="1"/>
    <col min="3" max="3" width="13.5703125" style="3" customWidth="1"/>
    <col min="4" max="4" width="14" style="3" customWidth="1"/>
    <col min="5" max="5" width="13.85546875" style="3" customWidth="1"/>
    <col min="6" max="6" width="12.85546875" style="3" customWidth="1"/>
    <col min="7" max="7" width="13.85546875" style="3" customWidth="1"/>
    <col min="8" max="8" width="13.42578125" style="3" customWidth="1"/>
    <col min="9" max="9" width="14.140625" style="3" customWidth="1"/>
    <col min="10" max="10" width="13.140625" style="3" customWidth="1"/>
    <col min="11" max="12" width="11.7109375" style="3" hidden="1" customWidth="1"/>
    <col min="13" max="14" width="9.140625" style="3" hidden="1" customWidth="1"/>
    <col min="15" max="15" width="11.5703125" style="7" hidden="1" customWidth="1"/>
    <col min="16" max="16" width="13.28515625" style="3" hidden="1" customWidth="1"/>
    <col min="17" max="18" width="14.42578125" style="3" hidden="1" customWidth="1"/>
    <col min="19" max="19" width="10.140625" style="3" hidden="1" customWidth="1"/>
    <col min="20" max="21" width="9.140625" style="3" hidden="1" customWidth="1"/>
    <col min="22" max="22" width="0.5703125" style="3" customWidth="1"/>
    <col min="23" max="23" width="2.42578125" style="3" customWidth="1"/>
    <col min="24" max="16384" width="9.140625" style="3"/>
  </cols>
  <sheetData>
    <row r="1" spans="1:22" ht="25.5" customHeight="1" x14ac:dyDescent="0.35">
      <c r="A1" s="204" t="s">
        <v>70</v>
      </c>
      <c r="B1" s="205"/>
      <c r="C1" s="206"/>
      <c r="D1" s="52"/>
      <c r="E1" s="53"/>
      <c r="F1" s="53"/>
      <c r="G1" s="54"/>
      <c r="H1" s="55"/>
      <c r="I1" s="185" t="s">
        <v>24</v>
      </c>
      <c r="J1" s="186"/>
      <c r="O1" s="14" t="s">
        <v>45</v>
      </c>
      <c r="P1" s="14" t="s">
        <v>46</v>
      </c>
      <c r="Q1" s="14" t="s">
        <v>47</v>
      </c>
      <c r="R1" s="14" t="s">
        <v>48</v>
      </c>
      <c r="S1" s="14" t="s">
        <v>49</v>
      </c>
      <c r="T1" s="14" t="s">
        <v>50</v>
      </c>
      <c r="U1" s="18" t="s">
        <v>51</v>
      </c>
      <c r="V1" s="2"/>
    </row>
    <row r="2" spans="1:22" ht="25.5" customHeight="1" x14ac:dyDescent="0.2">
      <c r="A2" s="207"/>
      <c r="B2" s="208"/>
      <c r="C2" s="209"/>
      <c r="D2" s="191" t="s">
        <v>131</v>
      </c>
      <c r="E2" s="192"/>
      <c r="F2" s="192"/>
      <c r="G2" s="192"/>
      <c r="H2" s="193"/>
      <c r="I2" s="187" t="s">
        <v>132</v>
      </c>
      <c r="J2" s="188"/>
      <c r="N2" s="7"/>
      <c r="O2" s="14">
        <v>1</v>
      </c>
      <c r="P2" s="14" t="s">
        <v>52</v>
      </c>
      <c r="Q2" s="15"/>
      <c r="R2" s="15"/>
      <c r="S2" s="15"/>
      <c r="T2" s="15"/>
      <c r="U2" s="18" t="s">
        <v>53</v>
      </c>
      <c r="V2" s="5"/>
    </row>
    <row r="3" spans="1:22" ht="25.5" customHeight="1" x14ac:dyDescent="0.2">
      <c r="A3" s="210"/>
      <c r="B3" s="211"/>
      <c r="C3" s="212"/>
      <c r="D3" s="81"/>
      <c r="E3" s="82"/>
      <c r="F3" s="82"/>
      <c r="G3" s="82"/>
      <c r="H3" s="83"/>
      <c r="I3" s="189" t="s">
        <v>73</v>
      </c>
      <c r="J3" s="190"/>
      <c r="K3" s="49"/>
      <c r="L3" s="49"/>
      <c r="M3" s="22"/>
    </row>
    <row r="4" spans="1:22" ht="18.75" thickBot="1" x14ac:dyDescent="0.25">
      <c r="A4" s="46"/>
      <c r="B4" s="46"/>
      <c r="C4" s="46"/>
      <c r="D4" s="46"/>
      <c r="E4" s="46"/>
      <c r="F4" s="46"/>
      <c r="G4" s="46"/>
      <c r="H4" s="46"/>
      <c r="I4" s="46"/>
      <c r="J4" s="46"/>
      <c r="K4" s="46"/>
      <c r="L4" s="46"/>
      <c r="M4" s="22"/>
    </row>
    <row r="5" spans="1:22" ht="26.45" customHeight="1" thickBot="1" x14ac:dyDescent="0.25">
      <c r="A5" s="198" t="s">
        <v>86</v>
      </c>
      <c r="B5" s="199"/>
      <c r="C5" s="177" t="s">
        <v>25</v>
      </c>
      <c r="D5" s="178"/>
      <c r="E5" s="178"/>
      <c r="F5" s="178"/>
      <c r="G5" s="179"/>
      <c r="H5" s="177" t="s">
        <v>26</v>
      </c>
      <c r="I5" s="178"/>
      <c r="J5" s="178"/>
      <c r="K5" s="178"/>
      <c r="L5" s="179"/>
      <c r="M5" s="22"/>
    </row>
    <row r="6" spans="1:22" ht="20.25" customHeight="1" thickBot="1" x14ac:dyDescent="0.25">
      <c r="A6" s="200"/>
      <c r="B6" s="201"/>
      <c r="C6" s="180" t="s">
        <v>133</v>
      </c>
      <c r="D6" s="180" t="s">
        <v>134</v>
      </c>
      <c r="E6" s="180" t="s">
        <v>135</v>
      </c>
      <c r="F6" s="180" t="s">
        <v>136</v>
      </c>
      <c r="G6" s="180" t="s">
        <v>137</v>
      </c>
      <c r="H6" s="84" t="s">
        <v>27</v>
      </c>
      <c r="I6" s="84" t="s">
        <v>28</v>
      </c>
      <c r="J6" s="84" t="s">
        <v>29</v>
      </c>
      <c r="K6" s="21" t="s">
        <v>54</v>
      </c>
      <c r="L6" s="21" t="s">
        <v>55</v>
      </c>
      <c r="M6" s="22"/>
    </row>
    <row r="7" spans="1:22" ht="112.5" x14ac:dyDescent="0.2">
      <c r="A7" s="200"/>
      <c r="B7" s="201"/>
      <c r="C7" s="181"/>
      <c r="D7" s="181"/>
      <c r="E7" s="181"/>
      <c r="F7" s="181"/>
      <c r="G7" s="181"/>
      <c r="H7" s="85" t="s">
        <v>138</v>
      </c>
      <c r="I7" s="85" t="s">
        <v>139</v>
      </c>
      <c r="J7" s="85" t="s">
        <v>140</v>
      </c>
      <c r="K7" s="23" t="s">
        <v>56</v>
      </c>
      <c r="L7" s="23" t="s">
        <v>57</v>
      </c>
      <c r="M7" s="22"/>
    </row>
    <row r="8" spans="1:22" ht="12.75" customHeight="1" x14ac:dyDescent="0.2">
      <c r="A8" s="200"/>
      <c r="B8" s="201"/>
      <c r="C8" s="181"/>
      <c r="D8" s="181"/>
      <c r="E8" s="181"/>
      <c r="F8" s="181"/>
      <c r="G8" s="181"/>
      <c r="H8" s="175" t="s">
        <v>141</v>
      </c>
      <c r="I8" s="175" t="s">
        <v>142</v>
      </c>
      <c r="J8" s="175" t="s">
        <v>143</v>
      </c>
      <c r="K8" s="175" t="s">
        <v>58</v>
      </c>
      <c r="L8" s="175" t="s">
        <v>59</v>
      </c>
      <c r="M8" s="22"/>
    </row>
    <row r="9" spans="1:22" ht="31.5" customHeight="1" thickBot="1" x14ac:dyDescent="0.25">
      <c r="A9" s="202"/>
      <c r="B9" s="203"/>
      <c r="C9" s="182"/>
      <c r="D9" s="182"/>
      <c r="E9" s="182"/>
      <c r="F9" s="182"/>
      <c r="G9" s="182"/>
      <c r="H9" s="176"/>
      <c r="I9" s="176"/>
      <c r="J9" s="176"/>
      <c r="K9" s="176"/>
      <c r="L9" s="176"/>
      <c r="M9" s="22"/>
    </row>
    <row r="10" spans="1:22" ht="66" customHeight="1" x14ac:dyDescent="0.2">
      <c r="A10" s="194">
        <v>1</v>
      </c>
      <c r="B10" s="195"/>
      <c r="C10" s="38" t="s">
        <v>144</v>
      </c>
      <c r="D10" s="38" t="s">
        <v>145</v>
      </c>
      <c r="E10" s="38" t="s">
        <v>146</v>
      </c>
      <c r="F10" s="38" t="s">
        <v>147</v>
      </c>
      <c r="G10" s="39" t="s">
        <v>148</v>
      </c>
      <c r="H10" s="30" t="s">
        <v>30</v>
      </c>
      <c r="I10" s="31" t="s">
        <v>31</v>
      </c>
      <c r="J10" s="31" t="s">
        <v>32</v>
      </c>
      <c r="K10" s="40" t="s">
        <v>60</v>
      </c>
      <c r="L10" s="32" t="s">
        <v>61</v>
      </c>
      <c r="M10" s="22"/>
    </row>
    <row r="11" spans="1:22" ht="66" customHeight="1" x14ac:dyDescent="0.2">
      <c r="A11" s="196">
        <v>2</v>
      </c>
      <c r="B11" s="197"/>
      <c r="C11" s="24" t="s">
        <v>149</v>
      </c>
      <c r="D11" s="24" t="s">
        <v>150</v>
      </c>
      <c r="E11" s="38" t="s">
        <v>151</v>
      </c>
      <c r="F11" s="24" t="s">
        <v>152</v>
      </c>
      <c r="G11" s="28" t="s">
        <v>153</v>
      </c>
      <c r="H11" s="33" t="s">
        <v>33</v>
      </c>
      <c r="I11" s="34" t="s">
        <v>34</v>
      </c>
      <c r="J11" s="34" t="s">
        <v>35</v>
      </c>
      <c r="K11" s="35" t="s">
        <v>62</v>
      </c>
      <c r="L11" s="36" t="s">
        <v>63</v>
      </c>
      <c r="M11" s="22"/>
    </row>
    <row r="12" spans="1:22" ht="90" customHeight="1" x14ac:dyDescent="0.2">
      <c r="A12" s="196">
        <v>3</v>
      </c>
      <c r="B12" s="197"/>
      <c r="C12" s="24" t="s">
        <v>154</v>
      </c>
      <c r="D12" s="24" t="s">
        <v>155</v>
      </c>
      <c r="E12" s="38" t="s">
        <v>156</v>
      </c>
      <c r="F12" s="24" t="s">
        <v>157</v>
      </c>
      <c r="G12" s="28" t="s">
        <v>158</v>
      </c>
      <c r="H12" s="33" t="s">
        <v>36</v>
      </c>
      <c r="I12" s="34" t="s">
        <v>37</v>
      </c>
      <c r="J12" s="35" t="s">
        <v>38</v>
      </c>
      <c r="K12" s="35" t="s">
        <v>64</v>
      </c>
      <c r="L12" s="41" t="s">
        <v>65</v>
      </c>
      <c r="M12" s="22"/>
    </row>
    <row r="13" spans="1:22" ht="66" customHeight="1" x14ac:dyDescent="0.2">
      <c r="A13" s="196">
        <v>4</v>
      </c>
      <c r="B13" s="197"/>
      <c r="C13" s="24" t="s">
        <v>159</v>
      </c>
      <c r="D13" s="24" t="s">
        <v>160</v>
      </c>
      <c r="E13" s="38" t="s">
        <v>161</v>
      </c>
      <c r="F13" s="24" t="s">
        <v>162</v>
      </c>
      <c r="G13" s="28" t="s">
        <v>163</v>
      </c>
      <c r="H13" s="33" t="s">
        <v>39</v>
      </c>
      <c r="I13" s="35" t="s">
        <v>40</v>
      </c>
      <c r="J13" s="35" t="s">
        <v>41</v>
      </c>
      <c r="K13" s="42" t="s">
        <v>66</v>
      </c>
      <c r="L13" s="41" t="s">
        <v>67</v>
      </c>
      <c r="M13" s="22"/>
    </row>
    <row r="14" spans="1:22" ht="66" customHeight="1" thickBot="1" x14ac:dyDescent="0.25">
      <c r="A14" s="183">
        <v>5</v>
      </c>
      <c r="B14" s="184"/>
      <c r="C14" s="25" t="s">
        <v>164</v>
      </c>
      <c r="D14" s="25" t="s">
        <v>165</v>
      </c>
      <c r="E14" s="25" t="s">
        <v>166</v>
      </c>
      <c r="F14" s="25" t="s">
        <v>167</v>
      </c>
      <c r="G14" s="29" t="s">
        <v>168</v>
      </c>
      <c r="H14" s="45" t="s">
        <v>42</v>
      </c>
      <c r="I14" s="37" t="s">
        <v>43</v>
      </c>
      <c r="J14" s="43" t="s">
        <v>44</v>
      </c>
      <c r="K14" s="43" t="s">
        <v>68</v>
      </c>
      <c r="L14" s="44" t="s">
        <v>69</v>
      </c>
      <c r="M14" s="22"/>
    </row>
    <row r="15" spans="1:22" x14ac:dyDescent="0.2">
      <c r="A15" s="47"/>
      <c r="B15" s="47"/>
      <c r="C15" s="48"/>
      <c r="D15" s="48"/>
      <c r="E15" s="48"/>
      <c r="F15" s="48"/>
      <c r="G15" s="48"/>
      <c r="H15" s="26"/>
      <c r="I15" s="26"/>
      <c r="J15" s="26"/>
      <c r="K15" s="27"/>
      <c r="L15" s="27"/>
      <c r="M15" s="22"/>
    </row>
    <row r="16" spans="1:22" x14ac:dyDescent="0.2">
      <c r="A16" s="22"/>
      <c r="B16" s="22"/>
      <c r="C16" s="22"/>
      <c r="D16" s="22"/>
      <c r="E16" s="22"/>
      <c r="F16" s="22"/>
      <c r="G16" s="22"/>
      <c r="H16" s="22"/>
      <c r="I16" s="22"/>
      <c r="J16" s="22"/>
      <c r="K16" s="22"/>
      <c r="L16" s="22"/>
      <c r="M16" s="22"/>
    </row>
    <row r="17" spans="1:13" x14ac:dyDescent="0.2">
      <c r="A17" s="22"/>
      <c r="B17" s="22"/>
      <c r="C17" s="22"/>
      <c r="D17" s="22"/>
      <c r="E17" s="22"/>
      <c r="F17" s="22"/>
      <c r="G17" s="22"/>
      <c r="H17" s="22"/>
      <c r="I17" s="22"/>
      <c r="J17" s="22"/>
      <c r="K17" s="22"/>
      <c r="L17" s="22"/>
      <c r="M17" s="22"/>
    </row>
    <row r="18" spans="1:13" x14ac:dyDescent="0.2">
      <c r="A18" s="22"/>
      <c r="B18" s="22"/>
      <c r="C18" s="22"/>
      <c r="D18" s="22"/>
      <c r="E18" s="22"/>
      <c r="F18" s="22"/>
      <c r="G18" s="22"/>
      <c r="H18" s="22"/>
      <c r="I18" s="22"/>
      <c r="J18" s="22"/>
      <c r="K18" s="22"/>
      <c r="L18" s="22"/>
      <c r="M18" s="22"/>
    </row>
    <row r="19" spans="1:13" x14ac:dyDescent="0.2">
      <c r="A19" s="22"/>
      <c r="B19" s="22"/>
      <c r="C19" s="22"/>
      <c r="D19" s="22"/>
      <c r="E19" s="22"/>
      <c r="F19" s="22"/>
      <c r="G19" s="22"/>
      <c r="H19" s="22"/>
      <c r="I19" s="22"/>
      <c r="J19" s="22"/>
      <c r="K19" s="22"/>
      <c r="L19" s="22"/>
      <c r="M19" s="22"/>
    </row>
    <row r="20" spans="1:13" ht="30.75" customHeight="1" x14ac:dyDescent="0.2">
      <c r="A20" s="22"/>
      <c r="B20" s="22"/>
      <c r="C20" s="22"/>
      <c r="D20" s="22"/>
      <c r="E20" s="22"/>
      <c r="F20" s="22"/>
      <c r="G20" s="22"/>
      <c r="H20" s="22"/>
      <c r="I20" s="22"/>
      <c r="J20" s="22"/>
      <c r="K20" s="22"/>
      <c r="L20" s="22"/>
      <c r="M20" s="22"/>
    </row>
    <row r="21" spans="1:13" x14ac:dyDescent="0.2">
      <c r="A21" s="22"/>
      <c r="B21" s="22"/>
      <c r="C21" s="22"/>
      <c r="D21" s="22"/>
      <c r="E21" s="22"/>
      <c r="F21" s="22"/>
      <c r="G21" s="22"/>
      <c r="H21" s="22"/>
      <c r="I21" s="22"/>
      <c r="J21" s="22"/>
      <c r="K21" s="22"/>
      <c r="L21" s="22"/>
      <c r="M21" s="22"/>
    </row>
    <row r="22" spans="1:13" x14ac:dyDescent="0.2">
      <c r="A22" s="22"/>
      <c r="B22" s="22"/>
      <c r="C22" s="22"/>
      <c r="D22" s="22"/>
      <c r="E22" s="22"/>
      <c r="F22" s="22"/>
      <c r="G22" s="22"/>
      <c r="H22" s="22"/>
      <c r="I22" s="22"/>
      <c r="J22" s="22"/>
      <c r="K22" s="22"/>
      <c r="L22" s="22"/>
      <c r="M22" s="22"/>
    </row>
    <row r="23" spans="1:13" x14ac:dyDescent="0.2">
      <c r="A23" s="22"/>
      <c r="B23" s="22"/>
      <c r="C23" s="22"/>
      <c r="D23" s="22"/>
      <c r="E23" s="22"/>
      <c r="F23" s="22"/>
      <c r="G23" s="22"/>
      <c r="H23" s="22"/>
      <c r="I23" s="22"/>
      <c r="J23" s="22"/>
      <c r="K23" s="22"/>
      <c r="L23" s="22"/>
      <c r="M23" s="22"/>
    </row>
    <row r="24" spans="1:13" x14ac:dyDescent="0.2">
      <c r="A24" s="22"/>
      <c r="B24" s="22"/>
      <c r="C24" s="22"/>
      <c r="D24" s="22"/>
      <c r="E24" s="22"/>
      <c r="F24" s="22"/>
      <c r="G24" s="22"/>
      <c r="H24" s="22"/>
      <c r="I24" s="22"/>
      <c r="J24" s="22"/>
      <c r="K24" s="22"/>
      <c r="L24" s="22"/>
      <c r="M24" s="22"/>
    </row>
    <row r="25" spans="1:13" x14ac:dyDescent="0.2">
      <c r="A25" s="22"/>
      <c r="B25" s="22"/>
      <c r="C25" s="22"/>
      <c r="D25" s="22"/>
      <c r="E25" s="22"/>
      <c r="F25" s="22"/>
      <c r="G25" s="22"/>
      <c r="H25" s="22"/>
      <c r="I25" s="22"/>
      <c r="J25" s="22"/>
      <c r="K25" s="22"/>
      <c r="L25" s="22"/>
      <c r="M25" s="22"/>
    </row>
    <row r="26" spans="1:13" ht="58.5" customHeight="1" x14ac:dyDescent="0.2">
      <c r="A26" s="22"/>
      <c r="B26" s="22"/>
      <c r="C26" s="22"/>
      <c r="D26" s="22"/>
      <c r="E26" s="22"/>
      <c r="F26" s="22"/>
      <c r="G26" s="22"/>
      <c r="H26" s="22"/>
      <c r="I26" s="22"/>
      <c r="J26" s="22"/>
      <c r="K26" s="22"/>
      <c r="L26" s="22"/>
      <c r="M26" s="22"/>
    </row>
    <row r="27" spans="1:13" x14ac:dyDescent="0.2">
      <c r="A27" s="22"/>
      <c r="B27" s="22"/>
      <c r="C27" s="22"/>
      <c r="D27" s="22"/>
      <c r="E27" s="22"/>
      <c r="F27" s="22"/>
      <c r="G27" s="22"/>
      <c r="H27" s="22"/>
      <c r="I27" s="22"/>
      <c r="J27" s="22"/>
      <c r="K27" s="22"/>
      <c r="L27" s="22"/>
      <c r="M27" s="22"/>
    </row>
    <row r="28" spans="1:13" x14ac:dyDescent="0.2">
      <c r="A28" s="22"/>
      <c r="B28" s="22"/>
      <c r="C28" s="22"/>
      <c r="D28" s="22"/>
      <c r="E28" s="22"/>
      <c r="F28" s="22"/>
      <c r="G28" s="22"/>
      <c r="H28" s="22"/>
      <c r="I28" s="22"/>
      <c r="J28" s="22"/>
      <c r="K28" s="22"/>
      <c r="L28" s="22"/>
      <c r="M28" s="22"/>
    </row>
    <row r="29" spans="1:13" x14ac:dyDescent="0.2">
      <c r="A29" s="22"/>
      <c r="B29" s="22"/>
      <c r="C29" s="22"/>
      <c r="D29" s="22"/>
      <c r="E29" s="22"/>
      <c r="F29" s="22"/>
      <c r="G29" s="22"/>
      <c r="H29" s="22"/>
      <c r="I29" s="22"/>
      <c r="J29" s="22"/>
      <c r="K29" s="22"/>
      <c r="L29" s="22"/>
      <c r="M29" s="22"/>
    </row>
    <row r="30" spans="1:13" x14ac:dyDescent="0.2">
      <c r="A30" s="22"/>
      <c r="B30" s="22"/>
      <c r="C30" s="22"/>
      <c r="D30" s="22"/>
      <c r="E30" s="22"/>
      <c r="F30" s="22"/>
      <c r="G30" s="22"/>
      <c r="H30" s="22"/>
      <c r="I30" s="22"/>
      <c r="J30" s="22"/>
      <c r="K30" s="22"/>
      <c r="L30" s="22"/>
      <c r="M30" s="22"/>
    </row>
    <row r="31" spans="1:13" x14ac:dyDescent="0.2">
      <c r="A31" s="22"/>
      <c r="B31" s="22"/>
      <c r="C31" s="22"/>
      <c r="D31" s="22"/>
      <c r="E31" s="22"/>
      <c r="F31" s="22"/>
      <c r="G31" s="22"/>
      <c r="H31" s="22"/>
      <c r="I31" s="22"/>
      <c r="J31" s="22"/>
      <c r="K31" s="22"/>
      <c r="L31" s="22"/>
      <c r="M31" s="22"/>
    </row>
    <row r="32" spans="1:13" x14ac:dyDescent="0.2">
      <c r="A32" s="22"/>
      <c r="B32" s="22"/>
      <c r="C32" s="22"/>
      <c r="D32" s="22"/>
      <c r="E32" s="22"/>
      <c r="F32" s="22"/>
      <c r="G32" s="22"/>
      <c r="H32" s="22"/>
      <c r="I32" s="22"/>
      <c r="J32" s="22"/>
      <c r="K32" s="22"/>
      <c r="L32" s="22"/>
      <c r="M32" s="22"/>
    </row>
    <row r="33" spans="1:13" ht="129.75" customHeight="1" x14ac:dyDescent="0.2">
      <c r="A33" s="22"/>
      <c r="B33" s="22"/>
      <c r="C33" s="22"/>
      <c r="D33" s="22"/>
      <c r="E33" s="22"/>
      <c r="F33" s="22"/>
      <c r="G33" s="22"/>
      <c r="H33" s="22"/>
      <c r="I33" s="22"/>
      <c r="J33" s="22"/>
      <c r="K33" s="22"/>
      <c r="L33" s="22"/>
      <c r="M33" s="22"/>
    </row>
    <row r="34" spans="1:13" hidden="1" x14ac:dyDescent="0.2">
      <c r="A34" s="22"/>
      <c r="B34" s="22"/>
      <c r="C34" s="22"/>
      <c r="D34" s="22"/>
      <c r="E34" s="22"/>
      <c r="F34" s="22"/>
      <c r="G34" s="22"/>
      <c r="H34" s="22"/>
      <c r="I34" s="22"/>
      <c r="J34" s="22"/>
      <c r="K34" s="22"/>
      <c r="L34" s="22"/>
      <c r="M34" s="22"/>
    </row>
  </sheetData>
  <sheetProtection selectLockedCells="1" selectUnlockedCells="1"/>
  <mergeCells count="23">
    <mergeCell ref="A14:B14"/>
    <mergeCell ref="I1:J1"/>
    <mergeCell ref="I2:J2"/>
    <mergeCell ref="I3:J3"/>
    <mergeCell ref="D2:H2"/>
    <mergeCell ref="A10:B10"/>
    <mergeCell ref="A11:B11"/>
    <mergeCell ref="A12:B12"/>
    <mergeCell ref="A5:B9"/>
    <mergeCell ref="A13:B13"/>
    <mergeCell ref="I8:I9"/>
    <mergeCell ref="J8:J9"/>
    <mergeCell ref="A1:C3"/>
    <mergeCell ref="K8:K9"/>
    <mergeCell ref="L8:L9"/>
    <mergeCell ref="C5:G5"/>
    <mergeCell ref="H5:L5"/>
    <mergeCell ref="C6:C9"/>
    <mergeCell ref="D6:D9"/>
    <mergeCell ref="E6:E9"/>
    <mergeCell ref="F6:F9"/>
    <mergeCell ref="G6:G9"/>
    <mergeCell ref="H8:H9"/>
  </mergeCells>
  <pageMargins left="0.78740157480314965" right="0.78740157480314965" top="0.62992125984251968" bottom="0.51181102362204722" header="0.27559055118110237" footer="0.23622047244094491"/>
  <pageSetup paperSize="9" scale="70" orientation="landscape" horizontalDpi="300" verticalDpi="300" copies="3" r:id="rId1"/>
  <headerFooter>
    <oddFooter>&amp;L&amp;7Issue date: 01-01-2014 Revision: 01Document Owner: Group SHEQ Manager&amp;R&amp;7&amp;P/&amp;N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LongProperties xmlns="http://schemas.microsoft.com/office/2006/metadata/long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F58E9632D3CD444A21C64920A96E18B" ma:contentTypeVersion="13" ma:contentTypeDescription="Create a new document." ma:contentTypeScope="" ma:versionID="3c72acce436c1b49d739fe3f4c7af673">
  <xsd:schema xmlns:xsd="http://www.w3.org/2001/XMLSchema" xmlns:p="http://schemas.microsoft.com/office/2006/metadata/properties" xmlns:ns2="5470fdc2-d5b4-45ba-ae4a-b04105b307e7" xmlns:ns3="faa5c77d-98fa-4e50-863f-182fb51ee117" targetNamespace="http://schemas.microsoft.com/office/2006/metadata/properties" ma:root="true" ma:fieldsID="93784c78931b4267596e2e53a122eea3" ns2:_="" ns3:_="">
    <xsd:import namespace="5470fdc2-d5b4-45ba-ae4a-b04105b307e7"/>
    <xsd:import namespace="faa5c77d-98fa-4e50-863f-182fb51ee117"/>
    <xsd:element name="properties">
      <xsd:complexType>
        <xsd:sequence>
          <xsd:element name="documentManagement">
            <xsd:complexType>
              <xsd:all>
                <xsd:element ref="ns2:TemplateDescription" minOccurs="0"/>
                <xsd:element ref="ns2:Document_x0020_Type" minOccurs="0"/>
                <xsd:element ref="ns2:Process_x0020_Activity" minOccurs="0"/>
                <xsd:element ref="ns2:Internal" minOccurs="0"/>
                <xsd:element ref="ns3:Publication_x0020_status" minOccurs="0"/>
                <xsd:element ref="ns3:Comments" minOccurs="0"/>
                <xsd:element ref="ns3:Prepared_x0020_by" minOccurs="0"/>
                <xsd:element ref="ns3:Approved_x0020_by" minOccurs="0"/>
                <xsd:element ref="ns3:Process_x0020_Number" minOccurs="0"/>
              </xsd:all>
            </xsd:complexType>
          </xsd:element>
        </xsd:sequence>
      </xsd:complexType>
    </xsd:element>
  </xsd:schema>
  <xsd:schema xmlns:xsd="http://www.w3.org/2001/XMLSchema" xmlns:dms="http://schemas.microsoft.com/office/2006/documentManagement/types" targetNamespace="5470fdc2-d5b4-45ba-ae4a-b04105b307e7" elementFormDefault="qualified">
    <xsd:import namespace="http://schemas.microsoft.com/office/2006/documentManagement/types"/>
    <xsd:element name="TemplateDescription" ma:index="8" nillable="true" ma:displayName="Description" ma:internalName="TemplateDescription">
      <xsd:simpleType>
        <xsd:restriction base="dms:Note"/>
      </xsd:simpleType>
    </xsd:element>
    <xsd:element name="Document_x0020_Type" ma:index="9" nillable="true" ma:displayName="Document Type" ma:internalName="Document_x0020_Type">
      <xsd:simpleType>
        <xsd:restriction base="dms:Text">
          <xsd:maxLength value="255"/>
        </xsd:restriction>
      </xsd:simpleType>
    </xsd:element>
    <xsd:element name="Process_x0020_Activity" ma:index="10" nillable="true" ma:displayName="Process Activity" ma:internalName="Process_x0020_Activity">
      <xsd:simpleType>
        <xsd:restriction base="dms:Text">
          <xsd:maxLength value="255"/>
        </xsd:restriction>
      </xsd:simpleType>
    </xsd:element>
    <xsd:element name="Internal" ma:index="11" nillable="true" ma:displayName="Internal" ma:default="1" ma:internalName="Internal">
      <xsd:simpleType>
        <xsd:restriction base="dms:Boolean"/>
      </xsd:simpleType>
    </xsd:element>
  </xsd:schema>
  <xsd:schema xmlns:xsd="http://www.w3.org/2001/XMLSchema" xmlns:dms="http://schemas.microsoft.com/office/2006/documentManagement/types" targetNamespace="faa5c77d-98fa-4e50-863f-182fb51ee117" elementFormDefault="qualified">
    <xsd:import namespace="http://schemas.microsoft.com/office/2006/documentManagement/types"/>
    <xsd:element name="Publication_x0020_status" ma:index="12" nillable="true" ma:displayName="Publication status" ma:format="Dropdown" ma:internalName="Publication_x0020_status">
      <xsd:simpleType>
        <xsd:restriction base="dms:Choice">
          <xsd:enumeration value="Affiliate documents"/>
          <xsd:enumeration value="Affiliate records"/>
          <xsd:enumeration value="Corporate documents"/>
          <xsd:enumeration value="Corporate drafts"/>
          <xsd:enumeration value="Corporate in project"/>
          <xsd:enumeration value="Corporate originals"/>
          <xsd:enumeration value="Corporate records"/>
          <xsd:enumeration value="Obsolete"/>
        </xsd:restriction>
      </xsd:simpleType>
    </xsd:element>
    <xsd:element name="Comments" ma:index="13" nillable="true" ma:displayName="Comments" ma:internalName="Comments">
      <xsd:simpleType>
        <xsd:restriction base="dms:Note"/>
      </xsd:simpleType>
    </xsd:element>
    <xsd:element name="Prepared_x0020_by" ma:index="14" nillable="true" ma:displayName="Prepared by" ma:list="UserInfo" ma:internalName="Prepared_x0020_by"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pproved_x0020_by" ma:index="15" nillable="true" ma:displayName="Approved by" ma:list="UserInfo" ma:internalName="Approved_x0020_by"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rocess_x0020_Number" ma:index="16" nillable="true" ma:displayName="Process Number" ma:default="03" ma:internalName="Process_x0020_Number">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Lab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Prepared_x0020_by xmlns="faa5c77d-98fa-4e50-863f-182fb51ee117">
      <UserInfo>
        <DisplayName/>
        <AccountId>178</AccountId>
        <AccountType/>
      </UserInfo>
    </Prepared_x0020_by>
    <Comments xmlns="faa5c77d-98fa-4e50-863f-182fb51ee117" xsi:nil="true"/>
    <Process_x0020_Number xmlns="faa5c77d-98fa-4e50-863f-182fb51ee117">03</Process_x0020_Number>
    <TemplateDescription xmlns="5470fdc2-d5b4-45ba-ae4a-b04105b307e7" xsi:nil="true"/>
    <Document_x0020_Type xmlns="5470fdc2-d5b4-45ba-ae4a-b04105b307e7">Form</Document_x0020_Type>
    <Internal xmlns="5470fdc2-d5b4-45ba-ae4a-b04105b307e7">true</Internal>
    <Approved_x0020_by xmlns="faa5c77d-98fa-4e50-863f-182fb51ee117">
      <UserInfo>
        <DisplayName/>
        <AccountId>178</AccountId>
        <AccountType/>
      </UserInfo>
    </Approved_x0020_by>
    <Process_x0020_Activity xmlns="5470fdc2-d5b4-45ba-ae4a-b04105b307e7" xsi:nil="true"/>
    <Publication_x0020_status xmlns="faa5c77d-98fa-4e50-863f-182fb51ee117">Corporate originals</Publication_x0020_status>
  </documentManagement>
</p:properties>
</file>

<file path=customXml/itemProps1.xml><?xml version="1.0" encoding="utf-8"?>
<ds:datastoreItem xmlns:ds="http://schemas.openxmlformats.org/officeDocument/2006/customXml" ds:itemID="{EA921F7F-51B9-4976-A2B7-454C25076784}">
  <ds:schemaRefs>
    <ds:schemaRef ds:uri="http://schemas.microsoft.com/sharepoint/v3/contenttype/forms"/>
  </ds:schemaRefs>
</ds:datastoreItem>
</file>

<file path=customXml/itemProps2.xml><?xml version="1.0" encoding="utf-8"?>
<ds:datastoreItem xmlns:ds="http://schemas.openxmlformats.org/officeDocument/2006/customXml" ds:itemID="{C5B5785D-A764-4DF2-800E-02F490C0ABC7}">
  <ds:schemaRefs>
    <ds:schemaRef ds:uri="http://schemas.microsoft.com/office/2006/metadata/longProperties"/>
  </ds:schemaRefs>
</ds:datastoreItem>
</file>

<file path=customXml/itemProps3.xml><?xml version="1.0" encoding="utf-8"?>
<ds:datastoreItem xmlns:ds="http://schemas.openxmlformats.org/officeDocument/2006/customXml" ds:itemID="{20276EED-1D6C-446D-BC18-A4C346AE40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70fdc2-d5b4-45ba-ae4a-b04105b307e7"/>
    <ds:schemaRef ds:uri="faa5c77d-98fa-4e50-863f-182fb51ee117"/>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4.xml><?xml version="1.0" encoding="utf-8"?>
<ds:datastoreItem xmlns:ds="http://schemas.openxmlformats.org/officeDocument/2006/customXml" ds:itemID="{34A5DBCF-E2DA-4D23-9549-E8E78AF171AB}">
  <ds:schemaRefs>
    <ds:schemaRef ds:uri="http://purl.org/dc/dcmitype/"/>
    <ds:schemaRef ds:uri="http://purl.org/dc/elements/1.1/"/>
    <ds:schemaRef ds:uri="http://schemas.microsoft.com/office/2006/metadata/properties"/>
    <ds:schemaRef ds:uri="http://schemas.microsoft.com/office/2006/documentManagement/types"/>
    <ds:schemaRef ds:uri="http://purl.org/dc/terms/"/>
    <ds:schemaRef ds:uri="http://schemas.openxmlformats.org/package/2006/metadata/core-properties"/>
    <ds:schemaRef ds:uri="faa5c77d-98fa-4e50-863f-182fb51ee117"/>
    <ds:schemaRef ds:uri="5470fdc2-d5b4-45ba-ae4a-b04105b307e7"/>
    <ds:schemaRef ds:uri="http://www.w3.org/XML/1998/namespace"/>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vt:i4>
      </vt:variant>
      <vt:variant>
        <vt:lpstr>Именованные диапазоны</vt:lpstr>
      </vt:variant>
      <vt:variant>
        <vt:i4>5</vt:i4>
      </vt:variant>
    </vt:vector>
  </HeadingPairs>
  <TitlesOfParts>
    <vt:vector size="7" baseType="lpstr">
      <vt:lpstr>АСОР</vt:lpstr>
      <vt:lpstr>МОР</vt:lpstr>
      <vt:lpstr>АСОР!Strongly_emphasise_each_individual_s__71</vt:lpstr>
      <vt:lpstr>АСОР!Заголовки_для_печати</vt:lpstr>
      <vt:lpstr>МОР!Заголовки_для_печати</vt:lpstr>
      <vt:lpstr>АСОР!Область_печати</vt:lpstr>
      <vt:lpstr>МОР!Область_печати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Specific Job Safety Analysis (S-JSA)</dc:title>
  <dc:creator>Erik Nuhoff</dc:creator>
  <cp:lastModifiedBy>Master.Andromeda</cp:lastModifiedBy>
  <cp:lastPrinted>2014-11-10T14:56:30Z</cp:lastPrinted>
  <dcterms:created xsi:type="dcterms:W3CDTF">2011-02-21T14:14:41Z</dcterms:created>
  <dcterms:modified xsi:type="dcterms:W3CDTF">2024-07-21T12:17:57Z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0x0101004F58E9632D3CD444A21C64920A96E18B</vt:lpwstr>
  </property>
  <property fmtid="{D5CDD505-2E9C-101B-9397-08002B2CF9AE}" pid="3" name="PublishingExpirationDate">
    <vt:lpwstr/>
  </property>
  <property fmtid="{D5CDD505-2E9C-101B-9397-08002B2CF9AE}" pid="4" name="PublishingStartDate">
    <vt:lpwstr/>
  </property>
  <property fmtid="{D5CDD505-2E9C-101B-9397-08002B2CF9AE}" pid="5" name="ContentType">
    <vt:lpwstr>Document</vt:lpwstr>
  </property>
  <property fmtid="{D5CDD505-2E9C-101B-9397-08002B2CF9AE}" pid="6" name="Format">
    <vt:lpwstr/>
  </property>
  <property fmtid="{D5CDD505-2E9C-101B-9397-08002B2CF9AE}" pid="7" name="Date and Time">
    <vt:lpwstr/>
  </property>
  <property fmtid="{D5CDD505-2E9C-101B-9397-08002B2CF9AE}" pid="8" name="display_urn:schemas-microsoft-com:office:office#Prepared_x0020_by">
    <vt:lpwstr>DIXON Chris</vt:lpwstr>
  </property>
  <property fmtid="{D5CDD505-2E9C-101B-9397-08002B2CF9AE}" pid="9" name="display_urn:schemas-microsoft-com:office:office#Approved_x0020_by">
    <vt:lpwstr>DIXON Chris</vt:lpwstr>
  </property>
</Properties>
</file>