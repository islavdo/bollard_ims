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autoCompressPictures="0"/>
  <mc:AlternateContent xmlns:mc="http://schemas.openxmlformats.org/markup-compatibility/2006">
    <mc:Choice Requires="x15">
      <x15ac:absPath xmlns:x15ac="http://schemas.microsoft.com/office/spreadsheetml/2010/11/ac" url="E:\JHA\ACOP\"/>
    </mc:Choice>
  </mc:AlternateContent>
  <bookViews>
    <workbookView xWindow="0" yWindow="0" windowWidth="23265" windowHeight="11700" tabRatio="307"/>
  </bookViews>
  <sheets>
    <sheet name="АСОР" sheetId="1" r:id="rId1"/>
    <sheet name="МОР" sheetId="3" r:id="rId2"/>
  </sheets>
  <definedNames>
    <definedName name="Strongly_emphasise_each_individual_s__71" localSheetId="0">АСОР!$O$63</definedName>
    <definedName name="Strongly_emphasise_each_individual_s__71" localSheetId="1">МОР!#REF!</definedName>
    <definedName name="_xlnm.Print_Titles" localSheetId="0">АСОР!$1:$5</definedName>
    <definedName name="_xlnm.Print_Titles" localSheetId="1">МОР!$1:$2</definedName>
    <definedName name="_xlnm.Print_Area" localSheetId="0">АСОР!$A$1:$M$58</definedName>
    <definedName name="_xlnm.Print_Area" localSheetId="1">МОР!$A$1:$V$34</definedName>
  </definedNames>
  <calcPr calcId="162913" concurrentCalc="0"/>
</workbook>
</file>

<file path=xl/calcChain.xml><?xml version="1.0" encoding="utf-8"?>
<calcChain xmlns="http://schemas.openxmlformats.org/spreadsheetml/2006/main">
  <c r="T18" i="1" l="1"/>
  <c r="V18" i="1"/>
  <c r="M18" i="1"/>
  <c r="M24" i="1"/>
  <c r="M21" i="1"/>
  <c r="M19" i="1"/>
  <c r="S22" i="1"/>
  <c r="U22" i="1"/>
  <c r="F25" i="1"/>
  <c r="F24" i="1"/>
  <c r="F21" i="1"/>
  <c r="F20" i="1"/>
  <c r="S18" i="1"/>
  <c r="U18" i="1"/>
  <c r="F18" i="1"/>
  <c r="F19" i="1"/>
  <c r="T22" i="1"/>
  <c r="V22" i="1"/>
  <c r="M25" i="1"/>
  <c r="T14" i="1"/>
  <c r="V14" i="1"/>
  <c r="S14" i="1"/>
  <c r="U14" i="1"/>
  <c r="M14" i="1"/>
  <c r="F14" i="1"/>
  <c r="T13" i="1"/>
  <c r="V13" i="1"/>
  <c r="S13" i="1"/>
  <c r="U13" i="1"/>
  <c r="M13" i="1"/>
  <c r="F13" i="1"/>
  <c r="T12" i="1"/>
  <c r="V12" i="1"/>
  <c r="S12" i="1"/>
  <c r="U12" i="1"/>
  <c r="M12" i="1"/>
  <c r="F12" i="1"/>
  <c r="T11" i="1"/>
  <c r="V11" i="1"/>
  <c r="S11" i="1"/>
  <c r="U11" i="1"/>
  <c r="M11" i="1"/>
  <c r="F11" i="1"/>
  <c r="T10" i="1"/>
  <c r="V10" i="1"/>
  <c r="S10" i="1"/>
  <c r="U10" i="1"/>
  <c r="M10" i="1"/>
  <c r="F10" i="1"/>
  <c r="S17" i="1"/>
  <c r="U17" i="1"/>
  <c r="F17" i="1"/>
  <c r="T17" i="1"/>
  <c r="V17" i="1"/>
  <c r="M17" i="1"/>
  <c r="T16" i="1"/>
  <c r="V16" i="1"/>
  <c r="S16" i="1"/>
  <c r="U16" i="1"/>
  <c r="M16" i="1"/>
  <c r="F16" i="1"/>
  <c r="T30" i="1"/>
  <c r="V30" i="1"/>
  <c r="S30" i="1"/>
  <c r="U30" i="1"/>
  <c r="T29" i="1"/>
  <c r="V29" i="1"/>
  <c r="S29" i="1"/>
  <c r="U29" i="1"/>
  <c r="T28" i="1"/>
  <c r="V28" i="1"/>
  <c r="S28" i="1"/>
  <c r="U28" i="1"/>
  <c r="T27" i="1"/>
  <c r="V27" i="1"/>
  <c r="S27" i="1"/>
  <c r="U27" i="1"/>
  <c r="T26" i="1"/>
  <c r="V26" i="1"/>
  <c r="S26" i="1"/>
  <c r="U26" i="1"/>
  <c r="T25" i="1"/>
  <c r="V25" i="1"/>
  <c r="S25" i="1"/>
  <c r="U25" i="1"/>
  <c r="T24" i="1"/>
  <c r="V24" i="1"/>
  <c r="S24" i="1"/>
  <c r="U24" i="1"/>
  <c r="T23" i="1"/>
  <c r="V23" i="1"/>
  <c r="S23" i="1"/>
  <c r="U23" i="1"/>
  <c r="T15" i="1"/>
  <c r="V15" i="1"/>
  <c r="M15" i="1"/>
  <c r="S15" i="1"/>
  <c r="U15" i="1"/>
  <c r="F15" i="1"/>
  <c r="S9" i="1"/>
  <c r="U9" i="1"/>
  <c r="F9" i="1"/>
  <c r="T9" i="1"/>
  <c r="V9" i="1"/>
  <c r="M9" i="1"/>
  <c r="U8" i="1"/>
</calcChain>
</file>

<file path=xl/sharedStrings.xml><?xml version="1.0" encoding="utf-8"?>
<sst xmlns="http://schemas.openxmlformats.org/spreadsheetml/2006/main" count="247" uniqueCount="214">
  <si>
    <r>
      <rPr>
        <b/>
        <sz val="14"/>
        <rFont val="Arial"/>
        <family val="2"/>
      </rPr>
      <t>FRM-VSL-09-1301-001</t>
    </r>
  </si>
  <si>
    <r>
      <rPr>
        <b/>
        <sz val="10"/>
        <color theme="0"/>
        <rFont val="Arial"/>
        <family val="2"/>
      </rPr>
      <t>Vessel Name / Название судна</t>
    </r>
  </si>
  <si>
    <r>
      <rPr>
        <b/>
        <sz val="10"/>
        <color theme="0"/>
        <rFont val="Arial"/>
        <family val="2"/>
      </rPr>
      <t>Date / Дата</t>
    </r>
  </si>
  <si>
    <r>
      <rPr>
        <sz val="12"/>
        <rFont val="Arial"/>
        <family val="2"/>
      </rPr>
      <t>C</t>
    </r>
  </si>
  <si>
    <r>
      <rPr>
        <sz val="12"/>
        <rFont val="Arial"/>
        <family val="2"/>
      </rPr>
      <t>C</t>
    </r>
  </si>
  <si>
    <r>
      <rPr>
        <sz val="12"/>
        <rFont val="Arial"/>
        <family val="2"/>
      </rPr>
      <t>C</t>
    </r>
  </si>
  <si>
    <r>
      <rPr>
        <sz val="12"/>
        <rFont val="Arial"/>
        <family val="2"/>
      </rPr>
      <t>C</t>
    </r>
  </si>
  <si>
    <r>
      <rPr>
        <sz val="12"/>
        <rFont val="Arial"/>
        <family val="2"/>
      </rPr>
      <t>D</t>
    </r>
  </si>
  <si>
    <r>
      <rPr>
        <sz val="12"/>
        <rFont val="Arial"/>
        <family val="2"/>
      </rPr>
      <t>D</t>
    </r>
  </si>
  <si>
    <r>
      <rPr>
        <sz val="12"/>
        <rFont val="Arial"/>
        <family val="2"/>
      </rPr>
      <t>C</t>
    </r>
  </si>
  <si>
    <r>
      <rPr>
        <sz val="12"/>
        <rFont val="Arial"/>
        <family val="2"/>
      </rPr>
      <t>C</t>
    </r>
  </si>
  <si>
    <r>
      <rPr>
        <sz val="12"/>
        <rFont val="Arial"/>
        <family val="2"/>
      </rPr>
      <t>D</t>
    </r>
  </si>
  <si>
    <r>
      <rPr>
        <sz val="12"/>
        <rFont val="Arial"/>
        <family val="2"/>
      </rPr>
      <t>D</t>
    </r>
  </si>
  <si>
    <r>
      <rPr>
        <sz val="10"/>
        <color theme="0"/>
        <rFont val="Arial"/>
        <family val="2"/>
      </rPr>
      <t>Full Name / ФИО</t>
    </r>
  </si>
  <si>
    <r>
      <rPr>
        <sz val="10"/>
        <color theme="0"/>
        <rFont val="Arial"/>
        <family val="2"/>
      </rPr>
      <t>Job Title / Должность</t>
    </r>
  </si>
  <si>
    <r>
      <rPr>
        <sz val="10"/>
        <color theme="0"/>
        <rFont val="Arial"/>
        <family val="2"/>
      </rPr>
      <t>Signature / Подпись</t>
    </r>
  </si>
  <si>
    <r>
      <rPr>
        <sz val="10"/>
        <color theme="0"/>
        <rFont val="Arial"/>
        <family val="2"/>
      </rPr>
      <t>Comments, if any    "SAFETY IS MY PERSONAL VALUE" / Замечания, если имеются «БЕЗОПАСНОСТЬ - МОЯ ЛИЧНАЯ ЦЕННОСТЬ»</t>
    </r>
  </si>
  <si>
    <t>Severity</t>
  </si>
  <si>
    <t>Likelihood</t>
  </si>
  <si>
    <t>Likelihood tranf initial</t>
  </si>
  <si>
    <t>Likelihood tranf residual</t>
  </si>
  <si>
    <t>Initial</t>
  </si>
  <si>
    <t>residual</t>
  </si>
  <si>
    <t xml:space="preserve">Risk </t>
  </si>
  <si>
    <t>A</t>
  </si>
  <si>
    <t>L</t>
  </si>
  <si>
    <t>B</t>
  </si>
  <si>
    <t>M</t>
  </si>
  <si>
    <t>C</t>
  </si>
  <si>
    <t>H</t>
  </si>
  <si>
    <t>D</t>
  </si>
  <si>
    <t>E</t>
  </si>
  <si>
    <r>
      <rPr>
        <b/>
        <sz val="11"/>
        <rFont val="Arial"/>
        <family val="2"/>
      </rPr>
      <t>FRM-VSL-09-1301-001</t>
    </r>
  </si>
  <si>
    <r>
      <rPr>
        <b/>
        <sz val="10.5"/>
        <rFont val="Arial"/>
        <family val="2"/>
      </rPr>
      <t>A</t>
    </r>
  </si>
  <si>
    <r>
      <rPr>
        <b/>
        <sz val="10.5"/>
        <rFont val="Arial"/>
        <family val="2"/>
      </rPr>
      <t>B</t>
    </r>
  </si>
  <si>
    <r>
      <rPr>
        <b/>
        <sz val="10.5"/>
        <rFont val="Arial"/>
        <family val="2"/>
      </rPr>
      <t>C</t>
    </r>
  </si>
  <si>
    <r>
      <rPr>
        <b/>
        <i/>
        <sz val="8.5"/>
        <color rgb="FFFFFFFF"/>
        <rFont val="Arial"/>
        <family val="2"/>
      </rPr>
      <t>1A</t>
    </r>
  </si>
  <si>
    <r>
      <rPr>
        <b/>
        <i/>
        <sz val="8.5"/>
        <color rgb="FFFFFFFF"/>
        <rFont val="Arial"/>
        <family val="2"/>
      </rPr>
      <t>1B</t>
    </r>
  </si>
  <si>
    <r>
      <rPr>
        <b/>
        <i/>
        <sz val="8.5"/>
        <color rgb="FFFFFFFF"/>
        <rFont val="Arial"/>
        <family val="2"/>
      </rPr>
      <t>1C</t>
    </r>
  </si>
  <si>
    <r>
      <rPr>
        <b/>
        <i/>
        <sz val="8.5"/>
        <color rgb="FFFFFFFF"/>
        <rFont val="Arial"/>
        <family val="2"/>
      </rPr>
      <t>2A</t>
    </r>
  </si>
  <si>
    <r>
      <rPr>
        <b/>
        <i/>
        <sz val="8.5"/>
        <color rgb="FFFFFFFF"/>
        <rFont val="Arial"/>
        <family val="2"/>
      </rPr>
      <t>2B</t>
    </r>
  </si>
  <si>
    <r>
      <rPr>
        <b/>
        <i/>
        <sz val="8.5"/>
        <color rgb="FFFFFFFF"/>
        <rFont val="Arial"/>
        <family val="2"/>
      </rPr>
      <t>2C</t>
    </r>
  </si>
  <si>
    <r>
      <rPr>
        <b/>
        <i/>
        <sz val="8.5"/>
        <color rgb="FFFFFFFF"/>
        <rFont val="Arial"/>
        <family val="2"/>
      </rPr>
      <t>3A</t>
    </r>
  </si>
  <si>
    <r>
      <rPr>
        <b/>
        <i/>
        <sz val="8.5"/>
        <color rgb="FFFFFFFF"/>
        <rFont val="Arial"/>
        <family val="2"/>
      </rPr>
      <t>3B</t>
    </r>
  </si>
  <si>
    <r>
      <rPr>
        <b/>
        <i/>
        <sz val="8.5"/>
        <rFont val="Arial"/>
        <family val="2"/>
      </rPr>
      <t>3C</t>
    </r>
  </si>
  <si>
    <r>
      <rPr>
        <b/>
        <i/>
        <sz val="8.5"/>
        <color rgb="FFFFFFFF"/>
        <rFont val="Arial"/>
        <family val="2"/>
      </rPr>
      <t>4A</t>
    </r>
  </si>
  <si>
    <r>
      <rPr>
        <b/>
        <i/>
        <sz val="8.5"/>
        <rFont val="Arial"/>
        <family val="2"/>
      </rPr>
      <t>4B</t>
    </r>
  </si>
  <si>
    <r>
      <rPr>
        <b/>
        <i/>
        <sz val="8.5"/>
        <rFont val="Arial"/>
        <family val="2"/>
      </rPr>
      <t>4C</t>
    </r>
  </si>
  <si>
    <r>
      <rPr>
        <b/>
        <i/>
        <sz val="8.5"/>
        <rFont val="Arial"/>
        <family val="2"/>
      </rPr>
      <t>5A</t>
    </r>
  </si>
  <si>
    <r>
      <rPr>
        <b/>
        <i/>
        <sz val="8.5"/>
        <rFont val="Arial"/>
        <family val="2"/>
      </rPr>
      <t>5B</t>
    </r>
  </si>
  <si>
    <r>
      <rPr>
        <b/>
        <i/>
        <sz val="8.5"/>
        <color theme="0"/>
        <rFont val="Arial"/>
        <family val="2"/>
      </rPr>
      <t>5C</t>
    </r>
  </si>
  <si>
    <t>Severity</t>
  </si>
  <si>
    <t>Likelihood</t>
  </si>
  <si>
    <t>Likelihood tranf initial</t>
  </si>
  <si>
    <t>Likelihood tranf residual</t>
  </si>
  <si>
    <t>Initial</t>
  </si>
  <si>
    <t>residual</t>
  </si>
  <si>
    <t xml:space="preserve">Risk </t>
  </si>
  <si>
    <t>A</t>
  </si>
  <si>
    <t>L</t>
  </si>
  <si>
    <t>D</t>
  </si>
  <si>
    <t>E</t>
  </si>
  <si>
    <t>Occurred in the Company more than once in the last year (ashore or afloat)</t>
  </si>
  <si>
    <t>Occurred in the Company repeatedly in the last year (ashore or afloat)</t>
  </si>
  <si>
    <t>Likely</t>
  </si>
  <si>
    <t>Very Likely</t>
  </si>
  <si>
    <t>1D</t>
  </si>
  <si>
    <t>1E</t>
  </si>
  <si>
    <t>2D</t>
  </si>
  <si>
    <t>2E</t>
  </si>
  <si>
    <t>3D</t>
  </si>
  <si>
    <t>3E</t>
  </si>
  <si>
    <t>4D</t>
  </si>
  <si>
    <t>4E</t>
  </si>
  <si>
    <t>5D</t>
  </si>
  <si>
    <t>5E</t>
  </si>
  <si>
    <t xml:space="preserve">ООО «Боллард»
РФ, Краснодарский край, 
353919, г. Новороссийск,
 Мысхакское шоссе, д. 75 помещение 209 
Тел.: 8(8617) 70 00 95
Эл. почта: info@bollard-marine.group </t>
  </si>
  <si>
    <t>АНАЛИЗ СТЕПЕНИ ОПАСНОСТИ РАБОТ (АСОР)</t>
  </si>
  <si>
    <t>Файл 09</t>
  </si>
  <si>
    <t>Срок хранения 3 года</t>
  </si>
  <si>
    <t>FRM-VSL-011</t>
  </si>
  <si>
    <t xml:space="preserve">Судовые работы
</t>
  </si>
  <si>
    <t>Оборудование и инвентарь, СИЗ</t>
  </si>
  <si>
    <t xml:space="preserve"> Исходный риск</t>
  </si>
  <si>
    <t>Оборудование</t>
  </si>
  <si>
    <t xml:space="preserve"> Остаточный риск</t>
  </si>
  <si>
    <t>Этап</t>
  </si>
  <si>
    <t>Этапы работ</t>
  </si>
  <si>
    <t>Источник опасности / Энергия / Сценарий потенциального несчастного случая</t>
  </si>
  <si>
    <t>Степень тяжести</t>
  </si>
  <si>
    <t>Вероятность</t>
  </si>
  <si>
    <t>Исходный риск</t>
  </si>
  <si>
    <t>Меры контроля для снижения риска</t>
  </si>
  <si>
    <t>Риск</t>
  </si>
  <si>
    <t>Описание работ</t>
  </si>
  <si>
    <t>Номер оценки рисков</t>
  </si>
  <si>
    <t>Уборка палубы</t>
  </si>
  <si>
    <t>Химикаты и сточные воды при техобслуживании могут попадать за борт. Влияние на море/вакваторию при загрязнении сточных вод химикатами.</t>
  </si>
  <si>
    <t xml:space="preserve">Сократите ненужные работы по очистке. b. Используйте, где это возможно, экологически чистые чистящие средства. c. "Смывайте" воду вдали от береговых сооружений. d. Если это возможно, сливайте воду в отстойные танки или другие емкости. e. Предварительно обсудите проблему с экипажем. </t>
  </si>
  <si>
    <t>Покрасочные работы</t>
  </si>
  <si>
    <t>Выброс летучих органических компонентов (ЛОС) в атмосферу. Образование отходов при зачистке и покраске (ветошь, банки, кисти и т. д.) Воздействие на море/акваторию и атмосферу в результате просачивания и выброса в атмосферу. Травмы с потерей рабочего времени. Постоянная потеря трудоспособности или летальный исход в случае пожара, взрыва, поражения электрическим током или "разбрызгивания ЛОС".</t>
  </si>
  <si>
    <t>Рассматривать отходы краски как опасные материалы и соблюдать процедуру. b. Обеспечить централизованное и надлежащее хранение всех красок и лакокрасочных материалов, обеспечить маркировку. c. Свести к минимуму количество запасов на борту и обеспечить безопасное использование путем информирования экипажа.</t>
  </si>
  <si>
    <t>Сварочные работы</t>
  </si>
  <si>
    <t>Травмы персонала или другие травмы вследствие ожогов, пожара/взрыва или поражения электрическим током и/или повреждения глаз.Возможный ущерб окружающей среде вследствие вышеуказанного. Повреждение имущества в результате пожара/взрыва. Нарушение местного законодательства в случае получения травм или нанесения ущерба окружающей среде. Потеря рабочего времени из-за травмы. Постоянная потеря трудоспособности или летальный исход в случае пожара, взрыва, поражения электрическим током. Нефть &lt; 100 баррелей, или пожар/взрыв с локальным воздействием если потребует внешней помощи. Повреждение судна, если пожар/взрыв выведет судно из строя.</t>
  </si>
  <si>
    <t xml:space="preserve">Должен быть заполнен  список огневых работ. Необходимо использовать разрешение на проведение работ(допуск). Должен быть проведен анализ опасностей, связанных с конкретным заданием (JHA). Перед началом работ необходимо провести инструктаж по работе с инструментами. Должны быть разработаны специальные процедуры/руководства. Пустоты вблизи места проведения работ должны быть свободны от газа. Легковоспламеняющиеся материалы должны быть удалены из рабочей зоны. Оборудование должно использоваться квалифицированным и опытным персоналом. Персонал должен использовать соответствующие СИЗ, такие как каски, защитные ботинки, антибликовые защитные очки, перчатки для рук, защитные щитки и фартуки и т.д. Персонал, не имеющий отношения к работе, должен держаться подальше от зоны. Оборудование должно быть проверено перед использованием. Необходимо использовать только сертифицированное оборудование. При сварке в местах скопления людей должны быть установлены сварочные экраны. Должна быть обеспечена достаточная вентиляция. Пожарное оборудование должно быть готово к использованию. Вокруг рабочей зоны должны быть установлены ограждения. </t>
  </si>
  <si>
    <t>Работы на высоте</t>
  </si>
  <si>
    <t xml:space="preserve">Травмы персонала или другие повреждения в результате падения. Повреждение оборудования в результате падения предметов. Нарушение законодательства в случае серьезной травмы персонала. Потеря рабочего времени. Возможна постоянная инвалидность или летальный исход. Повреждение оборудования, требующее замены. </t>
  </si>
  <si>
    <t xml:space="preserve">Необходимо использовать разрешение на работу. Должен быть проведен анализ опасностей, связанных с выполнением конкретного задания (JHA). Перед началом работы необходимо провести инструктаж по работе с инструментами. Необходимо надевать соответствующие СИЗ, например, термобелье, страховочные ремни, защитную обувь, защитные очки и, если вы находитесь над водой, спасательный жилет. Оборудование/инструменты должны быть закреплены во избежание падения. При работе на мачтах вблизи радара радар должен быть выключен, а на нем должны быть размещены предупреждения о запрете использования радара. Под местом проведения работ должны быть вывешены предупреждения о безопасности и установлены ограждения, чтобы предотвратить проход людей под ними. Во время работы на высоте человек должен находиться рядом. Если человек работает вблизи тифона или выхлопных труб, необходимо сообщить об этом инженерам и отключить тифон. При использовании беседки ознакомьтесь с мерами предосторожности, если нет крайней необходимости не работать на крыше в море. </t>
  </si>
  <si>
    <t>Вход в замкнутое пространство</t>
  </si>
  <si>
    <t xml:space="preserve">Травмы персонала или другие последствия воздействия "загрязненной атмосферы", удушье, пожар, взрыв или падение. Возможный ущерб окружающей среде в результате вышеперечисленного. Повреждение имущества в результате пожара/взрыва. Нарушение местного законодательства в случае получения травмы или нанесения ущерба окружающей среде. Ущерб здоровью. В случае пожара, взрыва возможна постоянная инвалидность или множественные смертельные исходы. Нефть &lt; 100 баррелей, если пожар/взрыв с местными последствиями потребует внешней помощи. Повреждение судна, если пожар/взрыв выведет судно из строя. </t>
  </si>
  <si>
    <t xml:space="preserve">Необходимо заполнить контрольный чек-лист для входа в замкнутое пространство. Необходимо использовать разрешение на работу. Должен быть проведен анализ опасностей, связанных с конкретным заданием (JHA). Перед началом работы необходимо провести инструктаж по работе с инструментами. Должны быть разработаны специальные процедуры/инструкции. Пустоты вблизи места проведения работ должны быть свободны от газа. Должна быть обеспечена достаточная вентиляция. Персоналу не разрешается входить в замкнутое пространство, если уровень кислорода ниже 20 %. В замкнутое пространство допускается минимальное количество людей. Персонал должен носить соответствующие СИЗ, такие как каски, защитные ботинки, комбинезоны и спасательные жилеты. Должно использоваться только сертифицированное/калиброванное газоаналитическое оборудование. Персонал должен быть обучен использованию газового оборудования. Персонал должен носить надлежащие дыхательные аппараты (АСВ). Комплекты (АСВ) должны быть проверены перед входом в замкнутое пространство. Резервный сотрудник должен постоянно находиться на посту.  Необходимо регулярно проводить учения по аварийной эвакуации. Необходимо использовать опытный персонал; новичка должен сопровождать опытный специалист. </t>
  </si>
  <si>
    <t>Использование электроинструмена</t>
  </si>
  <si>
    <t>Травмы персонала из-за неправильного использования/плохого состояния инструментов.  Ущерб окружающей среде из-за остатков оборудования. Повреждение оборудования из-за неправильного использования/обслуживания инструментов.</t>
  </si>
  <si>
    <t>Меры предосторожности описаны в руководстве по безопасным приемам работы. b. Убедитесь, что остатки инструмента собраны старшим офицером, а не выброшены за борт судна. c. Необходимо использовать средства защиты органов слуха и защитные очки.</t>
  </si>
  <si>
    <t xml:space="preserve">Работа (осмотр, ремонт и/или техническое обслуживание) на оборудовании в машинном отделении и на палубе. </t>
  </si>
  <si>
    <t>Травмы персонала в результате поскальзывания/падения/ожоги/раздробление конечностей/порезы и т. д. Ущерб окружающей среде в результате разлива/неправильной утилизации остатков нефти/отходов и т. д. Потеря рабочего времени, постоянная нетрудоспособность не могут быть списаны со счетов. Местное воздействие на водные пути и почвы в результате удаления отходов. Повреждение оборудования, что может привести к задержке операций и воздействию на терминал/порт.</t>
  </si>
  <si>
    <t>Меры предосторожности зависят от выполняемой работы; необходимо использовать следующие общие меры контроля: a. Необходимо надевать соответствующие СИЗ, включая каски, защитные ботинки, защитные очки и комбинезоны. b. Грузоподъемное оборудование должно быть в наличии и проверяться перед использованием. c. Отходы необходимо сдавать утвержденному поставщику. d. Рабочие зоны должны быть свободны от препятствий/жира и других опасностей. e. Только необходимый персонал должен находиться вблизи выполняемых работ. f. Вокруг рабочих зон должны быть установлены ограждения, а на видных местах размещены предупреждения о безопасности. g. Перед началом работ необходимо провести инструктаж. h. Перед началом работ необходимо провести анализ опасности (JHA). i. В случае необходимости использовать блокировку/маркировку. j. В случае необходимости использовать изоляцию процесса.</t>
  </si>
  <si>
    <t xml:space="preserve">Травмы с потерей рабочего времени в результате порезов/ожогов, скольжения/спотыкания. Опасности для здоровья, связанные с гигиеной. Воздействие на окружающую среду из-за неправильной утилизации отходов. Травмы с потерей рабочего времени. Нельзя сбрасывать со счетов постоянную нетрудоспособность. Воздействие на окружающую среду на морских/водных путях с воздействием на морских млекопитающих и особо уязвимые зоны.
</t>
  </si>
  <si>
    <t xml:space="preserve">Работа на камбузе. </t>
  </si>
  <si>
    <t>Необходимо носить защитную обувь. b. Полы должны быть чистыми и свободными от препятствий. c. Необходимо соблюдать правила санитарной гигиены (чистые поверхности / посуда / холодильники и места хранения). d. Острые предметы (ножи) и т.д. должны храниться правильно. e. Горячие зоны должны быть выключены, если они не используются. f. В плохую погоду посуда должна храниться правильно. Отходы должны быть утилизированы в соответствии с MARPOL и инструкциями порта (Тамань). Противопожарное оборудование должно быть в хорошем состоянии и готово к использованию. Должны использоваться только продукты питания "с неистекшим сроком годности". Руководство должно проводить инспекции камбуза. Заражение должно быть под контролем.</t>
  </si>
  <si>
    <t>Зачистные работы (шлифовальные)</t>
  </si>
  <si>
    <t>Регулярно проводите инструктаж по работе с инструментами. Необходимо использовать разрешение на работу. Необходимо использовать соответствующие СИЗ, в том числе защитные наушники и очки. Оборудование должно быть проверено перед использованием. Оборудование должно обслуживаться как минимум 2-м инженером в соответствии с требованиями производителя и рекомендациями. Противопожарное оборудование должно быть в наличии, где это необходимо. При необходимости должны быть установлены ограждения. Оборудование должно использоваться только квалифицированным персоналом, имеющим опыт его применения.</t>
  </si>
  <si>
    <t xml:space="preserve">Травмы персонала из-за незнания оборудования / неисправного оборудования / неправильного использования / несоблюдения процедур. Повреждение используемого оборудования. Травма с потерей времени. Не исключена более серьезная травма. Повреждение оборудования, требующего 
ремонта, который не является срочным. </t>
  </si>
  <si>
    <r>
      <rPr>
        <b/>
        <sz val="12"/>
        <rFont val="Arial"/>
        <family val="2"/>
        <charset val="204"/>
      </rPr>
      <t>Сварочные работы на палубе или в МО</t>
    </r>
    <r>
      <rPr>
        <b/>
        <sz val="12"/>
        <rFont val="Verdana"/>
        <family val="2"/>
        <charset val="204"/>
      </rPr>
      <t xml:space="preserve"> </t>
    </r>
  </si>
  <si>
    <t>Травмы персонала из-за несоблюдения процедур / несоблюдения мер предосторожности / неопытности персонала / неисправности оборудования.  Ущерб окружающей среде из-за потери герметичности в результате взрыва / утечки. Повреждение оборудования / судна в результате взрыва / неправильного использования оборудования. Травма с потерей времени. Не исключены более серьезные травмы. Воздействие на окружающую среду в море / воде из-за потери герметичности в результате взрыва. Повреждение оборудования. Нельзя сбрасывать со счетов и серьезные повреждения судна.</t>
  </si>
  <si>
    <t xml:space="preserve">Перед началом работы должен быть проведен инструктаж по работе с инструментами. Необходимо использовать разрешение на работу. Персонал должен использовать соответствующие СИЗ, включая защитные очки, каски и фартуки. Оборудование должно быть проверено перед использованием. К работе с оборудованием должен допускаться только квалифицированный и опытный персонал. Соблюдайте инструкции по сварочным работам. Противопожарное оборудование и персонал должны быть на месте, в готовности. Прилегающие зоны должны быть свободны от газа и проверены на отсутствие воспламеняющихся материалов. Перед началом работ должны быть проверены противопожарные средства. Перед началом работ должен быть заполнен контрольный чек-лист сварочных работ. </t>
  </si>
  <si>
    <t>Работа с палубными механизмами, включая лебедки и шпили</t>
  </si>
  <si>
    <t>Необходимо использовать соответствующие СИЗ, включая каску, защитную обувь, защитные очки, перчатки и т. д. Оборудование должно обслуживаться в соответствии с инструкциями производителей. Рабочая зона должна быть хорошо освещена в любое время. Должна быть обеспечена четкая связь либо с помощью ручных сигналов, либо по радио. К работе с оборудованием допускается только опытный квалифицированный персонал. Оборудование должно эксплуатироваться в соответствии с рекомендациями производителя. Должны проводиться инструктажи по работе с инструментами. Для конкретных видов работ должны быть разработаны ППР.</t>
  </si>
  <si>
    <t>Травмы персонала из-за неправильного использования / неисправности оборудования. Ущерб окружающей среде из-за неисправности оборудования / протечки. Повреждение оборудования из-за неправильного использования / неопытного персонала. Травмы с потерей рабочего времени. Возможны постоянные травмы, летальный исход не учитывается. Воздействие на окружающую среду в море/водоемах считается минимальным. Протечки должны быть локализованы на судне. Повреждение оборудования, что может привести к задержке операций и воздействию на порт.</t>
  </si>
  <si>
    <t>Основные работы в плохую погоду</t>
  </si>
  <si>
    <t>Травмы персонала при неожиданном движении судна / падениях и падениях / столкновениях с движущимися предметами.  Ущерб окружающей среде в результате разлива масел/химикатов из-за движения судна. Повреждение оборудования из-за движения судна и незакрепленных предметов. Травмы с потерей рабочего времени. Постоянная нетрудоспособность не может быть исключена. Разлив нефти &lt; 1 барреля. Воздействие на окружающую среду ограничено.</t>
  </si>
  <si>
    <t xml:space="preserve">Необходимо установить погодные параметры для безопасной работы в море. Необходимо регулярно получать прогнозы погоды. Оборудование палубы и машинного отделения должно быть закреплено для предотвращения движения в море. Персонал должен использовать соответствующие СИЗ, каски, защитные ботинки, перчатки, защитные очки, комбинезоны и спасательные жилеты. Капитан и, по возможности, персонал не должны выходить на палубу в плохую погоду. Инженер. Если им необходимо выйти на палубу, они должны использовать спасательный жилет и сообщить об этом другому члену экипажа. Люки и водонепроницаемые двери/вентиляционные отверстия на главной палубе должны быть закрыты в плохую погоду. Необходимо регулярно проводить инструктаж по работе в плохую погоду. </t>
  </si>
  <si>
    <t>Работа с палубным краном</t>
  </si>
  <si>
    <t>Травмы персонала или другие повреждения в результате удара падающим/движущимся предметом/расходящимся проводом и т.д. Ущерб окружающей среде в результате разрыва гидравлического шланга или повреждения/попадания оборудования в воду. Повреждение оборудования компании и/или третьих лиц или крана в результате неправильного использования. Травма с потерей рабочего времени. Разлив нефти &lt; 1 барреля с ограниченным воздействием на окружающую среду. Повреждение крана, требующее ремонта, или оборудования, требующего замены.</t>
  </si>
  <si>
    <t xml:space="preserve">Управлять краном должен квалифицированный специалист. Кран и вспомогательное оборудование должны быть проверены перед использованием. Для крана и оборудования должен быть разработан/используется график планового технического обслуживания. Работой должен руководить один человек. Должны использоваться согласованные сигналы руками. При необходимости должна использоваться радиосвязь. Персонал должен использовать каски, защитные ботинки, защитные очки и другие соответствующие СИЗ. На палубу должен допускаться только необходимый персонал. Оборудование для ликвидации разливов должно быть в свободном доступе. Должны быть проведены беседы по теме. 
На стреле крана должны быть четко обозначены SWL и другие соответствующие данные. Выключатель крана должен работать. Необходимо регулярно проводить инструктаж по безопасному использованию крана. При необходимости должны быть разработаны планы подъема. </t>
  </si>
  <si>
    <t xml:space="preserve">Основные работы в жаркую/холодную/ ветреную/снежную/дождевую погоду </t>
  </si>
  <si>
    <t>Травмы персонала из-за теплового истощения и поскальзывания/похода по скользким (мокрым/обледенелым) поверхностям. Образование наледи на оборудовании.</t>
  </si>
  <si>
    <t>Необходимо регулярно проводить инструктаж по работе в плохую погоду. Система планового технического обслуживания должна быть внедрена и хорошо выполняться. Должны быть установлены погодные параметры для безопасной работы в море. Одевайтесь правильно в соответствии с погодой. Держите себя как можно более в сухой одежде. Ограничьте время пребывания на улице, регулярно меняйте персонал. Персонал должен использовать соответствующие СИЗ, каски, защитные ботинки, перчатки, защитные очки, комбинезоны и спасательные жилеты. Будьте внимательны к условиям. Хорошее освещение. Четкая связь между всеми участниками. Храните канаты в теплых и закрытых помещениях, когда они не используются. Используйте песок или другую смесь на покрытой льдом палубе. Используйте деревянные инструменты для удаления льда с крышек и лебедок.</t>
  </si>
  <si>
    <t>Ручное управление.</t>
  </si>
  <si>
    <t xml:space="preserve"> Необходимо использовать соответствующие СИЗ, в том числе каски, защитные очки, защитную обувь, рабочие перчатки и комбинезоны. По всей территории должны быть размещены знаки безопасности, указывающие на безопасный метод / позу для персонала при подъеме грузов.  Необходимо проводить разъяснительные беседы о правильном методе подъема. Персонал должен знать вес поднимаемого предмета. Механические приспособления должны использоваться по мере возможности. Тара должна быть надежной / иметь подходящую конструкцию. </t>
  </si>
  <si>
    <t xml:space="preserve">Травмы персонала из-за неправильной позы / падения предмета / чрезмерного веса. Ущерб окружающей среде из-за поломки упавшего предмета / протекания. Повреждение оборудования в результате падения. Травма с потерей рабочего времени. Постоянная нетрудоспособность не может быть исключена. Воздействие на окружающую среду в море/водоемах считается минимальным. Утечка должна быть локализована на судне. Повреждение оборудования может привести к задержке операций и воздействию на порт. </t>
  </si>
  <si>
    <t>Маневрирование буксира</t>
  </si>
  <si>
    <t xml:space="preserve">Техническая неисправность рулевого управления или пропульсивной системы судна. Изменение погоды, шквал.  Расслабленность из-за рутины. Телесные повреждения членов экипажа на палубе. Контакт движителя с другими подводными объектами. Требуется медицинская помощь. Потери рабочего времени нельзя сбрасывать со счетов. Разлив нефти &lt; 100 баррелей. Локальное воздействие на окружающую среду, которое может быть локализовано с помощью ресурсов на месте. Повреждение буксира и судна, требующее вывода его из эксплуатации. </t>
  </si>
  <si>
    <t>Система планового технического обслуживания действует и хорошо выполняется. Осмотр машинного отделения перед началом работы. Дальнейшее обучение экипажа машинного отделения. Спаренная силовая установка. Частые тренировки по аварийному маневрированию. Проверять наличие плавучих объектов при маневрировании. Проверка водонепроницаемости. Обсуждение возможности составления чек-листа для контроля перед выходом в рейс. Регулярные медицинские осмотры. Соблюдение юридических требований к отдыху. Соблюдение политики в отношении алкоголя и наркотиков (тестирование на алкоголь и наркотики). Установить открытые переговорные устройства. Оценка рисков перед началом работы Должны быть разработаны аварийные процедуры на случай отказа силовой установки и/или рулевого управления. Необходимо нанять квалифицированный и опытный персонал и регулярно проводить оценку его квалификации. Должны быть установлены погодные параметры для безопасной работы в море. Получите прогноз погоды до начала работ. Следите за погодными условиями. Персонал должен использовать соответствующие СИЗ, каски, защитные ботинки, перчатки, защитные очки, комбинезоны и спасательные жилеты. Необходимо регулярно проводить беседы о работе в плохую погоду. Четкая коммуникация между всеми участниками процесса</t>
  </si>
  <si>
    <t>Работа при ограниченной видимости</t>
  </si>
  <si>
    <t>Травмы персонала в результате столкновения с другим судном или объектом.  Ущерб окружающей среде из-за просачивания нефтепродуктов с судна. Повреждение имущества в результате столкновения, посадки на мель или контакта с частями причала. Потеря рабочего времени. Не исключен летальный исход. Разлив нефти &lt; 100 баррелей с локальным воздействием на окружающую среду, но не требующий внешней помощи. Повреждение судна или буксира, требующее вывода его из эксплуатации.</t>
  </si>
  <si>
    <t>Во время нахождения судна в море необходимо нести вахту на мостике. В условиях ограниченной видимости необходимо выставить дополнительног впередсмотрящего. Судно должно маневрировать со скоростью, соответствующей видимости. Навигационные средства должны быть исправны и использоваться, например, радар, эхолот, поисковые огни. Должен быть разработан и использоваться план перехода. Необходимо поддерживать связь с диспетчером СУДС. Персонал, не участвующий в навигации судна, не должен находиться на мостике. При ограниченной видимости необходимо иметь постоянные приказы капитана. Убедитесь, что используются правильные дневные и ночные сигналы. Должна быть обеспечена связь со всеми заинтересованными сторонами.</t>
  </si>
  <si>
    <t xml:space="preserve"> АСОР подлежит проверке в конце каждой смены с целью определения дополнительных / других опасностей. Анализ степени опасности работ подлежит обсуждению на инструктаже в начале каждой смены как минимум.</t>
  </si>
  <si>
    <t xml:space="preserve">ПРИМЕЧАНИЕ: Если вы вставите строки сверху, колонка «Исходный риск» не окрасится в цвет автоматически. См. вкладку «Матрица оценки риска» и добавьте соответствующий цвет вручную. </t>
  </si>
  <si>
    <t>Учетная документация по инструктажам на рабочем месте</t>
  </si>
  <si>
    <r>
      <rPr>
        <b/>
        <sz val="10"/>
        <color rgb="FF000000"/>
        <rFont val="Arial"/>
        <family val="2"/>
        <charset val="204"/>
      </rPr>
      <t xml:space="preserve">В рамках процедур ООО БОЛЛАРД по предварительному планированию работ, </t>
    </r>
    <r>
      <rPr>
        <b/>
        <i/>
        <sz val="10"/>
        <color rgb="FF000000"/>
        <rFont val="Arial"/>
        <family val="2"/>
        <charset val="204"/>
      </rPr>
      <t>необходимо</t>
    </r>
    <r>
      <rPr>
        <b/>
        <sz val="10"/>
        <color rgb="FF000000"/>
        <rFont val="Arial"/>
        <family val="2"/>
        <charset val="204"/>
      </rPr>
      <t xml:space="preserve"> провести задокументированный инструктаж на рабочем месте. Все рабочие, участвующие в выполнении работ, должны присутствовать на инструктаже на рабочем месте. После инструктажа </t>
    </r>
    <r>
      <rPr>
        <b/>
        <i/>
        <sz val="10"/>
        <color rgb="FF000000"/>
        <rFont val="Arial"/>
        <family val="2"/>
        <charset val="204"/>
      </rPr>
      <t>следует</t>
    </r>
    <r>
      <rPr>
        <b/>
        <sz val="10"/>
        <color rgb="FF000000"/>
        <rFont val="Arial"/>
        <family val="2"/>
        <charset val="204"/>
      </rPr>
      <t xml:space="preserve"> передать Журнал инструктажа на рабочем месте вахтенному офицеру на мостике или в машинном отделении в зависимости от обстоятельств для внесения записи о проведенном инструктаже. </t>
    </r>
  </si>
  <si>
    <t>Использование подготовленного АСОР как основы для инструктажа на рабочем месте.</t>
  </si>
  <si>
    <t>Обсуждение всех выполняемых этапов работ.</t>
  </si>
  <si>
    <t>Полный обзор и обсуждение составленного АСОР с особым вниманием на выявленные опасности и методы их контроля / устранения.</t>
  </si>
  <si>
    <t>Подробное информирование о потенциально опасных факторах по каждому этапу работ;</t>
  </si>
  <si>
    <t>* Проследите, чтобы все выявленные дополнительные опасные факторы прошли оценку, сведены к минимуму и были отмечены в разделе ниже.</t>
  </si>
  <si>
    <t>Назначение обязанностей каждого работника в составе рабочего персонала.</t>
  </si>
  <si>
    <t>Обеспечение осмотра всех требуемых инструментов перед использованием, а также их надежного, исправного и рабочего состояния.</t>
  </si>
  <si>
    <t>Контроль ознакомления всеми членами рабочей группы с используемыми инструментами или оборудованием, а также соответствующих знаний и умений лица, назначенного для работы с инструментом или оборудованием.</t>
  </si>
  <si>
    <t>Учет эргономических факторов при использовании инструментов или других действий, которые могут потребовать повторяемых движений в течение длительного времени. Инструктирование персонала относительно смены руки, смены положения тела, необходимости регулярных перерывов, а также принятие мер по замене персонала, если потребуется при выполнении такого рода работ.</t>
  </si>
  <si>
    <t>Обеспечение наличия и использования соответствующих исправных СИЗ.</t>
  </si>
  <si>
    <t>Проверка исправности аппаратуры связи, методы связи согласованы и опробованы.</t>
  </si>
  <si>
    <t>Обеспечение понимания всеми периметра участка работ, установки достаточных предупреждающих знаков, а также наличия копии наряда-допуска и АСОР при входе на рабочую площадку.</t>
  </si>
  <si>
    <t>Организация осмотра, уборки и освобождения рабочих зон в зависимости от обстоятельств.</t>
  </si>
  <si>
    <t>Настойчивая рекомендация в отношении полномочий и обязанности каждого работника по «остановке работ» при обнаружении условия, небезопасного для персонала, оборудования, или которое может привести к загрязнению.</t>
  </si>
  <si>
    <t>После выполнения всего вышеизложенного проверьте еще раз имеются ли у кого-либо сомнения, вопросы или другие требования.                                                                                                                                                                                                 Если нет, внесите запись в журнал на мостике/в машинном отделении и приступайте к производству работ.</t>
  </si>
  <si>
    <t>* Руководитель работ несет ответственность за оценку дополнительных рисков в нижеследующих ячейках по каждому этапу, которые могут иметься в результате условий на месте, таких как погодные условия, волнение моря или тип судна.</t>
  </si>
  <si>
    <t>Я присутствовал в течение всего инструктажа на рабочем месте. Проставляя свою подпись, я заявляю, что понимаю опасные факторы, предъявляемые ко мне требования, и подтверждаю свою соответствующую квалификацию и опыт для выполнения данных работ.</t>
  </si>
  <si>
    <t>ФИО Руководителя работ</t>
  </si>
  <si>
    <t>Дата инструктажа на рабочем месте</t>
  </si>
  <si>
    <t>Обзор АСОР после выполнения работ</t>
  </si>
  <si>
    <t>Отметьте что-либо в отношении данного АСОР, что может быть оптимизировано, например, конкретные этапы работ или дополнительные риски, которые следует включить как постоянные.</t>
  </si>
  <si>
    <t>Руководитель работ должен приобщить к документации составленный и проверенный АСОР.</t>
  </si>
  <si>
    <t>МАТРИЦА ОЦЕНКИ РИСКОВ</t>
  </si>
  <si>
    <t>ФАЙЛ 09</t>
  </si>
  <si>
    <t>Последствия</t>
  </si>
  <si>
    <t>Возрастающая вероятность</t>
  </si>
  <si>
    <t>Люди</t>
  </si>
  <si>
    <t>Окружающая среда</t>
  </si>
  <si>
    <t>Имущество</t>
  </si>
  <si>
    <t>Репутация</t>
  </si>
  <si>
    <t>График</t>
  </si>
  <si>
    <t>Нет сведений о подобном в сфере морских судов обеспечения (ни на берегу, ни в плавании)</t>
  </si>
  <si>
    <t>Редкие сведения в сфере морских судов обеспечения (на берегу или в плавании)</t>
  </si>
  <si>
    <t xml:space="preserve"> Происходило в Компании в прошлом году или более одного раза в год в сфере морских судов обеспечения (на берегу или в плавании)</t>
  </si>
  <si>
    <t xml:space="preserve"> Возможно</t>
  </si>
  <si>
    <t xml:space="preserve"> Маловероятно</t>
  </si>
  <si>
    <t xml:space="preserve"> Крайне маловероятно</t>
  </si>
  <si>
    <t>Травмы с оказанием доврачебной помощи</t>
  </si>
  <si>
    <t xml:space="preserve"> Незначительное воздействие</t>
  </si>
  <si>
    <t xml:space="preserve"> Незначительное повреждение 
&lt; 500€ / евро</t>
  </si>
  <si>
    <t xml:space="preserve"> Незначительное негативное воздействие</t>
  </si>
  <si>
    <t xml:space="preserve"> Задержка 1 час</t>
  </si>
  <si>
    <t xml:space="preserve"> Медицинская помощь, травма с ограничением рабочих функций</t>
  </si>
  <si>
    <t xml:space="preserve"> Несущественное воздействие 
&lt; 10 литров</t>
  </si>
  <si>
    <t xml:space="preserve"> Несущественное повреждение 
&lt; 5000€ / евро</t>
  </si>
  <si>
    <t xml:space="preserve"> Несущественное негативное воздействие</t>
  </si>
  <si>
    <t xml:space="preserve"> Задержка 1–12 часов</t>
  </si>
  <si>
    <t>Травма, ведущая к потере трудоспособности или к частичной нетрудоспособности</t>
  </si>
  <si>
    <t>Умеренное воздействие
10  литров - 1  баррель</t>
  </si>
  <si>
    <t>Умеренное повреждение 
&lt;50.000€ / евро</t>
  </si>
  <si>
    <t xml:space="preserve"> Умеренное негативное воздействие</t>
  </si>
  <si>
    <t>12-48 Задержка 12–48 часов</t>
  </si>
  <si>
    <t>Постоянная утрата трудоспособности или летальный исход</t>
  </si>
  <si>
    <t xml:space="preserve"> Значительное воздействие
1-10  баррелей</t>
  </si>
  <si>
    <t xml:space="preserve"> Значительное повреждение 
&lt;500.000€ / евро</t>
  </si>
  <si>
    <t xml:space="preserve"> Значительное негативное воздействие</t>
  </si>
  <si>
    <t>Задержка 48 часов – 7 дней</t>
  </si>
  <si>
    <t>Более 1 смертельного случая</t>
  </si>
  <si>
    <t xml:space="preserve"> Сильное воздействие
&gt; 10 баррелей</t>
  </si>
  <si>
    <t>Обширное повреждение
&gt; 500.000€ / евро</t>
  </si>
  <si>
    <t>Сильное негативное воздействие</t>
  </si>
  <si>
    <t>Задержка более 7 дней</t>
  </si>
  <si>
    <r>
      <rPr>
        <i/>
        <sz val="10"/>
        <color rgb="FF000000"/>
        <rFont val="Arial"/>
        <family val="2"/>
        <charset val="204"/>
      </rPr>
      <t>Необходимо</t>
    </r>
    <r>
      <rPr>
        <sz val="10"/>
        <color rgb="FF000000"/>
        <rFont val="Arial"/>
        <family val="2"/>
        <charset val="204"/>
      </rPr>
      <t xml:space="preserve"> проверить следующие пункты:</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</si>
</sst>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6" x14ac:knownFonts="1">
    <font>
      <sz val="10"/>
      <name val="Arial"/>
    </font>
    <font>
      <sz val="14"/>
      <name val="Arial"/>
      <family val="2"/>
    </font>
    <font>
      <b/>
      <i/>
      <sz val="12"/>
      <name val="Arial"/>
      <family val="2"/>
    </font>
    <font>
      <sz val="12"/>
      <name val="Arial"/>
      <family val="2"/>
    </font>
    <font>
      <sz val="10"/>
      <name val="Arial"/>
      <family val="2"/>
    </font>
    <font>
      <b/>
      <sz val="10"/>
      <name val="Arial"/>
      <family val="2"/>
    </font>
    <font>
      <sz val="10"/>
      <name val="Arial"/>
      <family val="2"/>
    </font>
    <font>
      <b/>
      <sz val="12"/>
      <name val="Arial"/>
      <family val="2"/>
    </font>
    <font>
      <b/>
      <sz val="10"/>
      <color indexed="8"/>
      <name val="Arial"/>
      <family val="2"/>
    </font>
    <font>
      <b/>
      <sz val="14"/>
      <name val="Arial"/>
      <family val="2"/>
    </font>
    <font>
      <sz val="14"/>
      <color indexed="62"/>
      <name val="Arial Black"/>
      <family val="2"/>
    </font>
    <font>
      <sz val="9"/>
      <color indexed="18"/>
      <name val="Arial"/>
      <family val="2"/>
    </font>
    <font>
      <b/>
      <sz val="16"/>
      <name val="Arial"/>
      <family val="2"/>
    </font>
    <font>
      <b/>
      <sz val="11"/>
      <name val="Arial"/>
      <family val="2"/>
    </font>
    <font>
      <sz val="12"/>
      <name val="Arial"/>
      <family val="2"/>
    </font>
    <font>
      <b/>
      <sz val="18"/>
      <name val="Arial"/>
      <family val="2"/>
    </font>
    <font>
      <sz val="8"/>
      <name val="Arial"/>
      <family val="2"/>
    </font>
    <font>
      <b/>
      <sz val="8.5"/>
      <name val="Arial"/>
      <family val="2"/>
    </font>
    <font>
      <b/>
      <sz val="10.5"/>
      <name val="Arial"/>
      <family val="2"/>
    </font>
    <font>
      <b/>
      <u/>
      <sz val="8"/>
      <name val="Arial"/>
      <family val="2"/>
    </font>
    <font>
      <sz val="8.5"/>
      <name val="Arial"/>
      <family val="2"/>
    </font>
    <font>
      <b/>
      <i/>
      <sz val="8.5"/>
      <name val="Arial"/>
      <family val="2"/>
    </font>
    <font>
      <sz val="10"/>
      <color theme="0"/>
      <name val="Arial"/>
      <family val="2"/>
    </font>
    <font>
      <b/>
      <sz val="10"/>
      <color theme="0"/>
      <name val="Arial"/>
      <family val="2"/>
    </font>
    <font>
      <b/>
      <sz val="18"/>
      <color rgb="FFFF0000"/>
      <name val="Arial"/>
      <family val="2"/>
    </font>
    <font>
      <b/>
      <i/>
      <sz val="8.5"/>
      <color rgb="FFFFFFFF"/>
      <name val="Arial"/>
      <family val="2"/>
    </font>
    <font>
      <b/>
      <i/>
      <sz val="8.5"/>
      <color theme="0"/>
      <name val="Arial"/>
      <family val="2"/>
    </font>
    <font>
      <sz val="12"/>
      <color theme="0"/>
      <name val="Arial"/>
      <family val="2"/>
    </font>
    <font>
      <sz val="9"/>
      <color theme="0"/>
      <name val="Arial"/>
      <family val="2"/>
    </font>
    <font>
      <b/>
      <sz val="16"/>
      <color theme="0"/>
      <name val="Arial"/>
      <family val="2"/>
    </font>
    <font>
      <b/>
      <sz val="18"/>
      <color theme="0"/>
      <name val="Arial"/>
      <family val="2"/>
    </font>
    <font>
      <b/>
      <i/>
      <sz val="12"/>
      <color theme="0"/>
      <name val="Arial"/>
      <family val="2"/>
    </font>
    <font>
      <sz val="12"/>
      <name val="Verdana"/>
      <family val="2"/>
    </font>
    <font>
      <b/>
      <i/>
      <sz val="10"/>
      <color rgb="FF000000"/>
      <name val="Arial"/>
      <family val="2"/>
      <charset val="204"/>
    </font>
    <font>
      <b/>
      <sz val="10"/>
      <color rgb="FF000000"/>
      <name val="Arial"/>
      <family val="2"/>
      <charset val="204"/>
    </font>
    <font>
      <sz val="10"/>
      <color rgb="FF000000"/>
      <name val="Arial"/>
      <family val="2"/>
    </font>
    <font>
      <b/>
      <sz val="8.5"/>
      <name val="Arial"/>
      <family val="2"/>
      <charset val="204"/>
    </font>
    <font>
      <b/>
      <sz val="12"/>
      <name val="Arial"/>
      <family val="2"/>
      <charset val="204"/>
    </font>
    <font>
      <b/>
      <sz val="10"/>
      <name val="Arial"/>
      <family val="2"/>
      <charset val="204"/>
    </font>
    <font>
      <b/>
      <sz val="12"/>
      <name val="Verdana"/>
      <family val="2"/>
      <charset val="204"/>
    </font>
    <font>
      <sz val="8"/>
      <color rgb="FF006666"/>
      <name val="Arial Black"/>
      <family val="2"/>
      <charset val="204"/>
    </font>
    <font>
      <sz val="8"/>
      <color rgb="FF333399"/>
      <name val="Arial Black"/>
      <family val="2"/>
      <charset val="204"/>
    </font>
    <font>
      <sz val="11"/>
      <color theme="0"/>
      <name val="Arial"/>
      <family val="2"/>
      <charset val="204"/>
    </font>
    <font>
      <sz val="10"/>
      <color rgb="FF000000"/>
      <name val="Arial"/>
      <family val="2"/>
      <charset val="204"/>
    </font>
    <font>
      <i/>
      <sz val="10"/>
      <color rgb="FF000000"/>
      <name val="Arial"/>
      <family val="2"/>
      <charset val="204"/>
    </font>
    <font>
      <sz val="10"/>
      <color indexed="8"/>
      <name val="Arial"/>
      <family val="2"/>
      <charset val="204"/>
    </font>
  </fonts>
  <fills count="9">
    <fill>
      <patternFill patternType="none"/>
    </fill>
    <fill>
      <patternFill patternType="gray125"/>
    </fill>
    <fill>
      <patternFill patternType="solid">
        <fgColor theme="0"/>
        <bgColor indexed="64"/>
      </patternFill>
    </fill>
    <fill>
      <patternFill patternType="solid">
        <fgColor rgb="FFD9D9D9"/>
        <bgColor indexed="64"/>
      </patternFill>
    </fill>
    <fill>
      <patternFill patternType="solid">
        <fgColor rgb="FF00B050"/>
        <bgColor indexed="64"/>
      </patternFill>
    </fill>
    <fill>
      <patternFill patternType="solid">
        <fgColor rgb="FFFFFF00"/>
        <bgColor indexed="64"/>
      </patternFill>
    </fill>
    <fill>
      <patternFill patternType="solid">
        <fgColor rgb="FFC00000"/>
        <bgColor indexed="64"/>
      </patternFill>
    </fill>
    <fill>
      <patternFill patternType="solid">
        <fgColor rgb="FFBFBFBF"/>
        <bgColor indexed="64"/>
      </patternFill>
    </fill>
    <fill>
      <patternFill patternType="solid">
        <fgColor rgb="FF0000FF"/>
        <bgColor indexed="64"/>
      </patternFill>
    </fill>
  </fills>
  <borders count="41">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bottom/>
      <diagonal/>
    </border>
    <border>
      <left/>
      <right style="thin">
        <color indexed="64"/>
      </right>
      <top/>
      <bottom/>
      <diagonal/>
    </border>
    <border>
      <left style="medium">
        <color indexed="64"/>
      </left>
      <right/>
      <top style="medium">
        <color indexed="64"/>
      </top>
      <bottom/>
      <diagonal/>
    </border>
    <border>
      <left/>
      <right style="thin">
        <color indexed="64"/>
      </right>
      <top style="thin">
        <color indexed="64"/>
      </top>
      <bottom style="medium">
        <color indexed="64"/>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s>
  <cellStyleXfs count="1">
    <xf numFmtId="0" fontId="0" fillId="0" borderId="0"/>
  </cellStyleXfs>
  <cellXfs count="220">
    <xf numFmtId="0" fontId="0" fillId="0" borderId="0" xfId="0"/>
    <xf numFmtId="0" fontId="11" fillId="2" borderId="0" xfId="0" applyFont="1" applyFill="1"/>
    <xf numFmtId="0" fontId="15" fillId="2" borderId="0" xfId="0" applyFont="1" applyFill="1" applyBorder="1" applyAlignment="1">
      <alignment horizontal="right" vertical="center"/>
    </xf>
    <xf numFmtId="0" fontId="0" fillId="2" borderId="0" xfId="0" applyFill="1" applyAlignment="1">
      <alignment vertical="center" wrapText="1"/>
    </xf>
    <xf numFmtId="0" fontId="14" fillId="2" borderId="0" xfId="0" applyFont="1" applyFill="1" applyBorder="1" applyAlignment="1">
      <alignment vertical="center"/>
    </xf>
    <xf numFmtId="0" fontId="1" fillId="2" borderId="0" xfId="0" applyFont="1" applyFill="1" applyBorder="1" applyAlignment="1" applyProtection="1">
      <alignment horizontal="right" vertical="center"/>
    </xf>
    <xf numFmtId="0" fontId="0" fillId="2" borderId="1" xfId="0" applyFill="1" applyBorder="1" applyAlignment="1" applyProtection="1">
      <alignment horizontal="left" vertical="center" wrapText="1"/>
      <protection locked="0"/>
    </xf>
    <xf numFmtId="0" fontId="4" fillId="2" borderId="0" xfId="0" applyFont="1" applyFill="1" applyAlignment="1">
      <alignment vertical="center" wrapText="1"/>
    </xf>
    <xf numFmtId="0" fontId="0" fillId="2" borderId="0" xfId="0" applyFill="1" applyAlignment="1">
      <alignment horizontal="left" vertical="center" wrapText="1"/>
    </xf>
    <xf numFmtId="0" fontId="0" fillId="2" borderId="0" xfId="0" applyFill="1" applyAlignment="1">
      <alignment horizontal="center" vertical="center" wrapText="1"/>
    </xf>
    <xf numFmtId="14" fontId="4" fillId="2" borderId="1" xfId="0" applyNumberFormat="1" applyFont="1" applyFill="1" applyBorder="1" applyAlignment="1" applyProtection="1">
      <alignment horizontal="left" vertical="center" wrapText="1"/>
      <protection locked="0"/>
    </xf>
    <xf numFmtId="0" fontId="4" fillId="2" borderId="0" xfId="0" applyFont="1" applyFill="1" applyAlignment="1">
      <alignment wrapText="1"/>
    </xf>
    <xf numFmtId="0" fontId="7" fillId="2" borderId="0" xfId="0" applyFont="1" applyFill="1" applyAlignment="1">
      <alignment vertical="center" wrapText="1"/>
    </xf>
    <xf numFmtId="0" fontId="3" fillId="2" borderId="1" xfId="0" applyFont="1" applyFill="1" applyBorder="1" applyAlignment="1" applyProtection="1">
      <alignment horizontal="center" vertical="center" wrapText="1"/>
      <protection locked="0"/>
    </xf>
    <xf numFmtId="0" fontId="4" fillId="2" borderId="1" xfId="0" applyFont="1" applyFill="1" applyBorder="1" applyAlignment="1">
      <alignment vertical="center" wrapText="1"/>
    </xf>
    <xf numFmtId="0" fontId="0" fillId="2" borderId="1" xfId="0" applyFill="1" applyBorder="1" applyAlignment="1">
      <alignment vertical="center" wrapText="1"/>
    </xf>
    <xf numFmtId="0" fontId="4" fillId="2" borderId="0" xfId="0" applyFont="1" applyFill="1" applyAlignment="1">
      <alignment horizontal="left" vertical="center" wrapText="1"/>
    </xf>
    <xf numFmtId="0" fontId="4" fillId="2" borderId="0" xfId="0" applyFont="1" applyFill="1" applyAlignment="1">
      <alignment horizontal="center" vertical="center" wrapText="1"/>
    </xf>
    <xf numFmtId="0" fontId="4" fillId="2" borderId="4" xfId="0" applyFont="1" applyFill="1" applyBorder="1" applyAlignment="1">
      <alignment vertical="center" wrapText="1"/>
    </xf>
    <xf numFmtId="1" fontId="0" fillId="2" borderId="1" xfId="0" applyNumberFormat="1" applyFill="1" applyBorder="1" applyAlignment="1">
      <alignment vertical="center" wrapText="1"/>
    </xf>
    <xf numFmtId="1" fontId="3" fillId="2" borderId="1" xfId="0" applyNumberFormat="1" applyFont="1" applyFill="1" applyBorder="1" applyAlignment="1" applyProtection="1">
      <alignment horizontal="center" vertical="center" wrapText="1"/>
      <protection locked="0"/>
    </xf>
    <xf numFmtId="0" fontId="18" fillId="3" borderId="5" xfId="0" applyFont="1" applyFill="1" applyBorder="1" applyAlignment="1">
      <alignment horizontal="justify" vertical="top" wrapText="1"/>
    </xf>
    <xf numFmtId="0" fontId="0" fillId="2" borderId="0" xfId="0" applyFill="1"/>
    <xf numFmtId="0" fontId="16" fillId="0" borderId="6" xfId="0" applyFont="1" applyBorder="1" applyAlignment="1">
      <alignment horizontal="center" vertical="top" wrapText="1"/>
    </xf>
    <xf numFmtId="0" fontId="20" fillId="0" borderId="1" xfId="0" applyFont="1" applyBorder="1" applyAlignment="1">
      <alignment horizontal="center" vertical="center" wrapText="1"/>
    </xf>
    <xf numFmtId="0" fontId="20" fillId="0" borderId="7" xfId="0" applyFont="1" applyBorder="1" applyAlignment="1">
      <alignment horizontal="center" vertical="center" wrapText="1"/>
    </xf>
    <xf numFmtId="0" fontId="25" fillId="2" borderId="0" xfId="0" applyFont="1" applyFill="1" applyBorder="1" applyAlignment="1">
      <alignment horizontal="center" vertical="center" wrapText="1"/>
    </xf>
    <xf numFmtId="0" fontId="21" fillId="2" borderId="0" xfId="0" applyFont="1" applyFill="1" applyBorder="1" applyAlignment="1">
      <alignment horizontal="center" vertical="center" wrapText="1"/>
    </xf>
    <xf numFmtId="0" fontId="20" fillId="0" borderId="8" xfId="0" applyFont="1" applyBorder="1" applyAlignment="1">
      <alignment horizontal="center" vertical="center" wrapText="1"/>
    </xf>
    <xf numFmtId="0" fontId="20" fillId="0" borderId="9" xfId="0" applyFont="1" applyBorder="1" applyAlignment="1">
      <alignment horizontal="center" vertical="center" wrapText="1"/>
    </xf>
    <xf numFmtId="0" fontId="25" fillId="4" borderId="10" xfId="0" applyFont="1" applyFill="1" applyBorder="1" applyAlignment="1">
      <alignment horizontal="center" vertical="center" wrapText="1"/>
    </xf>
    <xf numFmtId="0" fontId="25" fillId="4" borderId="11" xfId="0" applyFont="1" applyFill="1" applyBorder="1" applyAlignment="1">
      <alignment horizontal="center" vertical="center" wrapText="1"/>
    </xf>
    <xf numFmtId="0" fontId="21" fillId="5" borderId="12" xfId="0" applyFont="1" applyFill="1" applyBorder="1" applyAlignment="1">
      <alignment horizontal="center" vertical="center" wrapText="1"/>
    </xf>
    <xf numFmtId="0" fontId="25" fillId="4" borderId="2" xfId="0" applyFont="1" applyFill="1" applyBorder="1" applyAlignment="1">
      <alignment horizontal="center" vertical="center" wrapText="1"/>
    </xf>
    <xf numFmtId="0" fontId="25" fillId="4" borderId="1" xfId="0" applyFont="1" applyFill="1" applyBorder="1" applyAlignment="1">
      <alignment horizontal="center" vertical="center" wrapText="1"/>
    </xf>
    <xf numFmtId="0" fontId="21" fillId="5" borderId="1" xfId="0" applyFont="1" applyFill="1" applyBorder="1" applyAlignment="1">
      <alignment horizontal="center" vertical="center" wrapText="1"/>
    </xf>
    <xf numFmtId="0" fontId="21" fillId="5" borderId="3" xfId="0" applyFont="1" applyFill="1" applyBorder="1" applyAlignment="1">
      <alignment horizontal="center" vertical="center" wrapText="1"/>
    </xf>
    <xf numFmtId="0" fontId="21" fillId="5" borderId="7" xfId="0" applyFont="1" applyFill="1" applyBorder="1" applyAlignment="1">
      <alignment horizontal="center" vertical="center" wrapText="1"/>
    </xf>
    <xf numFmtId="0" fontId="20" fillId="0" borderId="13" xfId="0" applyFont="1" applyBorder="1" applyAlignment="1">
      <alignment horizontal="center" vertical="center" wrapText="1"/>
    </xf>
    <xf numFmtId="0" fontId="20" fillId="0" borderId="14" xfId="0" applyFont="1" applyBorder="1" applyAlignment="1">
      <alignment horizontal="center" vertical="center" wrapText="1"/>
    </xf>
    <xf numFmtId="0" fontId="26" fillId="4" borderId="11" xfId="0" applyFont="1" applyFill="1" applyBorder="1" applyAlignment="1">
      <alignment horizontal="center" vertical="center" wrapText="1"/>
    </xf>
    <xf numFmtId="0" fontId="26" fillId="6" borderId="3" xfId="0" applyFont="1" applyFill="1" applyBorder="1" applyAlignment="1">
      <alignment horizontal="center" vertical="center" wrapText="1"/>
    </xf>
    <xf numFmtId="0" fontId="26" fillId="6" borderId="1" xfId="0" applyFont="1" applyFill="1" applyBorder="1" applyAlignment="1">
      <alignment horizontal="center" vertical="center" wrapText="1"/>
    </xf>
    <xf numFmtId="0" fontId="26" fillId="6" borderId="7" xfId="0" applyFont="1" applyFill="1" applyBorder="1" applyAlignment="1">
      <alignment horizontal="center" vertical="center" wrapText="1"/>
    </xf>
    <xf numFmtId="0" fontId="26" fillId="6" borderId="15" xfId="0" applyFont="1" applyFill="1" applyBorder="1" applyAlignment="1">
      <alignment horizontal="center" vertical="center" wrapText="1"/>
    </xf>
    <xf numFmtId="0" fontId="21" fillId="5" borderId="16" xfId="0" applyFont="1" applyFill="1" applyBorder="1" applyAlignment="1">
      <alignment horizontal="center" vertical="center" wrapText="1"/>
    </xf>
    <xf numFmtId="0" fontId="9" fillId="2" borderId="0" xfId="0" applyFont="1" applyFill="1" applyAlignment="1">
      <alignment horizontal="left" vertical="center"/>
    </xf>
    <xf numFmtId="0" fontId="17" fillId="2" borderId="0" xfId="0" applyFont="1" applyFill="1" applyBorder="1" applyAlignment="1">
      <alignment horizontal="center" wrapText="1"/>
    </xf>
    <xf numFmtId="0" fontId="20" fillId="2" borderId="0" xfId="0" applyFont="1" applyFill="1" applyBorder="1" applyAlignment="1">
      <alignment horizontal="center" vertical="center" wrapText="1"/>
    </xf>
    <xf numFmtId="0" fontId="7" fillId="2" borderId="0" xfId="0" applyFont="1" applyFill="1" applyAlignment="1">
      <alignment horizontal="left" vertical="center"/>
    </xf>
    <xf numFmtId="0" fontId="2" fillId="2" borderId="0" xfId="0" applyFont="1" applyFill="1" applyBorder="1" applyAlignment="1">
      <alignment horizontal="left" vertical="center" indent="1"/>
    </xf>
    <xf numFmtId="0" fontId="0" fillId="2" borderId="0" xfId="0" applyFill="1" applyBorder="1" applyAlignment="1">
      <alignment vertical="center" wrapText="1"/>
    </xf>
    <xf numFmtId="0" fontId="24" fillId="2" borderId="18" xfId="0" applyFont="1" applyFill="1" applyBorder="1" applyAlignment="1">
      <alignment horizontal="center"/>
    </xf>
    <xf numFmtId="0" fontId="24" fillId="2" borderId="19" xfId="0" applyFont="1" applyFill="1" applyBorder="1" applyAlignment="1">
      <alignment horizontal="center"/>
    </xf>
    <xf numFmtId="0" fontId="11" fillId="2" borderId="19" xfId="0" applyFont="1" applyFill="1" applyBorder="1"/>
    <xf numFmtId="0" fontId="11" fillId="2" borderId="21" xfId="0" applyFont="1" applyFill="1" applyBorder="1"/>
    <xf numFmtId="0" fontId="2" fillId="2" borderId="29" xfId="0" applyFont="1" applyFill="1" applyBorder="1" applyAlignment="1">
      <alignment horizontal="left" vertical="center" indent="1"/>
    </xf>
    <xf numFmtId="0" fontId="14" fillId="2" borderId="30" xfId="0" applyFont="1" applyFill="1" applyBorder="1" applyAlignment="1">
      <alignment vertical="center"/>
    </xf>
    <xf numFmtId="0" fontId="0" fillId="2" borderId="30" xfId="0" applyFill="1" applyBorder="1" applyAlignment="1">
      <alignment vertical="center" wrapText="1"/>
    </xf>
    <xf numFmtId="0" fontId="0" fillId="2" borderId="29" xfId="0" applyFill="1" applyBorder="1" applyAlignment="1">
      <alignment vertical="center" wrapText="1"/>
    </xf>
    <xf numFmtId="0" fontId="11" fillId="2" borderId="18" xfId="0" applyFont="1" applyFill="1" applyBorder="1"/>
    <xf numFmtId="0" fontId="0" fillId="2" borderId="21" xfId="0" applyFill="1" applyBorder="1" applyAlignment="1">
      <alignment vertical="center" wrapText="1"/>
    </xf>
    <xf numFmtId="0" fontId="0" fillId="2" borderId="17" xfId="0" applyFill="1" applyBorder="1" applyAlignment="1">
      <alignment vertical="center" wrapText="1"/>
    </xf>
    <xf numFmtId="0" fontId="5" fillId="2" borderId="17" xfId="0" applyFont="1" applyFill="1" applyBorder="1" applyAlignment="1" applyProtection="1">
      <alignment horizontal="centerContinuous" vertical="center" wrapText="1" shrinkToFit="1"/>
      <protection locked="0"/>
    </xf>
    <xf numFmtId="0" fontId="5" fillId="2" borderId="4" xfId="0" applyFont="1" applyFill="1" applyBorder="1" applyAlignment="1" applyProtection="1">
      <alignment horizontal="centerContinuous" vertical="center" wrapText="1" shrinkToFit="1"/>
      <protection locked="0"/>
    </xf>
    <xf numFmtId="0" fontId="3"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2" borderId="29" xfId="0" applyFont="1" applyFill="1" applyBorder="1" applyAlignment="1">
      <alignment wrapText="1"/>
    </xf>
    <xf numFmtId="0" fontId="4" fillId="2" borderId="0" xfId="0" applyFont="1" applyFill="1" applyBorder="1" applyAlignment="1">
      <alignment wrapText="1"/>
    </xf>
    <xf numFmtId="0" fontId="4" fillId="2" borderId="30" xfId="0" applyFont="1" applyFill="1" applyBorder="1" applyAlignment="1">
      <alignment wrapText="1"/>
    </xf>
    <xf numFmtId="0" fontId="30" fillId="8" borderId="19" xfId="0" applyFont="1" applyFill="1" applyBorder="1" applyAlignment="1">
      <alignment horizontal="center"/>
    </xf>
    <xf numFmtId="0" fontId="31" fillId="8" borderId="19" xfId="0" applyFont="1" applyFill="1" applyBorder="1" applyAlignment="1">
      <alignment horizontal="left" vertical="center" indent="1"/>
    </xf>
    <xf numFmtId="0" fontId="27" fillId="8" borderId="19" xfId="0" applyFont="1" applyFill="1" applyBorder="1" applyAlignment="1">
      <alignment vertical="center"/>
    </xf>
    <xf numFmtId="0" fontId="27" fillId="8" borderId="19" xfId="0" applyFont="1" applyFill="1" applyBorder="1" applyAlignment="1">
      <alignment horizontal="left" vertical="center"/>
    </xf>
    <xf numFmtId="0" fontId="27" fillId="8" borderId="21" xfId="0" applyFont="1" applyFill="1" applyBorder="1" applyAlignment="1" applyProtection="1">
      <alignment horizontal="right" vertical="center"/>
    </xf>
    <xf numFmtId="0" fontId="3" fillId="2" borderId="8" xfId="0" applyFont="1" applyFill="1" applyBorder="1" applyAlignment="1">
      <alignment horizontal="center" vertical="center" wrapText="1"/>
    </xf>
    <xf numFmtId="0" fontId="27" fillId="8" borderId="1" xfId="0" applyFont="1" applyFill="1" applyBorder="1" applyAlignment="1">
      <alignment horizontal="center" vertical="center" wrapText="1"/>
    </xf>
    <xf numFmtId="0" fontId="27" fillId="8" borderId="1" xfId="0" applyFont="1" applyFill="1" applyBorder="1" applyAlignment="1">
      <alignment horizontal="center" vertical="center" textRotation="90" wrapText="1"/>
    </xf>
    <xf numFmtId="0" fontId="23" fillId="8" borderId="1" xfId="0" applyFont="1" applyFill="1" applyBorder="1" applyAlignment="1">
      <alignment horizontal="right" vertical="center" wrapText="1"/>
    </xf>
    <xf numFmtId="0" fontId="22" fillId="8" borderId="1" xfId="0" applyFont="1" applyFill="1" applyBorder="1" applyAlignment="1">
      <alignment horizontal="left" vertical="center" wrapText="1"/>
    </xf>
    <xf numFmtId="0" fontId="22" fillId="8" borderId="1" xfId="0" applyFont="1" applyFill="1" applyBorder="1" applyAlignment="1">
      <alignment vertical="center" wrapText="1"/>
    </xf>
    <xf numFmtId="0" fontId="7" fillId="2" borderId="14" xfId="0" applyFont="1" applyFill="1" applyBorder="1" applyAlignment="1">
      <alignment horizontal="left" vertical="center"/>
    </xf>
    <xf numFmtId="0" fontId="7" fillId="2" borderId="22" xfId="0" applyFont="1" applyFill="1" applyBorder="1" applyAlignment="1">
      <alignment horizontal="left" vertical="center"/>
    </xf>
    <xf numFmtId="0" fontId="7" fillId="2" borderId="23" xfId="0" applyFont="1" applyFill="1" applyBorder="1" applyAlignment="1">
      <alignment horizontal="left" vertical="center"/>
    </xf>
    <xf numFmtId="0" fontId="18" fillId="3" borderId="5" xfId="0" applyFont="1" applyFill="1" applyBorder="1" applyAlignment="1">
      <alignment horizontal="center" vertical="center" wrapText="1"/>
    </xf>
    <xf numFmtId="0" fontId="16" fillId="0" borderId="6" xfId="0" applyFont="1" applyBorder="1" applyAlignment="1">
      <alignment horizontal="center" vertical="center" wrapText="1"/>
    </xf>
    <xf numFmtId="14" fontId="7" fillId="2" borderId="4" xfId="0" applyNumberFormat="1" applyFont="1" applyFill="1" applyBorder="1" applyAlignment="1" applyProtection="1">
      <alignment horizontal="center" vertical="center" wrapText="1"/>
      <protection locked="0"/>
    </xf>
    <xf numFmtId="0" fontId="7" fillId="2" borderId="8" xfId="0" applyFont="1" applyFill="1" applyBorder="1" applyAlignment="1" applyProtection="1">
      <alignment horizontal="center" vertical="center" wrapText="1" shrinkToFit="1"/>
      <protection locked="0"/>
    </xf>
    <xf numFmtId="0" fontId="23" fillId="8" borderId="1" xfId="0" applyFont="1" applyFill="1" applyBorder="1" applyAlignment="1" applyProtection="1">
      <alignment horizontal="center" vertical="center" wrapText="1"/>
      <protection locked="0"/>
    </xf>
    <xf numFmtId="0" fontId="7" fillId="2" borderId="8" xfId="0" applyFont="1" applyFill="1" applyBorder="1" applyAlignment="1" applyProtection="1">
      <alignment horizontal="left" vertical="center" wrapText="1" shrinkToFit="1"/>
      <protection locked="0"/>
    </xf>
    <xf numFmtId="0" fontId="32" fillId="0" borderId="4" xfId="0" applyFont="1" applyBorder="1" applyAlignment="1" applyProtection="1">
      <alignment horizontal="left" vertical="center" wrapText="1"/>
      <protection locked="0"/>
    </xf>
    <xf numFmtId="0" fontId="32" fillId="0" borderId="1" xfId="0" applyFont="1" applyBorder="1" applyAlignment="1" applyProtection="1">
      <alignment horizontal="left" vertical="center" wrapText="1"/>
      <protection locked="0"/>
    </xf>
    <xf numFmtId="0" fontId="29" fillId="8" borderId="18" xfId="0" applyFont="1" applyFill="1" applyBorder="1" applyAlignment="1">
      <alignment vertical="center"/>
    </xf>
    <xf numFmtId="0" fontId="29" fillId="8" borderId="19" xfId="0" applyFont="1" applyFill="1" applyBorder="1" applyAlignment="1">
      <alignment vertical="center"/>
    </xf>
    <xf numFmtId="0" fontId="37" fillId="0" borderId="1" xfId="0" applyFont="1" applyBorder="1" applyAlignment="1" applyProtection="1">
      <alignment horizontal="left" vertical="center" wrapText="1"/>
      <protection locked="0"/>
    </xf>
    <xf numFmtId="0" fontId="38" fillId="2" borderId="1" xfId="0" applyFont="1" applyFill="1" applyBorder="1" applyAlignment="1">
      <alignment horizontal="center" vertical="center"/>
    </xf>
    <xf numFmtId="0" fontId="39" fillId="0" borderId="1" xfId="0" applyFont="1" applyBorder="1" applyAlignment="1" applyProtection="1">
      <alignment horizontal="left" vertical="center" wrapText="1"/>
      <protection locked="0"/>
    </xf>
    <xf numFmtId="0" fontId="39" fillId="2" borderId="1" xfId="0" applyFont="1" applyFill="1" applyBorder="1" applyAlignment="1">
      <alignment horizontal="center" vertical="center" wrapText="1"/>
    </xf>
    <xf numFmtId="0" fontId="3" fillId="2" borderId="8" xfId="0" applyFont="1" applyFill="1" applyBorder="1" applyAlignment="1" applyProtection="1">
      <alignment horizontal="left" vertical="center" wrapText="1" shrinkToFit="1"/>
      <protection locked="0"/>
    </xf>
    <xf numFmtId="0" fontId="3" fillId="2" borderId="17" xfId="0" applyFont="1" applyFill="1" applyBorder="1" applyAlignment="1" applyProtection="1">
      <alignment horizontal="left" vertical="center" wrapText="1" shrinkToFit="1"/>
      <protection locked="0"/>
    </xf>
    <xf numFmtId="0" fontId="3" fillId="2" borderId="4" xfId="0" applyFont="1" applyFill="1" applyBorder="1" applyAlignment="1" applyProtection="1">
      <alignment horizontal="left" vertical="center" wrapText="1" shrinkToFit="1"/>
      <protection locked="0"/>
    </xf>
    <xf numFmtId="0" fontId="4" fillId="2" borderId="18" xfId="0" applyFont="1" applyFill="1" applyBorder="1" applyAlignment="1" applyProtection="1">
      <alignment horizontal="left" vertical="center" wrapText="1"/>
      <protection locked="0"/>
    </xf>
    <xf numFmtId="0" fontId="4" fillId="2" borderId="19" xfId="0" applyFont="1" applyFill="1" applyBorder="1" applyAlignment="1" applyProtection="1">
      <alignment horizontal="left" vertical="center" wrapText="1"/>
      <protection locked="0"/>
    </xf>
    <xf numFmtId="0" fontId="4" fillId="2" borderId="21" xfId="0" applyFont="1" applyFill="1" applyBorder="1" applyAlignment="1" applyProtection="1">
      <alignment horizontal="left" vertical="center" wrapText="1"/>
      <protection locked="0"/>
    </xf>
    <xf numFmtId="0" fontId="4" fillId="2" borderId="14" xfId="0" applyFont="1" applyFill="1" applyBorder="1" applyAlignment="1" applyProtection="1">
      <alignment horizontal="left" vertical="center" wrapText="1"/>
      <protection locked="0"/>
    </xf>
    <xf numFmtId="0" fontId="4" fillId="2" borderId="22" xfId="0" applyFont="1" applyFill="1" applyBorder="1" applyAlignment="1" applyProtection="1">
      <alignment horizontal="left" vertical="center" wrapText="1"/>
      <protection locked="0"/>
    </xf>
    <xf numFmtId="0" fontId="4" fillId="2" borderId="23" xfId="0" applyFont="1" applyFill="1" applyBorder="1" applyAlignment="1" applyProtection="1">
      <alignment horizontal="left" vertical="center" wrapText="1"/>
      <protection locked="0"/>
    </xf>
    <xf numFmtId="0" fontId="23" fillId="8" borderId="1" xfId="0" applyFont="1" applyFill="1" applyBorder="1" applyAlignment="1">
      <alignment horizontal="right" vertical="center" wrapText="1"/>
    </xf>
    <xf numFmtId="0" fontId="7" fillId="2" borderId="8" xfId="0" applyFont="1" applyFill="1" applyBorder="1" applyAlignment="1" applyProtection="1">
      <alignment vertical="center" wrapText="1"/>
      <protection locked="0"/>
    </xf>
    <xf numFmtId="0" fontId="3" fillId="0" borderId="17" xfId="0" applyFont="1" applyBorder="1" applyAlignment="1">
      <alignment vertical="center" wrapText="1"/>
    </xf>
    <xf numFmtId="0" fontId="3" fillId="0" borderId="4" xfId="0" applyFont="1" applyBorder="1" applyAlignment="1">
      <alignment vertical="center" wrapText="1"/>
    </xf>
    <xf numFmtId="0" fontId="2" fillId="2" borderId="1" xfId="0" applyFont="1" applyFill="1" applyBorder="1" applyAlignment="1">
      <alignment vertical="center" wrapText="1"/>
    </xf>
    <xf numFmtId="0" fontId="23" fillId="8" borderId="8" xfId="0" applyFont="1" applyFill="1" applyBorder="1" applyAlignment="1">
      <alignment horizontal="right" vertical="center" wrapText="1"/>
    </xf>
    <xf numFmtId="0" fontId="23" fillId="8" borderId="4" xfId="0" applyFont="1" applyFill="1" applyBorder="1" applyAlignment="1">
      <alignment horizontal="right" vertical="center" wrapText="1"/>
    </xf>
    <xf numFmtId="0" fontId="9" fillId="2" borderId="8" xfId="0" applyFont="1" applyFill="1" applyBorder="1" applyAlignment="1">
      <alignment vertical="center" wrapText="1"/>
    </xf>
    <xf numFmtId="0" fontId="1" fillId="2" borderId="17" xfId="0" applyFont="1" applyFill="1" applyBorder="1" applyAlignment="1">
      <alignment vertical="center" wrapText="1"/>
    </xf>
    <xf numFmtId="0" fontId="1" fillId="2" borderId="4" xfId="0" applyFont="1" applyFill="1" applyBorder="1" applyAlignment="1">
      <alignment vertical="center" wrapText="1"/>
    </xf>
    <xf numFmtId="0" fontId="35" fillId="2" borderId="8" xfId="0" applyFont="1" applyFill="1" applyBorder="1" applyAlignment="1">
      <alignment horizontal="left" vertical="center" wrapText="1"/>
    </xf>
    <xf numFmtId="0" fontId="6" fillId="2" borderId="17" xfId="0" applyFont="1" applyFill="1" applyBorder="1" applyAlignment="1">
      <alignment horizontal="left" vertical="center" wrapText="1"/>
    </xf>
    <xf numFmtId="0" fontId="6" fillId="2" borderId="4" xfId="0" applyFont="1" applyFill="1" applyBorder="1" applyAlignment="1">
      <alignment horizontal="left" vertical="center" wrapText="1"/>
    </xf>
    <xf numFmtId="14" fontId="23" fillId="8" borderId="8" xfId="0" applyNumberFormat="1" applyFont="1" applyFill="1" applyBorder="1" applyAlignment="1">
      <alignment horizontal="center" vertical="center" wrapText="1"/>
    </xf>
    <xf numFmtId="14" fontId="23" fillId="8" borderId="17" xfId="0" applyNumberFormat="1" applyFont="1" applyFill="1" applyBorder="1" applyAlignment="1">
      <alignment horizontal="center" vertical="center" wrapText="1"/>
    </xf>
    <xf numFmtId="14" fontId="23" fillId="8" borderId="4" xfId="0" applyNumberFormat="1" applyFont="1" applyFill="1" applyBorder="1" applyAlignment="1">
      <alignment horizontal="center" vertical="center" wrapText="1"/>
    </xf>
    <xf numFmtId="0" fontId="22" fillId="8" borderId="8" xfId="0" applyFont="1" applyFill="1" applyBorder="1" applyAlignment="1">
      <alignment horizontal="left" vertical="center" wrapText="1"/>
    </xf>
    <xf numFmtId="0" fontId="22" fillId="8" borderId="17" xfId="0" applyFont="1" applyFill="1" applyBorder="1" applyAlignment="1">
      <alignment horizontal="left" vertical="center" wrapText="1"/>
    </xf>
    <xf numFmtId="0" fontId="22" fillId="8" borderId="4" xfId="0" applyFont="1" applyFill="1" applyBorder="1" applyAlignment="1">
      <alignment horizontal="left" vertical="center" wrapText="1"/>
    </xf>
    <xf numFmtId="0" fontId="0" fillId="2" borderId="8" xfId="0" applyFill="1" applyBorder="1" applyAlignment="1" applyProtection="1">
      <alignment horizontal="left" vertical="center" wrapText="1"/>
      <protection locked="0"/>
    </xf>
    <xf numFmtId="0" fontId="0" fillId="2" borderId="17" xfId="0" applyFill="1" applyBorder="1" applyAlignment="1" applyProtection="1">
      <alignment horizontal="left" vertical="center" wrapText="1"/>
      <protection locked="0"/>
    </xf>
    <xf numFmtId="0" fontId="0" fillId="2" borderId="4" xfId="0" applyFill="1" applyBorder="1" applyAlignment="1" applyProtection="1">
      <alignment horizontal="left" vertical="center" wrapText="1"/>
      <protection locked="0"/>
    </xf>
    <xf numFmtId="0" fontId="22" fillId="8" borderId="8" xfId="0" applyFont="1" applyFill="1" applyBorder="1" applyAlignment="1">
      <alignment horizontal="center" vertical="center" wrapText="1"/>
    </xf>
    <xf numFmtId="0" fontId="22" fillId="8" borderId="4" xfId="0" applyFont="1" applyFill="1" applyBorder="1" applyAlignment="1">
      <alignment horizontal="center" vertical="center" wrapText="1"/>
    </xf>
    <xf numFmtId="0" fontId="4" fillId="2" borderId="8" xfId="0" applyFont="1" applyFill="1" applyBorder="1" applyAlignment="1" applyProtection="1">
      <alignment horizontal="left" vertical="center" wrapText="1"/>
      <protection locked="0"/>
    </xf>
    <xf numFmtId="0" fontId="4" fillId="2" borderId="17" xfId="0" applyFont="1" applyFill="1" applyBorder="1" applyAlignment="1" applyProtection="1">
      <alignment horizontal="left" vertical="center" wrapText="1"/>
      <protection locked="0"/>
    </xf>
    <xf numFmtId="0" fontId="4" fillId="2" borderId="4" xfId="0" applyFont="1" applyFill="1" applyBorder="1" applyAlignment="1" applyProtection="1">
      <alignment horizontal="left" vertical="center" wrapText="1"/>
      <protection locked="0"/>
    </xf>
    <xf numFmtId="0" fontId="4" fillId="2" borderId="8" xfId="0" applyFont="1" applyFill="1" applyBorder="1" applyAlignment="1">
      <alignment horizontal="left" vertical="center" wrapText="1"/>
    </xf>
    <xf numFmtId="0" fontId="0" fillId="2" borderId="17" xfId="0" applyFill="1" applyBorder="1" applyAlignment="1">
      <alignment horizontal="left" vertical="center" wrapText="1"/>
    </xf>
    <xf numFmtId="0" fontId="0" fillId="2" borderId="4" xfId="0" applyFill="1" applyBorder="1" applyAlignment="1">
      <alignment horizontal="left" vertical="center" wrapText="1"/>
    </xf>
    <xf numFmtId="0" fontId="34" fillId="2" borderId="8" xfId="0" applyFont="1" applyFill="1" applyBorder="1" applyAlignment="1">
      <alignment horizontal="left" vertical="center" wrapText="1"/>
    </xf>
    <xf numFmtId="0" fontId="8" fillId="2" borderId="17" xfId="0" applyFont="1" applyFill="1" applyBorder="1" applyAlignment="1">
      <alignment horizontal="left" vertical="center" wrapText="1"/>
    </xf>
    <xf numFmtId="0" fontId="8" fillId="2" borderId="4" xfId="0" applyFont="1" applyFill="1" applyBorder="1" applyAlignment="1">
      <alignment horizontal="left" vertical="center" wrapText="1"/>
    </xf>
    <xf numFmtId="0" fontId="35" fillId="2" borderId="8" xfId="0" applyFont="1" applyFill="1" applyBorder="1" applyAlignment="1">
      <alignment horizontal="left" vertical="center"/>
    </xf>
    <xf numFmtId="0" fontId="6" fillId="2" borderId="17" xfId="0" applyFont="1" applyFill="1" applyBorder="1" applyAlignment="1">
      <alignment horizontal="left" vertical="center"/>
    </xf>
    <xf numFmtId="0" fontId="6" fillId="2" borderId="4" xfId="0" applyFont="1" applyFill="1" applyBorder="1" applyAlignment="1">
      <alignment horizontal="left" vertical="center"/>
    </xf>
    <xf numFmtId="0" fontId="2" fillId="2" borderId="20" xfId="0" applyFont="1" applyFill="1" applyBorder="1" applyAlignment="1">
      <alignment vertical="center" wrapText="1"/>
    </xf>
    <xf numFmtId="0" fontId="22" fillId="8" borderId="1" xfId="0" applyFont="1" applyFill="1" applyBorder="1" applyAlignment="1">
      <alignment vertical="center" wrapText="1"/>
    </xf>
    <xf numFmtId="0" fontId="0" fillId="2" borderId="21" xfId="0" applyFill="1" applyBorder="1" applyAlignment="1" applyProtection="1">
      <alignment horizontal="left" vertical="center" wrapText="1"/>
      <protection locked="0"/>
    </xf>
    <xf numFmtId="0" fontId="22" fillId="8" borderId="18" xfId="0" applyFont="1" applyFill="1" applyBorder="1" applyAlignment="1">
      <alignment horizontal="center" vertical="center" wrapText="1"/>
    </xf>
    <xf numFmtId="0" fontId="22" fillId="8" borderId="19" xfId="0" applyFont="1" applyFill="1" applyBorder="1" applyAlignment="1">
      <alignment horizontal="center" vertical="center" wrapText="1"/>
    </xf>
    <xf numFmtId="0" fontId="22" fillId="8" borderId="21" xfId="0" applyFont="1" applyFill="1" applyBorder="1" applyAlignment="1">
      <alignment horizontal="center" vertical="center" wrapText="1"/>
    </xf>
    <xf numFmtId="0" fontId="22" fillId="8" borderId="14" xfId="0" applyFont="1" applyFill="1" applyBorder="1" applyAlignment="1">
      <alignment horizontal="center" vertical="center" wrapText="1"/>
    </xf>
    <xf numFmtId="0" fontId="22" fillId="8" borderId="22" xfId="0" applyFont="1" applyFill="1" applyBorder="1" applyAlignment="1">
      <alignment horizontal="center" vertical="center" wrapText="1"/>
    </xf>
    <xf numFmtId="0" fontId="22" fillId="8" borderId="23" xfId="0" applyFont="1" applyFill="1" applyBorder="1" applyAlignment="1">
      <alignment horizontal="center" vertical="center" wrapText="1"/>
    </xf>
    <xf numFmtId="0" fontId="0" fillId="2" borderId="18" xfId="0" applyFill="1" applyBorder="1" applyAlignment="1" applyProtection="1">
      <alignment horizontal="left" vertical="center" wrapText="1"/>
      <protection locked="0"/>
    </xf>
    <xf numFmtId="0" fontId="0" fillId="2" borderId="19" xfId="0" applyFill="1" applyBorder="1" applyAlignment="1" applyProtection="1">
      <alignment horizontal="left" vertical="center" wrapText="1"/>
      <protection locked="0"/>
    </xf>
    <xf numFmtId="0" fontId="4" fillId="2" borderId="17" xfId="0" applyFont="1" applyFill="1" applyBorder="1" applyAlignment="1">
      <alignment horizontal="left" vertical="center" wrapText="1"/>
    </xf>
    <xf numFmtId="0" fontId="4" fillId="2" borderId="4" xfId="0" applyFont="1" applyFill="1" applyBorder="1" applyAlignment="1">
      <alignment horizontal="left" vertical="center" wrapText="1"/>
    </xf>
    <xf numFmtId="0" fontId="42" fillId="8" borderId="19" xfId="0" applyFont="1" applyFill="1" applyBorder="1" applyAlignment="1">
      <alignment horizontal="left" vertical="center" wrapText="1"/>
    </xf>
    <xf numFmtId="0" fontId="28" fillId="8" borderId="19" xfId="0" applyFont="1" applyFill="1" applyBorder="1" applyAlignment="1">
      <alignment horizontal="left" vertical="center" wrapText="1"/>
    </xf>
    <xf numFmtId="0" fontId="0" fillId="0" borderId="17" xfId="0" applyBorder="1" applyAlignment="1">
      <alignment horizontal="left" vertical="center" wrapText="1" shrinkToFit="1"/>
    </xf>
    <xf numFmtId="0" fontId="0" fillId="0" borderId="4" xfId="0" applyBorder="1" applyAlignment="1">
      <alignment horizontal="left" vertical="center" wrapText="1" shrinkToFit="1"/>
    </xf>
    <xf numFmtId="0" fontId="7" fillId="0" borderId="17" xfId="0" applyFont="1" applyBorder="1" applyAlignment="1">
      <alignment vertical="center" wrapText="1"/>
    </xf>
    <xf numFmtId="0" fontId="7" fillId="0" borderId="4" xfId="0" applyFont="1" applyBorder="1" applyAlignment="1">
      <alignment vertical="center" wrapText="1"/>
    </xf>
    <xf numFmtId="0" fontId="27" fillId="8" borderId="8" xfId="0" applyFont="1" applyFill="1" applyBorder="1" applyAlignment="1">
      <alignment horizontal="center" vertical="center" wrapText="1"/>
    </xf>
    <xf numFmtId="0" fontId="27" fillId="8" borderId="17" xfId="0" applyFont="1" applyFill="1" applyBorder="1" applyAlignment="1">
      <alignment horizontal="center" vertical="center" wrapText="1"/>
    </xf>
    <xf numFmtId="0" fontId="22" fillId="8" borderId="17" xfId="0" applyFont="1" applyFill="1" applyBorder="1" applyAlignment="1">
      <alignment horizontal="center" vertical="center" wrapText="1"/>
    </xf>
    <xf numFmtId="0" fontId="40" fillId="2" borderId="18" xfId="0" applyFont="1" applyFill="1" applyBorder="1" applyAlignment="1" applyProtection="1">
      <alignment horizontal="center" vertical="center" wrapText="1"/>
    </xf>
    <xf numFmtId="0" fontId="10" fillId="2" borderId="21" xfId="0" applyFont="1" applyFill="1" applyBorder="1" applyAlignment="1" applyProtection="1">
      <alignment horizontal="center" vertical="center"/>
    </xf>
    <xf numFmtId="0" fontId="10" fillId="2" borderId="29" xfId="0" applyFont="1" applyFill="1" applyBorder="1" applyAlignment="1" applyProtection="1">
      <alignment horizontal="center" vertical="center"/>
    </xf>
    <xf numFmtId="0" fontId="10" fillId="2" borderId="30" xfId="0" applyFont="1" applyFill="1" applyBorder="1" applyAlignment="1" applyProtection="1">
      <alignment horizontal="center" vertical="center"/>
    </xf>
    <xf numFmtId="0" fontId="10" fillId="2" borderId="14" xfId="0" applyFont="1" applyFill="1" applyBorder="1" applyAlignment="1" applyProtection="1">
      <alignment horizontal="center" vertical="center"/>
    </xf>
    <xf numFmtId="0" fontId="10" fillId="2" borderId="23" xfId="0" applyFont="1" applyFill="1" applyBorder="1" applyAlignment="1" applyProtection="1">
      <alignment horizontal="center" vertical="center"/>
    </xf>
    <xf numFmtId="0" fontId="9" fillId="2" borderId="29" xfId="0" applyFont="1" applyFill="1" applyBorder="1" applyAlignment="1" applyProtection="1">
      <alignment horizontal="center" vertical="center"/>
    </xf>
    <xf numFmtId="0" fontId="9" fillId="0" borderId="0" xfId="0" applyFont="1" applyAlignment="1">
      <alignment horizontal="center" vertical="center"/>
    </xf>
    <xf numFmtId="0" fontId="9" fillId="0" borderId="30" xfId="0" applyFont="1" applyBorder="1" applyAlignment="1">
      <alignment horizontal="center" vertical="center"/>
    </xf>
    <xf numFmtId="0" fontId="9" fillId="2" borderId="29" xfId="0" applyFont="1" applyFill="1" applyBorder="1" applyAlignment="1">
      <alignment horizontal="center" vertical="center"/>
    </xf>
    <xf numFmtId="0" fontId="9" fillId="2" borderId="14" xfId="0" applyFont="1" applyFill="1" applyBorder="1" applyAlignment="1">
      <alignment horizontal="center" vertical="center" wrapText="1"/>
    </xf>
    <xf numFmtId="0" fontId="9" fillId="0" borderId="22" xfId="0" applyFont="1" applyBorder="1" applyAlignment="1">
      <alignment horizontal="center" vertical="center" wrapText="1"/>
    </xf>
    <xf numFmtId="0" fontId="9" fillId="0" borderId="23" xfId="0" applyFont="1" applyBorder="1" applyAlignment="1">
      <alignment horizontal="center" vertical="center" wrapText="1"/>
    </xf>
    <xf numFmtId="0" fontId="15" fillId="2" borderId="29" xfId="0" applyFont="1" applyFill="1" applyBorder="1" applyAlignment="1">
      <alignment horizontal="center" vertical="center"/>
    </xf>
    <xf numFmtId="0" fontId="0" fillId="0" borderId="0" xfId="0" applyAlignment="1">
      <alignment horizontal="center" vertical="center"/>
    </xf>
    <xf numFmtId="0" fontId="0" fillId="0" borderId="30" xfId="0" applyBorder="1" applyAlignment="1">
      <alignment horizontal="center" vertical="center"/>
    </xf>
    <xf numFmtId="0" fontId="19" fillId="0" borderId="24" xfId="0" applyFont="1" applyBorder="1" applyAlignment="1">
      <alignment horizontal="center" vertical="center" wrapText="1"/>
    </xf>
    <xf numFmtId="0" fontId="19" fillId="0" borderId="25" xfId="0" applyFont="1" applyBorder="1" applyAlignment="1">
      <alignment horizontal="center" vertical="center" wrapText="1"/>
    </xf>
    <xf numFmtId="0" fontId="5" fillId="7" borderId="26" xfId="0" applyFont="1" applyFill="1" applyBorder="1" applyAlignment="1">
      <alignment horizontal="justify" wrapText="1"/>
    </xf>
    <xf numFmtId="0" fontId="5" fillId="7" borderId="27" xfId="0" applyFont="1" applyFill="1" applyBorder="1" applyAlignment="1">
      <alignment horizontal="justify" wrapText="1"/>
    </xf>
    <xf numFmtId="0" fontId="5" fillId="7" borderId="28" xfId="0" applyFont="1" applyFill="1" applyBorder="1" applyAlignment="1">
      <alignment horizontal="justify" wrapText="1"/>
    </xf>
    <xf numFmtId="0" fontId="36" fillId="3" borderId="6" xfId="0" applyFont="1" applyFill="1" applyBorder="1" applyAlignment="1">
      <alignment horizontal="center" textRotation="90" wrapText="1"/>
    </xf>
    <xf numFmtId="0" fontId="12" fillId="3" borderId="24" xfId="0" applyFont="1" applyFill="1" applyBorder="1" applyAlignment="1">
      <alignment horizontal="center" textRotation="90" wrapText="1"/>
    </xf>
    <xf numFmtId="0" fontId="12" fillId="3" borderId="25" xfId="0" applyFont="1" applyFill="1" applyBorder="1" applyAlignment="1">
      <alignment horizontal="center" textRotation="90" wrapText="1"/>
    </xf>
    <xf numFmtId="0" fontId="17" fillId="0" borderId="40" xfId="0" applyFont="1" applyBorder="1" applyAlignment="1">
      <alignment horizontal="center" vertical="center" wrapText="1"/>
    </xf>
    <xf numFmtId="0" fontId="0" fillId="0" borderId="32" xfId="0" applyBorder="1" applyAlignment="1">
      <alignment horizontal="center" vertical="center" wrapText="1"/>
    </xf>
    <xf numFmtId="0" fontId="13" fillId="2" borderId="18" xfId="0" applyFont="1" applyFill="1" applyBorder="1" applyAlignment="1">
      <alignment horizontal="center"/>
    </xf>
    <xf numFmtId="0" fontId="13" fillId="0" borderId="21" xfId="0" applyFont="1" applyBorder="1" applyAlignment="1">
      <alignment horizontal="center"/>
    </xf>
    <xf numFmtId="0" fontId="13" fillId="2" borderId="29" xfId="0" applyFont="1" applyFill="1" applyBorder="1" applyAlignment="1">
      <alignment horizontal="center" vertical="center"/>
    </xf>
    <xf numFmtId="0" fontId="13" fillId="0" borderId="30" xfId="0" applyFont="1" applyBorder="1" applyAlignment="1">
      <alignment horizontal="center" vertical="center"/>
    </xf>
    <xf numFmtId="0" fontId="13" fillId="2" borderId="14" xfId="0" applyFont="1" applyFill="1" applyBorder="1" applyAlignment="1">
      <alignment horizontal="center" vertical="center" wrapText="1"/>
    </xf>
    <xf numFmtId="0" fontId="13" fillId="0" borderId="23" xfId="0" applyFont="1" applyBorder="1" applyAlignment="1">
      <alignment horizontal="center" vertical="center" wrapText="1"/>
    </xf>
    <xf numFmtId="0" fontId="7" fillId="2" borderId="29" xfId="0" applyFont="1" applyFill="1" applyBorder="1" applyAlignment="1">
      <alignment horizontal="center" vertical="center"/>
    </xf>
    <xf numFmtId="0" fontId="17" fillId="0" borderId="37" xfId="0" applyFont="1" applyBorder="1" applyAlignment="1">
      <alignment horizontal="center" vertical="center" wrapText="1"/>
    </xf>
    <xf numFmtId="0" fontId="0" fillId="0" borderId="38" xfId="0" applyBorder="1" applyAlignment="1">
      <alignment horizontal="center" vertical="center" wrapText="1"/>
    </xf>
    <xf numFmtId="0" fontId="17" fillId="0" borderId="39" xfId="0" applyFont="1" applyBorder="1" applyAlignment="1">
      <alignment horizontal="center" vertical="center" wrapText="1"/>
    </xf>
    <xf numFmtId="0" fontId="0" fillId="0" borderId="4" xfId="0" applyBorder="1" applyAlignment="1">
      <alignment horizontal="center" vertical="center" wrapText="1"/>
    </xf>
    <xf numFmtId="0" fontId="7" fillId="7" borderId="31" xfId="0" applyFont="1" applyFill="1" applyBorder="1" applyAlignment="1">
      <alignment horizontal="center" textRotation="90" wrapText="1"/>
    </xf>
    <xf numFmtId="0" fontId="3" fillId="0" borderId="33" xfId="0" applyFont="1" applyBorder="1" applyAlignment="1">
      <alignment horizontal="center" textRotation="90" wrapText="1"/>
    </xf>
    <xf numFmtId="0" fontId="7" fillId="7" borderId="34" xfId="0" applyFont="1" applyFill="1" applyBorder="1" applyAlignment="1">
      <alignment horizontal="center" textRotation="90" wrapText="1"/>
    </xf>
    <xf numFmtId="0" fontId="3" fillId="0" borderId="35" xfId="0" applyFont="1" applyBorder="1" applyAlignment="1">
      <alignment horizontal="center" textRotation="90" wrapText="1"/>
    </xf>
    <xf numFmtId="0" fontId="7" fillId="7" borderId="36" xfId="0" applyFont="1" applyFill="1" applyBorder="1" applyAlignment="1">
      <alignment horizontal="center" textRotation="90" wrapText="1"/>
    </xf>
    <xf numFmtId="0" fontId="3" fillId="0" borderId="5" xfId="0" applyFont="1" applyBorder="1" applyAlignment="1">
      <alignment horizontal="center" textRotation="90" wrapText="1"/>
    </xf>
    <xf numFmtId="0" fontId="41" fillId="2" borderId="18" xfId="0" applyFont="1" applyFill="1" applyBorder="1" applyAlignment="1" applyProtection="1">
      <alignment horizontal="center" vertical="center" wrapText="1"/>
    </xf>
    <xf numFmtId="0" fontId="41" fillId="2" borderId="19" xfId="0" applyFont="1" applyFill="1" applyBorder="1" applyAlignment="1" applyProtection="1">
      <alignment horizontal="center" vertical="center" wrapText="1"/>
    </xf>
    <xf numFmtId="0" fontId="41" fillId="2" borderId="21" xfId="0" applyFont="1" applyFill="1" applyBorder="1" applyAlignment="1" applyProtection="1">
      <alignment horizontal="center" vertical="center" wrapText="1"/>
    </xf>
    <xf numFmtId="0" fontId="41" fillId="2" borderId="29" xfId="0" applyFont="1" applyFill="1" applyBorder="1" applyAlignment="1" applyProtection="1">
      <alignment horizontal="center" vertical="center" wrapText="1"/>
    </xf>
    <xf numFmtId="0" fontId="41" fillId="2" borderId="0" xfId="0" applyFont="1" applyFill="1" applyBorder="1" applyAlignment="1" applyProtection="1">
      <alignment horizontal="center" vertical="center" wrapText="1"/>
    </xf>
    <xf numFmtId="0" fontId="41" fillId="2" borderId="30" xfId="0" applyFont="1" applyFill="1" applyBorder="1" applyAlignment="1" applyProtection="1">
      <alignment horizontal="center" vertical="center" wrapText="1"/>
    </xf>
    <xf numFmtId="0" fontId="41" fillId="2" borderId="14" xfId="0" applyFont="1" applyFill="1" applyBorder="1" applyAlignment="1" applyProtection="1">
      <alignment horizontal="center" vertical="center" wrapText="1"/>
    </xf>
    <xf numFmtId="0" fontId="41" fillId="2" borderId="22" xfId="0" applyFont="1" applyFill="1" applyBorder="1" applyAlignment="1" applyProtection="1">
      <alignment horizontal="center" vertical="center" wrapText="1"/>
    </xf>
    <xf numFmtId="0" fontId="41" fillId="2" borderId="23" xfId="0" applyFont="1" applyFill="1" applyBorder="1" applyAlignment="1" applyProtection="1">
      <alignment horizontal="center" vertical="center" wrapText="1"/>
    </xf>
    <xf numFmtId="0" fontId="43" fillId="2" borderId="8" xfId="0" applyFont="1" applyFill="1" applyBorder="1" applyAlignment="1">
      <alignment horizontal="left" vertical="center" wrapText="1"/>
    </xf>
    <xf numFmtId="0" fontId="45" fillId="2" borderId="17" xfId="0" applyFont="1" applyFill="1" applyBorder="1" applyAlignment="1">
      <alignment horizontal="left" vertical="center" wrapText="1"/>
    </xf>
    <xf numFmtId="0" fontId="45" fillId="2" borderId="4" xfId="0" applyFont="1" applyFill="1" applyBorder="1" applyAlignment="1">
      <alignment horizontal="left" vertical="center" wrapText="1"/>
    </xf>
  </cellXfs>
  <cellStyles count="1">
    <cellStyle name="Обычный" xfId="0" builtinId="0"/>
  </cellStyles>
  <dxfs count="18">
    <dxf>
      <font>
        <color theme="0"/>
      </font>
      <fill>
        <patternFill>
          <bgColor rgb="FF00B050"/>
        </patternFill>
      </fill>
    </dxf>
    <dxf>
      <fill>
        <patternFill>
          <bgColor rgb="FFFFFF00"/>
        </patternFill>
      </fill>
    </dxf>
    <dxf>
      <font>
        <color theme="0"/>
      </font>
      <fill>
        <patternFill>
          <bgColor rgb="FFFF0000"/>
        </patternFill>
      </fill>
    </dxf>
    <dxf>
      <font>
        <color theme="0"/>
      </font>
      <fill>
        <patternFill>
          <bgColor rgb="FF00B050"/>
        </patternFill>
      </fill>
    </dxf>
    <dxf>
      <fill>
        <patternFill>
          <bgColor rgb="FFFFFF00"/>
        </patternFill>
      </fill>
    </dxf>
    <dxf>
      <font>
        <color theme="0"/>
      </font>
      <fill>
        <patternFill>
          <bgColor rgb="FFFF0000"/>
        </patternFill>
      </fill>
    </dxf>
    <dxf>
      <font>
        <color theme="0"/>
      </font>
      <fill>
        <patternFill>
          <bgColor rgb="FF00B050"/>
        </patternFill>
      </fill>
    </dxf>
    <dxf>
      <fill>
        <patternFill>
          <bgColor rgb="FFFFFF00"/>
        </patternFill>
      </fill>
    </dxf>
    <dxf>
      <font>
        <color theme="0"/>
      </font>
      <fill>
        <patternFill>
          <bgColor rgb="FFFF0000"/>
        </patternFill>
      </fill>
    </dxf>
    <dxf>
      <font>
        <color theme="0"/>
      </font>
      <fill>
        <patternFill>
          <bgColor rgb="FF00B050"/>
        </patternFill>
      </fill>
    </dxf>
    <dxf>
      <fill>
        <patternFill>
          <bgColor rgb="FFFFFF00"/>
        </patternFill>
      </fill>
    </dxf>
    <dxf>
      <font>
        <color theme="0"/>
      </font>
      <fill>
        <patternFill>
          <bgColor rgb="FFFF0000"/>
        </patternFill>
      </fill>
    </dxf>
    <dxf>
      <font>
        <color theme="0"/>
      </font>
      <fill>
        <patternFill>
          <bgColor rgb="FF00B050"/>
        </patternFill>
      </fill>
    </dxf>
    <dxf>
      <fill>
        <patternFill>
          <bgColor rgb="FFFFFF00"/>
        </patternFill>
      </fill>
    </dxf>
    <dxf>
      <font>
        <color theme="0"/>
      </font>
      <fill>
        <patternFill>
          <bgColor rgb="FFFF0000"/>
        </patternFill>
      </fill>
    </dxf>
    <dxf>
      <font>
        <color theme="0"/>
      </font>
      <fill>
        <patternFill>
          <bgColor rgb="FF00B050"/>
        </patternFill>
      </fill>
    </dxf>
    <dxf>
      <fill>
        <patternFill>
          <bgColor rgb="FFFFFF00"/>
        </patternFill>
      </fill>
    </dxf>
    <dxf>
      <font>
        <color theme="0"/>
      </font>
      <fill>
        <patternFill>
          <bgColor rgb="FFFF00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10" Type="http://schemas.openxmlformats.org/officeDocument/2006/relationships/customXml" Target="../customXml/item4.xml"/><Relationship Id="rId4" Type="http://schemas.openxmlformats.org/officeDocument/2006/relationships/styles" Target="styles.xml"/><Relationship Id="rId9"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oneCellAnchor>
    <xdr:from>
      <xdr:col>6</xdr:col>
      <xdr:colOff>952500</xdr:colOff>
      <xdr:row>14</xdr:row>
      <xdr:rowOff>0</xdr:rowOff>
    </xdr:from>
    <xdr:ext cx="184731" cy="264560"/>
    <xdr:sp macro="" textlink="">
      <xdr:nvSpPr>
        <xdr:cNvPr id="3" name="Tekstvak 2">
          <a:extLst>
            <a:ext uri="{FF2B5EF4-FFF2-40B4-BE49-F238E27FC236}">
              <a16:creationId xmlns:a16="http://schemas.microsoft.com/office/drawing/2014/main" id="{00000000-0008-0000-0000-000003000000}"/>
            </a:ext>
          </a:extLst>
        </xdr:cNvPr>
        <xdr:cNvSpPr txBox="1"/>
      </xdr:nvSpPr>
      <xdr:spPr>
        <a:xfrm>
          <a:off x="6991350" y="2057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6</xdr:col>
      <xdr:colOff>952500</xdr:colOff>
      <xdr:row>25</xdr:row>
      <xdr:rowOff>0</xdr:rowOff>
    </xdr:from>
    <xdr:ext cx="184731" cy="264560"/>
    <xdr:sp macro="" textlink="">
      <xdr:nvSpPr>
        <xdr:cNvPr id="4" name="Tekstvak 3">
          <a:extLst>
            <a:ext uri="{FF2B5EF4-FFF2-40B4-BE49-F238E27FC236}">
              <a16:creationId xmlns:a16="http://schemas.microsoft.com/office/drawing/2014/main" id="{00000000-0008-0000-0000-000004000000}"/>
            </a:ext>
          </a:extLst>
        </xdr:cNvPr>
        <xdr:cNvSpPr txBox="1"/>
      </xdr:nvSpPr>
      <xdr:spPr>
        <a:xfrm>
          <a:off x="6991350" y="13735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6</xdr:col>
      <xdr:colOff>952500</xdr:colOff>
      <xdr:row>14</xdr:row>
      <xdr:rowOff>0</xdr:rowOff>
    </xdr:from>
    <xdr:ext cx="184731" cy="264560"/>
    <xdr:sp macro="" textlink="">
      <xdr:nvSpPr>
        <xdr:cNvPr id="5" name="Tekstvak 2">
          <a:extLst>
            <a:ext uri="{FF2B5EF4-FFF2-40B4-BE49-F238E27FC236}">
              <a16:creationId xmlns:a16="http://schemas.microsoft.com/office/drawing/2014/main" id="{00000000-0008-0000-0000-000005000000}"/>
            </a:ext>
          </a:extLst>
        </xdr:cNvPr>
        <xdr:cNvSpPr txBox="1"/>
      </xdr:nvSpPr>
      <xdr:spPr>
        <a:xfrm>
          <a:off x="8752417" y="4857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6</xdr:col>
      <xdr:colOff>952500</xdr:colOff>
      <xdr:row>15</xdr:row>
      <xdr:rowOff>0</xdr:rowOff>
    </xdr:from>
    <xdr:ext cx="184731" cy="264560"/>
    <xdr:sp macro="" textlink="">
      <xdr:nvSpPr>
        <xdr:cNvPr id="6" name="Tekstvak 2">
          <a:extLst>
            <a:ext uri="{FF2B5EF4-FFF2-40B4-BE49-F238E27FC236}">
              <a16:creationId xmlns:a16="http://schemas.microsoft.com/office/drawing/2014/main" id="{00000000-0008-0000-0000-000006000000}"/>
            </a:ext>
          </a:extLst>
        </xdr:cNvPr>
        <xdr:cNvSpPr txBox="1"/>
      </xdr:nvSpPr>
      <xdr:spPr>
        <a:xfrm>
          <a:off x="8752417" y="4857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6</xdr:col>
      <xdr:colOff>952500</xdr:colOff>
      <xdr:row>15</xdr:row>
      <xdr:rowOff>0</xdr:rowOff>
    </xdr:from>
    <xdr:ext cx="184731" cy="264560"/>
    <xdr:sp macro="" textlink="">
      <xdr:nvSpPr>
        <xdr:cNvPr id="7" name="Tekstvak 2">
          <a:extLst>
            <a:ext uri="{FF2B5EF4-FFF2-40B4-BE49-F238E27FC236}">
              <a16:creationId xmlns:a16="http://schemas.microsoft.com/office/drawing/2014/main" id="{00000000-0008-0000-0000-000007000000}"/>
            </a:ext>
          </a:extLst>
        </xdr:cNvPr>
        <xdr:cNvSpPr txBox="1"/>
      </xdr:nvSpPr>
      <xdr:spPr>
        <a:xfrm>
          <a:off x="8752417" y="4857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6</xdr:col>
      <xdr:colOff>952500</xdr:colOff>
      <xdr:row>9</xdr:row>
      <xdr:rowOff>0</xdr:rowOff>
    </xdr:from>
    <xdr:ext cx="184731" cy="264560"/>
    <xdr:sp macro="" textlink="">
      <xdr:nvSpPr>
        <xdr:cNvPr id="8" name="Tekstvak 2">
          <a:extLst>
            <a:ext uri="{FF2B5EF4-FFF2-40B4-BE49-F238E27FC236}">
              <a16:creationId xmlns:a16="http://schemas.microsoft.com/office/drawing/2014/main" id="{00000000-0008-0000-0000-000008000000}"/>
            </a:ext>
          </a:extLst>
        </xdr:cNvPr>
        <xdr:cNvSpPr txBox="1"/>
      </xdr:nvSpPr>
      <xdr:spPr>
        <a:xfrm>
          <a:off x="8752417" y="782108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6</xdr:col>
      <xdr:colOff>952500</xdr:colOff>
      <xdr:row>9</xdr:row>
      <xdr:rowOff>0</xdr:rowOff>
    </xdr:from>
    <xdr:ext cx="184731" cy="264560"/>
    <xdr:sp macro="" textlink="">
      <xdr:nvSpPr>
        <xdr:cNvPr id="9" name="Tekstvak 2">
          <a:extLst>
            <a:ext uri="{FF2B5EF4-FFF2-40B4-BE49-F238E27FC236}">
              <a16:creationId xmlns:a16="http://schemas.microsoft.com/office/drawing/2014/main" id="{00000000-0008-0000-0000-000009000000}"/>
            </a:ext>
          </a:extLst>
        </xdr:cNvPr>
        <xdr:cNvSpPr txBox="1"/>
      </xdr:nvSpPr>
      <xdr:spPr>
        <a:xfrm>
          <a:off x="8752417" y="782108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0</xdr:col>
      <xdr:colOff>19050</xdr:colOff>
      <xdr:row>15</xdr:row>
      <xdr:rowOff>42334</xdr:rowOff>
    </xdr:from>
    <xdr:to>
      <xdr:col>4</xdr:col>
      <xdr:colOff>2117</xdr:colOff>
      <xdr:row>18</xdr:row>
      <xdr:rowOff>15875</xdr:rowOff>
    </xdr:to>
    <xdr:sp macro="" textlink="">
      <xdr:nvSpPr>
        <xdr:cNvPr id="3" name="Text Box 30">
          <a:extLst>
            <a:ext uri="{FF2B5EF4-FFF2-40B4-BE49-F238E27FC236}">
              <a16:creationId xmlns:a16="http://schemas.microsoft.com/office/drawing/2014/main" id="{00000000-0008-0000-0100-000003000000}"/>
            </a:ext>
          </a:extLst>
        </xdr:cNvPr>
        <xdr:cNvSpPr txBox="1">
          <a:spLocks noChangeArrowheads="1"/>
        </xdr:cNvSpPr>
      </xdr:nvSpPr>
      <xdr:spPr bwMode="auto">
        <a:xfrm>
          <a:off x="19050" y="7720542"/>
          <a:ext cx="2930525" cy="449791"/>
        </a:xfrm>
        <a:prstGeom prst="rect">
          <a:avLst/>
        </a:prstGeom>
        <a:solidFill>
          <a:srgbClr val="00B050"/>
        </a:solidFill>
        <a:ln w="9525">
          <a:noFill/>
          <a:miter lim="800000"/>
          <a:headEnd/>
          <a:tailEnd/>
        </a:ln>
      </xdr:spPr>
      <xdr:txBody>
        <a:bodyPr vertOverflow="clip" wrap="square" lIns="91440" tIns="45720" rIns="91440" bIns="45720" anchor="t" upright="1"/>
        <a:lstStyle/>
        <a:p>
          <a:pPr algn="l" rtl="0">
            <a:lnSpc>
              <a:spcPts val="1100"/>
            </a:lnSpc>
          </a:pPr>
          <a:r>
            <a:rPr lang="en-GB" b="1">
              <a:solidFill>
                <a:srgbClr val="FFFFFF"/>
              </a:solidFill>
              <a:latin typeface="Arial"/>
              <a:cs typeface="Arial"/>
            </a:rPr>
            <a:t>НИЗКИЙ РИСК</a:t>
          </a:r>
        </a:p>
        <a:p>
          <a:pPr algn="l" rtl="0">
            <a:lnSpc>
              <a:spcPts val="1100"/>
            </a:lnSpc>
          </a:pPr>
          <a:endParaRPr lang="en-GB" sz="1100"/>
        </a:p>
      </xdr:txBody>
    </xdr:sp>
    <xdr:clientData/>
  </xdr:twoCellAnchor>
  <xdr:twoCellAnchor>
    <xdr:from>
      <xdr:col>0</xdr:col>
      <xdr:colOff>28575</xdr:colOff>
      <xdr:row>18</xdr:row>
      <xdr:rowOff>132293</xdr:rowOff>
    </xdr:from>
    <xdr:to>
      <xdr:col>4</xdr:col>
      <xdr:colOff>2117</xdr:colOff>
      <xdr:row>21</xdr:row>
      <xdr:rowOff>68792</xdr:rowOff>
    </xdr:to>
    <xdr:sp macro="" textlink="">
      <xdr:nvSpPr>
        <xdr:cNvPr id="4" name="Text Box 31">
          <a:extLst>
            <a:ext uri="{FF2B5EF4-FFF2-40B4-BE49-F238E27FC236}">
              <a16:creationId xmlns:a16="http://schemas.microsoft.com/office/drawing/2014/main" id="{00000000-0008-0000-0100-000004000000}"/>
            </a:ext>
          </a:extLst>
        </xdr:cNvPr>
        <xdr:cNvSpPr txBox="1">
          <a:spLocks noChangeArrowheads="1"/>
        </xdr:cNvSpPr>
      </xdr:nvSpPr>
      <xdr:spPr bwMode="auto">
        <a:xfrm>
          <a:off x="28575" y="8286751"/>
          <a:ext cx="2921000" cy="640291"/>
        </a:xfrm>
        <a:prstGeom prst="rect">
          <a:avLst/>
        </a:prstGeom>
        <a:solidFill>
          <a:srgbClr val="FFFF00"/>
        </a:solidFill>
        <a:ln w="9525">
          <a:noFill/>
          <a:miter lim="800000"/>
          <a:headEnd/>
          <a:tailEnd/>
        </a:ln>
      </xdr:spPr>
      <xdr:txBody>
        <a:bodyPr vertOverflow="clip" wrap="square" lIns="91440" tIns="45720" rIns="91440" bIns="45720" anchor="t" upright="1"/>
        <a:lstStyle/>
        <a:p>
          <a:pPr algn="l" rtl="0">
            <a:lnSpc>
              <a:spcPts val="1100"/>
            </a:lnSpc>
          </a:pPr>
          <a:r>
            <a:rPr lang="en-GB" b="1">
              <a:solidFill>
                <a:srgbClr val="FF0000"/>
              </a:solidFill>
              <a:latin typeface="Arial"/>
              <a:cs typeface="Arial"/>
            </a:rPr>
            <a:t>УМЕРЕННЫЙ РИСК</a:t>
          </a:r>
        </a:p>
        <a:p>
          <a:pPr algn="l" rtl="0">
            <a:lnSpc>
              <a:spcPts val="1100"/>
            </a:lnSpc>
          </a:pPr>
          <a:endParaRPr lang="en-GB" sz="1100"/>
        </a:p>
      </xdr:txBody>
    </xdr:sp>
    <xdr:clientData/>
  </xdr:twoCellAnchor>
  <xdr:twoCellAnchor>
    <xdr:from>
      <xdr:col>0</xdr:col>
      <xdr:colOff>2117</xdr:colOff>
      <xdr:row>23</xdr:row>
      <xdr:rowOff>31750</xdr:rowOff>
    </xdr:from>
    <xdr:to>
      <xdr:col>4</xdr:col>
      <xdr:colOff>2117</xdr:colOff>
      <xdr:row>25</xdr:row>
      <xdr:rowOff>640292</xdr:rowOff>
    </xdr:to>
    <xdr:sp macro="" textlink="">
      <xdr:nvSpPr>
        <xdr:cNvPr id="5" name="Text Box 32">
          <a:extLst>
            <a:ext uri="{FF2B5EF4-FFF2-40B4-BE49-F238E27FC236}">
              <a16:creationId xmlns:a16="http://schemas.microsoft.com/office/drawing/2014/main" id="{00000000-0008-0000-0100-000005000000}"/>
            </a:ext>
          </a:extLst>
        </xdr:cNvPr>
        <xdr:cNvSpPr txBox="1">
          <a:spLocks noChangeArrowheads="1"/>
        </xdr:cNvSpPr>
      </xdr:nvSpPr>
      <xdr:spPr bwMode="auto">
        <a:xfrm>
          <a:off x="2117" y="9207500"/>
          <a:ext cx="2947458" cy="926042"/>
        </a:xfrm>
        <a:prstGeom prst="rect">
          <a:avLst/>
        </a:prstGeom>
        <a:solidFill>
          <a:srgbClr val="FF0000"/>
        </a:solidFill>
        <a:ln w="9525">
          <a:noFill/>
          <a:miter lim="800000"/>
          <a:headEnd/>
          <a:tailEnd/>
        </a:ln>
      </xdr:spPr>
      <xdr:txBody>
        <a:bodyPr vertOverflow="clip" wrap="square" lIns="91440" tIns="45720" rIns="91440" bIns="45720" anchor="t" upright="1"/>
        <a:lstStyle/>
        <a:p>
          <a:pPr algn="l" rtl="0">
            <a:lnSpc>
              <a:spcPts val="1100"/>
            </a:lnSpc>
          </a:pPr>
          <a:r>
            <a:rPr lang="en-GB" b="1">
              <a:solidFill>
                <a:srgbClr val="FFFFFF"/>
              </a:solidFill>
              <a:latin typeface="Arial"/>
              <a:cs typeface="Arial"/>
            </a:rPr>
            <a:t>ВЫСОКИЙ РИСК</a:t>
          </a:r>
        </a:p>
        <a:p>
          <a:pPr algn="l" rtl="0">
            <a:lnSpc>
              <a:spcPts val="1100"/>
            </a:lnSpc>
          </a:pPr>
          <a:endParaRPr lang="en-GB" sz="1100"/>
        </a:p>
      </xdr:txBody>
    </xdr:sp>
    <xdr:clientData/>
  </xdr:twoCellAnchor>
  <xdr:twoCellAnchor>
    <xdr:from>
      <xdr:col>4</xdr:col>
      <xdr:colOff>2116</xdr:colOff>
      <xdr:row>14</xdr:row>
      <xdr:rowOff>116418</xdr:rowOff>
    </xdr:from>
    <xdr:to>
      <xdr:col>10</xdr:col>
      <xdr:colOff>0</xdr:colOff>
      <xdr:row>18</xdr:row>
      <xdr:rowOff>100542</xdr:rowOff>
    </xdr:to>
    <xdr:sp macro="" textlink="">
      <xdr:nvSpPr>
        <xdr:cNvPr id="6" name="TextBox 5">
          <a:extLst>
            <a:ext uri="{FF2B5EF4-FFF2-40B4-BE49-F238E27FC236}">
              <a16:creationId xmlns:a16="http://schemas.microsoft.com/office/drawing/2014/main" id="{00000000-0008-0000-0100-000006000000}"/>
            </a:ext>
          </a:extLst>
        </xdr:cNvPr>
        <xdr:cNvSpPr txBox="1"/>
      </xdr:nvSpPr>
      <xdr:spPr>
        <a:xfrm>
          <a:off x="2949574" y="7635876"/>
          <a:ext cx="5792259" cy="61912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GB">
              <a:solidFill>
                <a:schemeClr val="dk1"/>
              </a:solidFill>
              <a:latin typeface="Calibri"/>
            </a:rPr>
            <a:t>Опасные факторы, уровень риска которых находится в зеленой зоне матрицы, считаются достаточно контролируемыми рисками. Дополнительные меры контроля не требуются. Необходим мониторинг регулярного применения мер контроля.</a:t>
          </a:r>
          <a:endParaRPr lang="en-GB" sz="1100"/>
        </a:p>
      </xdr:txBody>
    </xdr:sp>
    <xdr:clientData/>
  </xdr:twoCellAnchor>
  <xdr:twoCellAnchor>
    <xdr:from>
      <xdr:col>4</xdr:col>
      <xdr:colOff>29332</xdr:colOff>
      <xdr:row>18</xdr:row>
      <xdr:rowOff>52918</xdr:rowOff>
    </xdr:from>
    <xdr:to>
      <xdr:col>21</xdr:col>
      <xdr:colOff>27215</xdr:colOff>
      <xdr:row>23</xdr:row>
      <xdr:rowOff>58208</xdr:rowOff>
    </xdr:to>
    <xdr:sp macro="" textlink="">
      <xdr:nvSpPr>
        <xdr:cNvPr id="7" name="TextBox 6">
          <a:extLst>
            <a:ext uri="{FF2B5EF4-FFF2-40B4-BE49-F238E27FC236}">
              <a16:creationId xmlns:a16="http://schemas.microsoft.com/office/drawing/2014/main" id="{00000000-0008-0000-0100-000007000000}"/>
            </a:ext>
          </a:extLst>
        </xdr:cNvPr>
        <xdr:cNvSpPr txBox="1"/>
      </xdr:nvSpPr>
      <xdr:spPr>
        <a:xfrm>
          <a:off x="2976790" y="8207376"/>
          <a:ext cx="5792258" cy="102658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t>Опасные факторы, уровень риска которых находится в желтой зоне матрицы, </a:t>
          </a:r>
          <a:r>
            <a:rPr i="1"/>
            <a:t>требуют</a:t>
          </a:r>
          <a:r>
            <a:t> принятия обязательных мер по снижению уровня риска перед началом выполнения работ. Если это условие является невыполнимым, следует уведомить </a:t>
          </a:r>
          <a:r>
            <a:rPr b="1"/>
            <a:t>капитана/менеджера базового подразделения</a:t>
          </a:r>
          <a:r>
            <a:t> (в зависимости от места выполнения работ – в </a:t>
          </a:r>
          <a:r>
            <a:rPr lang="ru-RU"/>
            <a:t>море</a:t>
          </a:r>
          <a:r>
            <a:t> или на берегу)..</a:t>
          </a:r>
          <a:r>
            <a:rPr lang="en-GB"/>
            <a:t> </a:t>
          </a:r>
          <a:endParaRPr lang="en-GB" sz="1100"/>
        </a:p>
      </xdr:txBody>
    </xdr:sp>
    <xdr:clientData/>
  </xdr:twoCellAnchor>
  <xdr:twoCellAnchor>
    <xdr:from>
      <xdr:col>4</xdr:col>
      <xdr:colOff>2117</xdr:colOff>
      <xdr:row>22</xdr:row>
      <xdr:rowOff>95251</xdr:rowOff>
    </xdr:from>
    <xdr:to>
      <xdr:col>10</xdr:col>
      <xdr:colOff>0</xdr:colOff>
      <xdr:row>26</xdr:row>
      <xdr:rowOff>89960</xdr:rowOff>
    </xdr:to>
    <xdr:sp macro="" textlink="">
      <xdr:nvSpPr>
        <xdr:cNvPr id="8" name="TextBox 7">
          <a:extLst>
            <a:ext uri="{FF2B5EF4-FFF2-40B4-BE49-F238E27FC236}">
              <a16:creationId xmlns:a16="http://schemas.microsoft.com/office/drawing/2014/main" id="{00000000-0008-0000-0100-000008000000}"/>
            </a:ext>
          </a:extLst>
        </xdr:cNvPr>
        <xdr:cNvSpPr txBox="1"/>
      </xdr:nvSpPr>
      <xdr:spPr>
        <a:xfrm>
          <a:off x="2949575" y="9112251"/>
          <a:ext cx="5792258" cy="121179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t>При наличии опасных факторов с уровнем риска в красной зоне приступать к выполнению задания </a:t>
          </a:r>
          <a:r>
            <a:rPr i="1"/>
            <a:t>запрещено</a:t>
          </a:r>
          <a:r>
            <a:t>. Необходимо уведомить </a:t>
          </a:r>
          <a:r>
            <a:rPr b="1"/>
            <a:t>капитана/менеджера базового подразделения</a:t>
          </a:r>
          <a:r>
            <a:t> (в море/на берегу, в зависимости от обстоятельств). Если снижение уровня риска не представляется возможным даже при наличии неограниченных ресурсов, запрет на выполнение работ должен оставаться в силе до тех пор, пока не будет найден более безопасный способ выполнения задания.</a:t>
          </a:r>
          <a:r>
            <a:rPr lang="en-GB"/>
            <a:t> </a:t>
          </a:r>
          <a:endParaRPr lang="en-GB" sz="1100"/>
        </a:p>
      </xdr:txBody>
    </xdr:sp>
    <xdr:clientData/>
  </xdr:twoCellAnchor>
  <xdr:twoCellAnchor>
    <xdr:from>
      <xdr:col>3</xdr:col>
      <xdr:colOff>938893</xdr:colOff>
      <xdr:row>26</xdr:row>
      <xdr:rowOff>111125</xdr:rowOff>
    </xdr:from>
    <xdr:to>
      <xdr:col>9</xdr:col>
      <xdr:colOff>843643</xdr:colOff>
      <xdr:row>29</xdr:row>
      <xdr:rowOff>52917</xdr:rowOff>
    </xdr:to>
    <xdr:sp macro="" textlink="">
      <xdr:nvSpPr>
        <xdr:cNvPr id="9" name="TextBox 8">
          <a:extLst>
            <a:ext uri="{FF2B5EF4-FFF2-40B4-BE49-F238E27FC236}">
              <a16:creationId xmlns:a16="http://schemas.microsoft.com/office/drawing/2014/main" id="{00000000-0008-0000-0100-000009000000}"/>
            </a:ext>
          </a:extLst>
        </xdr:cNvPr>
        <xdr:cNvSpPr txBox="1"/>
      </xdr:nvSpPr>
      <xdr:spPr>
        <a:xfrm>
          <a:off x="2891518" y="10345208"/>
          <a:ext cx="5762625" cy="41804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l"/>
          <a:r>
            <a:rPr lang="en-GB" b="1">
              <a:solidFill>
                <a:schemeClr val="dk1"/>
              </a:solidFill>
              <a:latin typeface="Calibri"/>
            </a:rPr>
            <a:t>РИСК = ВЕРОЯТНОСТЬ X ТЯЖЕСТЬ ПОСЛЕДСТВИЙ</a:t>
          </a:r>
          <a:endParaRPr lang="en-GB" sz="1100"/>
        </a:p>
      </xdr:txBody>
    </xdr:sp>
    <xdr:clientData/>
  </xdr:twoCellAnchor>
</xdr:wsDr>
</file>

<file path=xl/theme/theme1.xml><?xml version="1.0" encoding="utf-8"?>
<a:theme xmlns:a="http://schemas.openxmlformats.org/drawingml/2006/main" name="Thème Office">
  <a:themeElements>
    <a:clrScheme name="Bureau">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Bureau">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Bureau">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
  <dimension ref="A1:W64"/>
  <sheetViews>
    <sheetView tabSelected="1" zoomScale="80" zoomScaleNormal="80" zoomScalePageLayoutView="70" workbookViewId="0">
      <selection activeCell="C7" sqref="C7"/>
    </sheetView>
  </sheetViews>
  <sheetFormatPr defaultColWidth="9.140625" defaultRowHeight="12.75" x14ac:dyDescent="0.2"/>
  <cols>
    <col min="1" max="1" width="6.85546875" style="3" customWidth="1"/>
    <col min="2" max="2" width="28.5703125" style="3" customWidth="1"/>
    <col min="3" max="3" width="66.140625" style="3" customWidth="1"/>
    <col min="4" max="4" width="4.85546875" style="3" customWidth="1"/>
    <col min="5" max="5" width="5.140625" style="3" customWidth="1"/>
    <col min="6" max="6" width="5.42578125" style="3" customWidth="1"/>
    <col min="7" max="7" width="16.85546875" style="3" customWidth="1"/>
    <col min="8" max="8" width="37" style="3" customWidth="1"/>
    <col min="9" max="9" width="58.42578125" style="3" hidden="1" customWidth="1"/>
    <col min="10" max="10" width="19.5703125" style="3" customWidth="1"/>
    <col min="11" max="11" width="5.42578125" style="3" customWidth="1"/>
    <col min="12" max="12" width="5.140625" style="3" customWidth="1"/>
    <col min="13" max="13" width="5.5703125" style="3" customWidth="1"/>
    <col min="14" max="14" width="10.140625" style="3" customWidth="1"/>
    <col min="15" max="15" width="9.140625" style="3" customWidth="1"/>
    <col min="16" max="16" width="9.140625" style="3" hidden="1" customWidth="1"/>
    <col min="17" max="17" width="11.5703125" style="7" hidden="1" customWidth="1"/>
    <col min="18" max="18" width="13.42578125" style="3" hidden="1" customWidth="1"/>
    <col min="19" max="20" width="14.42578125" style="3" hidden="1" customWidth="1"/>
    <col min="21" max="21" width="10.140625" style="3" hidden="1" customWidth="1"/>
    <col min="22" max="23" width="9.140625" style="3" hidden="1" customWidth="1"/>
    <col min="24" max="16384" width="9.140625" style="3"/>
  </cols>
  <sheetData>
    <row r="1" spans="1:23" ht="11.25" customHeight="1" x14ac:dyDescent="0.35">
      <c r="A1" s="165" t="s">
        <v>76</v>
      </c>
      <c r="B1" s="166"/>
      <c r="C1" s="52"/>
      <c r="D1" s="53"/>
      <c r="E1" s="53"/>
      <c r="F1" s="53"/>
      <c r="G1" s="54"/>
      <c r="H1" s="55"/>
      <c r="I1" s="1"/>
      <c r="J1" s="60"/>
      <c r="K1" s="54"/>
      <c r="L1" s="54"/>
      <c r="M1" s="61"/>
      <c r="Q1" s="14" t="s">
        <v>17</v>
      </c>
      <c r="R1" s="14" t="s">
        <v>18</v>
      </c>
      <c r="S1" s="14" t="s">
        <v>19</v>
      </c>
      <c r="T1" s="14" t="s">
        <v>20</v>
      </c>
      <c r="U1" s="14" t="s">
        <v>21</v>
      </c>
      <c r="V1" s="14" t="s">
        <v>22</v>
      </c>
      <c r="W1" s="18" t="s">
        <v>23</v>
      </c>
    </row>
    <row r="2" spans="1:23" ht="25.5" customHeight="1" x14ac:dyDescent="0.2">
      <c r="A2" s="167"/>
      <c r="B2" s="168"/>
      <c r="C2" s="56"/>
      <c r="D2" s="50"/>
      <c r="E2" s="50"/>
      <c r="F2" s="50"/>
      <c r="G2" s="50"/>
      <c r="H2" s="57"/>
      <c r="I2" s="4"/>
      <c r="J2" s="171" t="s">
        <v>0</v>
      </c>
      <c r="K2" s="172"/>
      <c r="L2" s="172"/>
      <c r="M2" s="173"/>
      <c r="P2" s="7"/>
      <c r="Q2" s="14">
        <v>1</v>
      </c>
      <c r="R2" s="14" t="s">
        <v>24</v>
      </c>
      <c r="S2" s="15"/>
      <c r="T2" s="15"/>
      <c r="U2" s="15"/>
      <c r="V2" s="15"/>
      <c r="W2" s="18" t="s">
        <v>25</v>
      </c>
    </row>
    <row r="3" spans="1:23" ht="25.5" customHeight="1" x14ac:dyDescent="0.2">
      <c r="A3" s="167"/>
      <c r="B3" s="168"/>
      <c r="C3" s="178" t="s">
        <v>77</v>
      </c>
      <c r="D3" s="179"/>
      <c r="E3" s="179"/>
      <c r="F3" s="179"/>
      <c r="G3" s="179"/>
      <c r="H3" s="180"/>
      <c r="J3" s="174" t="s">
        <v>78</v>
      </c>
      <c r="K3" s="172"/>
      <c r="L3" s="172"/>
      <c r="M3" s="173"/>
      <c r="P3" s="7"/>
      <c r="Q3" s="14">
        <v>2</v>
      </c>
      <c r="R3" s="14" t="s">
        <v>26</v>
      </c>
      <c r="S3" s="15"/>
      <c r="T3" s="15"/>
      <c r="U3" s="15"/>
      <c r="V3" s="15"/>
      <c r="W3" s="18" t="s">
        <v>27</v>
      </c>
    </row>
    <row r="4" spans="1:23" ht="33.75" customHeight="1" x14ac:dyDescent="0.2">
      <c r="A4" s="169"/>
      <c r="B4" s="170"/>
      <c r="C4" s="59"/>
      <c r="D4" s="51"/>
      <c r="E4" s="51"/>
      <c r="F4" s="51"/>
      <c r="G4" s="51"/>
      <c r="H4" s="58"/>
      <c r="J4" s="175" t="s">
        <v>79</v>
      </c>
      <c r="K4" s="176"/>
      <c r="L4" s="176"/>
      <c r="M4" s="177"/>
      <c r="P4" s="7"/>
      <c r="Q4" s="14"/>
      <c r="R4" s="14"/>
      <c r="S4" s="15"/>
      <c r="T4" s="15"/>
      <c r="U4" s="15"/>
      <c r="V4" s="15"/>
      <c r="W4" s="18"/>
    </row>
    <row r="5" spans="1:23" ht="8.4499999999999993" customHeight="1" x14ac:dyDescent="0.2">
      <c r="A5" s="62"/>
      <c r="B5" s="62"/>
      <c r="C5" s="62"/>
      <c r="D5" s="62"/>
      <c r="E5" s="62"/>
      <c r="F5" s="62"/>
      <c r="G5" s="62"/>
      <c r="H5" s="62"/>
      <c r="I5" s="62"/>
      <c r="J5" s="62"/>
      <c r="K5" s="62"/>
      <c r="L5" s="62"/>
      <c r="M5" s="62"/>
      <c r="P5" s="7"/>
      <c r="Q5" s="14">
        <v>3</v>
      </c>
      <c r="R5" s="14" t="s">
        <v>28</v>
      </c>
      <c r="S5" s="15"/>
      <c r="T5" s="15"/>
      <c r="U5" s="15"/>
      <c r="V5" s="15"/>
      <c r="W5" s="18" t="s">
        <v>29</v>
      </c>
    </row>
    <row r="6" spans="1:23" s="7" customFormat="1" ht="48" customHeight="1" x14ac:dyDescent="0.2">
      <c r="A6" s="107" t="s">
        <v>1</v>
      </c>
      <c r="B6" s="107"/>
      <c r="C6" s="87"/>
      <c r="D6" s="63"/>
      <c r="E6" s="63"/>
      <c r="F6" s="64"/>
      <c r="G6" s="78" t="s">
        <v>94</v>
      </c>
      <c r="H6" s="89" t="s">
        <v>81</v>
      </c>
      <c r="I6" s="63"/>
      <c r="J6" s="88" t="s">
        <v>95</v>
      </c>
      <c r="K6" s="160" t="s">
        <v>80</v>
      </c>
      <c r="L6" s="160"/>
      <c r="M6" s="161"/>
      <c r="Q6" s="14">
        <v>4</v>
      </c>
      <c r="R6" s="14" t="s">
        <v>30</v>
      </c>
      <c r="S6" s="14"/>
      <c r="T6" s="14"/>
      <c r="U6" s="14"/>
      <c r="V6" s="14"/>
    </row>
    <row r="7" spans="1:23" s="7" customFormat="1" ht="36" customHeight="1" x14ac:dyDescent="0.2">
      <c r="A7" s="112" t="s">
        <v>2</v>
      </c>
      <c r="B7" s="113"/>
      <c r="C7" s="86"/>
      <c r="D7" s="120" t="s">
        <v>83</v>
      </c>
      <c r="E7" s="121"/>
      <c r="F7" s="121"/>
      <c r="G7" s="78" t="s">
        <v>84</v>
      </c>
      <c r="H7" s="108" t="s">
        <v>82</v>
      </c>
      <c r="I7" s="109"/>
      <c r="J7" s="110"/>
      <c r="K7" s="120" t="s">
        <v>85</v>
      </c>
      <c r="L7" s="121"/>
      <c r="M7" s="122"/>
      <c r="Q7" s="14">
        <v>5</v>
      </c>
      <c r="R7" s="14" t="s">
        <v>31</v>
      </c>
      <c r="S7" s="14"/>
      <c r="T7" s="14"/>
      <c r="U7" s="14"/>
      <c r="V7" s="14"/>
    </row>
    <row r="8" spans="1:23" ht="158.25" customHeight="1" x14ac:dyDescent="0.2">
      <c r="A8" s="76" t="s">
        <v>86</v>
      </c>
      <c r="B8" s="76" t="s">
        <v>87</v>
      </c>
      <c r="C8" s="76" t="s">
        <v>88</v>
      </c>
      <c r="D8" s="77" t="s">
        <v>89</v>
      </c>
      <c r="E8" s="77" t="s">
        <v>90</v>
      </c>
      <c r="F8" s="77" t="s">
        <v>91</v>
      </c>
      <c r="G8" s="162" t="s">
        <v>92</v>
      </c>
      <c r="H8" s="163"/>
      <c r="I8" s="164"/>
      <c r="J8" s="130"/>
      <c r="K8" s="77" t="s">
        <v>89</v>
      </c>
      <c r="L8" s="77" t="s">
        <v>90</v>
      </c>
      <c r="M8" s="77" t="s">
        <v>93</v>
      </c>
      <c r="Q8" s="14"/>
      <c r="R8" s="15"/>
      <c r="S8" s="15"/>
      <c r="T8" s="15"/>
      <c r="U8" s="15" t="str">
        <f>IF(L16="","",IF(N16="","",IF(M16+O16&lt;=5,$W$17,IF(M16+O16=6,$W$18,IF(M16+O16=7,$W$18,IF(M16+O16&gt;=8,$W$22,""))))))</f>
        <v/>
      </c>
      <c r="V8" s="15"/>
    </row>
    <row r="9" spans="1:23" ht="87.95" customHeight="1" x14ac:dyDescent="0.2">
      <c r="A9" s="95">
        <v>1</v>
      </c>
      <c r="B9" s="94" t="s">
        <v>96</v>
      </c>
      <c r="C9" s="90" t="s">
        <v>97</v>
      </c>
      <c r="D9" s="20">
        <v>4</v>
      </c>
      <c r="E9" s="13" t="s">
        <v>3</v>
      </c>
      <c r="F9" s="75" t="str">
        <f t="shared" ref="F9:F18" si="0">IF(D9="","",(IF(E9="","",IF(U9&lt;=1,"",IF(U9&lt;=5,$W$2,IF(U9=6,$W$3,IF(U9=7,$W$3,IF(U9&gt;=8,$W$5,""))))))))</f>
        <v>M</v>
      </c>
      <c r="G9" s="98" t="s">
        <v>98</v>
      </c>
      <c r="H9" s="99"/>
      <c r="I9" s="158"/>
      <c r="J9" s="159"/>
      <c r="K9" s="20">
        <v>1</v>
      </c>
      <c r="L9" s="13" t="s">
        <v>4</v>
      </c>
      <c r="M9" s="65" t="str">
        <f t="shared" ref="M9:M18" si="1">IF(K9="","",(IF(L9="","",IF(V9&lt;=1,"",IF(V9&lt;=5,$W$2,IF(V9=6,$W$3,IF(V9=7,$W$3,IF(V9&gt;=8,$W$5,""))))))))</f>
        <v>L</v>
      </c>
      <c r="Q9" s="14"/>
      <c r="R9" s="15"/>
      <c r="S9" s="19">
        <f t="shared" ref="S9:S18" si="2">IF(E9="A",1,IF(E9="B",2,IF(E9="C",3,IF(E9="D",4,IF(E9="E",5,"")))))</f>
        <v>3</v>
      </c>
      <c r="T9" s="19">
        <f t="shared" ref="T9:T18" si="3">IF(L9="A",1,IF(L9="B",2,IF(L9="C",3,IF(L9="D",4,IF(L9="E",5,"")))))</f>
        <v>3</v>
      </c>
      <c r="U9" s="15">
        <f t="shared" ref="U9:U18" si="4">D9+S9</f>
        <v>7</v>
      </c>
      <c r="V9" s="15">
        <f t="shared" ref="V9:V18" si="5">K9+T9</f>
        <v>4</v>
      </c>
    </row>
    <row r="10" spans="1:23" ht="146.25" customHeight="1" x14ac:dyDescent="0.2">
      <c r="A10" s="95">
        <v>2</v>
      </c>
      <c r="B10" s="94" t="s">
        <v>99</v>
      </c>
      <c r="C10" s="91" t="s">
        <v>100</v>
      </c>
      <c r="D10" s="20">
        <v>3</v>
      </c>
      <c r="E10" s="13" t="s">
        <v>3</v>
      </c>
      <c r="F10" s="75" t="str">
        <f t="shared" ref="F10:F14" si="6">IF(D10="","",(IF(E10="","",IF(U10&lt;=1,"",IF(U10&lt;=5,$W$2,IF(U10=6,$W$3,IF(U10=7,$W$3,IF(U10&gt;=8,$W$5,""))))))))</f>
        <v>M</v>
      </c>
      <c r="G10" s="98" t="s">
        <v>101</v>
      </c>
      <c r="H10" s="99"/>
      <c r="I10" s="158"/>
      <c r="J10" s="159"/>
      <c r="K10" s="20">
        <v>1</v>
      </c>
      <c r="L10" s="13" t="s">
        <v>3</v>
      </c>
      <c r="M10" s="65" t="str">
        <f t="shared" ref="M10:M14" si="7">IF(K10="","",(IF(L10="","",IF(V10&lt;=1,"",IF(V10&lt;=5,$W$2,IF(V10=6,$W$3,IF(V10=7,$W$3,IF(V10&gt;=8,$W$5,""))))))))</f>
        <v>L</v>
      </c>
      <c r="Q10" s="14"/>
      <c r="R10" s="15"/>
      <c r="S10" s="19">
        <f t="shared" ref="S10:S14" si="8">IF(E10="A",1,IF(E10="B",2,IF(E10="C",3,IF(E10="D",4,IF(E10="E",5,"")))))</f>
        <v>3</v>
      </c>
      <c r="T10" s="19">
        <f t="shared" ref="T10:T14" si="9">IF(L10="A",1,IF(L10="B",2,IF(L10="C",3,IF(L10="D",4,IF(L10="E",5,"")))))</f>
        <v>3</v>
      </c>
      <c r="U10" s="15">
        <f t="shared" ref="U10:U14" si="10">D10+S10</f>
        <v>6</v>
      </c>
      <c r="V10" s="15">
        <f t="shared" ref="V10:V14" si="11">K10+T10</f>
        <v>4</v>
      </c>
    </row>
    <row r="11" spans="1:23" ht="318" customHeight="1" x14ac:dyDescent="0.2">
      <c r="A11" s="95">
        <v>3</v>
      </c>
      <c r="B11" s="94" t="s">
        <v>102</v>
      </c>
      <c r="C11" s="91" t="s">
        <v>103</v>
      </c>
      <c r="D11" s="20">
        <v>3</v>
      </c>
      <c r="E11" s="13" t="s">
        <v>3</v>
      </c>
      <c r="F11" s="75" t="str">
        <f t="shared" si="6"/>
        <v>M</v>
      </c>
      <c r="G11" s="98" t="s">
        <v>104</v>
      </c>
      <c r="H11" s="99"/>
      <c r="I11" s="158"/>
      <c r="J11" s="159"/>
      <c r="K11" s="20">
        <v>1</v>
      </c>
      <c r="L11" s="13" t="s">
        <v>3</v>
      </c>
      <c r="M11" s="65" t="str">
        <f t="shared" si="7"/>
        <v>L</v>
      </c>
      <c r="Q11" s="14"/>
      <c r="R11" s="15"/>
      <c r="S11" s="19">
        <f t="shared" si="8"/>
        <v>3</v>
      </c>
      <c r="T11" s="19">
        <f t="shared" si="9"/>
        <v>3</v>
      </c>
      <c r="U11" s="15">
        <f t="shared" si="10"/>
        <v>6</v>
      </c>
      <c r="V11" s="15">
        <f t="shared" si="11"/>
        <v>4</v>
      </c>
    </row>
    <row r="12" spans="1:23" ht="274.5" customHeight="1" x14ac:dyDescent="0.2">
      <c r="A12" s="95">
        <v>4</v>
      </c>
      <c r="B12" s="94" t="s">
        <v>105</v>
      </c>
      <c r="C12" s="91" t="s">
        <v>106</v>
      </c>
      <c r="D12" s="20">
        <v>5</v>
      </c>
      <c r="E12" s="13" t="s">
        <v>3</v>
      </c>
      <c r="F12" s="75" t="str">
        <f t="shared" si="6"/>
        <v>H</v>
      </c>
      <c r="G12" s="98" t="s">
        <v>107</v>
      </c>
      <c r="H12" s="99"/>
      <c r="I12" s="158"/>
      <c r="J12" s="159"/>
      <c r="K12" s="20">
        <v>2</v>
      </c>
      <c r="L12" s="13" t="s">
        <v>3</v>
      </c>
      <c r="M12" s="65" t="str">
        <f t="shared" si="7"/>
        <v>L</v>
      </c>
      <c r="Q12" s="14"/>
      <c r="R12" s="15"/>
      <c r="S12" s="19">
        <f t="shared" si="8"/>
        <v>3</v>
      </c>
      <c r="T12" s="19">
        <f t="shared" si="9"/>
        <v>3</v>
      </c>
      <c r="U12" s="15">
        <f t="shared" si="10"/>
        <v>8</v>
      </c>
      <c r="V12" s="15">
        <f t="shared" si="11"/>
        <v>5</v>
      </c>
    </row>
    <row r="13" spans="1:23" ht="339.6" customHeight="1" x14ac:dyDescent="0.2">
      <c r="A13" s="95">
        <v>5</v>
      </c>
      <c r="B13" s="94" t="s">
        <v>108</v>
      </c>
      <c r="C13" s="91" t="s">
        <v>109</v>
      </c>
      <c r="D13" s="20">
        <v>5</v>
      </c>
      <c r="E13" s="13" t="s">
        <v>3</v>
      </c>
      <c r="F13" s="75" t="str">
        <f t="shared" si="6"/>
        <v>H</v>
      </c>
      <c r="G13" s="98" t="s">
        <v>110</v>
      </c>
      <c r="H13" s="99"/>
      <c r="I13" s="158"/>
      <c r="J13" s="159"/>
      <c r="K13" s="20">
        <v>2</v>
      </c>
      <c r="L13" s="13" t="s">
        <v>3</v>
      </c>
      <c r="M13" s="65" t="str">
        <f t="shared" si="7"/>
        <v>L</v>
      </c>
      <c r="Q13" s="14"/>
      <c r="R13" s="15"/>
      <c r="S13" s="19">
        <f t="shared" si="8"/>
        <v>3</v>
      </c>
      <c r="T13" s="19">
        <f t="shared" si="9"/>
        <v>3</v>
      </c>
      <c r="U13" s="15">
        <f t="shared" si="10"/>
        <v>8</v>
      </c>
      <c r="V13" s="15">
        <f t="shared" si="11"/>
        <v>5</v>
      </c>
    </row>
    <row r="14" spans="1:23" ht="104.25" customHeight="1" x14ac:dyDescent="0.2">
      <c r="A14" s="95">
        <v>6</v>
      </c>
      <c r="B14" s="94" t="s">
        <v>111</v>
      </c>
      <c r="C14" s="91" t="s">
        <v>112</v>
      </c>
      <c r="D14" s="20">
        <v>3</v>
      </c>
      <c r="E14" s="13" t="s">
        <v>3</v>
      </c>
      <c r="F14" s="75" t="str">
        <f t="shared" si="6"/>
        <v>M</v>
      </c>
      <c r="G14" s="98" t="s">
        <v>113</v>
      </c>
      <c r="H14" s="99"/>
      <c r="I14" s="158"/>
      <c r="J14" s="159"/>
      <c r="K14" s="20">
        <v>1</v>
      </c>
      <c r="L14" s="13" t="s">
        <v>3</v>
      </c>
      <c r="M14" s="65" t="str">
        <f t="shared" si="7"/>
        <v>L</v>
      </c>
      <c r="Q14" s="14"/>
      <c r="R14" s="15"/>
      <c r="S14" s="19">
        <f t="shared" si="8"/>
        <v>3</v>
      </c>
      <c r="T14" s="19">
        <f t="shared" si="9"/>
        <v>3</v>
      </c>
      <c r="U14" s="15">
        <f t="shared" si="10"/>
        <v>6</v>
      </c>
      <c r="V14" s="15">
        <f t="shared" si="11"/>
        <v>4</v>
      </c>
    </row>
    <row r="15" spans="1:23" ht="246.95" customHeight="1" x14ac:dyDescent="0.2">
      <c r="A15" s="95">
        <v>7</v>
      </c>
      <c r="B15" s="94" t="s">
        <v>114</v>
      </c>
      <c r="C15" s="91" t="s">
        <v>115</v>
      </c>
      <c r="D15" s="20">
        <v>3</v>
      </c>
      <c r="E15" s="13" t="s">
        <v>5</v>
      </c>
      <c r="F15" s="75" t="str">
        <f t="shared" si="0"/>
        <v>M</v>
      </c>
      <c r="G15" s="98" t="s">
        <v>116</v>
      </c>
      <c r="H15" s="99"/>
      <c r="I15" s="158"/>
      <c r="J15" s="159"/>
      <c r="K15" s="20">
        <v>1</v>
      </c>
      <c r="L15" s="13" t="s">
        <v>6</v>
      </c>
      <c r="M15" s="65" t="str">
        <f t="shared" si="1"/>
        <v>L</v>
      </c>
      <c r="Q15" s="14"/>
      <c r="R15" s="15"/>
      <c r="S15" s="19">
        <f t="shared" si="2"/>
        <v>3</v>
      </c>
      <c r="T15" s="19">
        <f t="shared" si="3"/>
        <v>3</v>
      </c>
      <c r="U15" s="15">
        <f t="shared" si="4"/>
        <v>6</v>
      </c>
      <c r="V15" s="15">
        <f t="shared" si="5"/>
        <v>4</v>
      </c>
    </row>
    <row r="16" spans="1:23" ht="201.6" customHeight="1" x14ac:dyDescent="0.2">
      <c r="A16" s="95">
        <v>8</v>
      </c>
      <c r="B16" s="94" t="s">
        <v>118</v>
      </c>
      <c r="C16" s="91" t="s">
        <v>117</v>
      </c>
      <c r="D16" s="20">
        <v>5</v>
      </c>
      <c r="E16" s="13" t="s">
        <v>3</v>
      </c>
      <c r="F16" s="75" t="str">
        <f t="shared" ref="F16" si="12">IF(D16="","",(IF(E16="","",IF(U16&lt;=1,"",IF(U16&lt;=5,$W$2,IF(U16=6,$W$3,IF(U16=7,$W$3,IF(U16&gt;=8,$W$5,""))))))))</f>
        <v>H</v>
      </c>
      <c r="G16" s="98" t="s">
        <v>119</v>
      </c>
      <c r="H16" s="99"/>
      <c r="I16" s="158"/>
      <c r="J16" s="159"/>
      <c r="K16" s="20">
        <v>2</v>
      </c>
      <c r="L16" s="13" t="s">
        <v>3</v>
      </c>
      <c r="M16" s="65" t="str">
        <f t="shared" ref="M16" si="13">IF(K16="","",(IF(L16="","",IF(V16&lt;=1,"",IF(V16&lt;=5,$W$2,IF(V16=6,$W$3,IF(V16=7,$W$3,IF(V16&gt;=8,$W$5,""))))))))</f>
        <v>L</v>
      </c>
      <c r="Q16" s="14"/>
      <c r="R16" s="15"/>
      <c r="S16" s="19">
        <f t="shared" ref="S16" si="14">IF(E16="A",1,IF(E16="B",2,IF(E16="C",3,IF(E16="D",4,IF(E16="E",5,"")))))</f>
        <v>3</v>
      </c>
      <c r="T16" s="19">
        <f t="shared" ref="T16" si="15">IF(L16="A",1,IF(L16="B",2,IF(L16="C",3,IF(L16="D",4,IF(L16="E",5,"")))))</f>
        <v>3</v>
      </c>
      <c r="U16" s="15">
        <f t="shared" ref="U16" si="16">D16+S16</f>
        <v>8</v>
      </c>
      <c r="V16" s="15">
        <f t="shared" ref="V16" si="17">K16+T16</f>
        <v>5</v>
      </c>
    </row>
    <row r="17" spans="1:22" ht="171.6" customHeight="1" x14ac:dyDescent="0.2">
      <c r="A17" s="95">
        <v>9</v>
      </c>
      <c r="B17" s="94" t="s">
        <v>120</v>
      </c>
      <c r="C17" s="91" t="s">
        <v>122</v>
      </c>
      <c r="D17" s="20">
        <v>5</v>
      </c>
      <c r="E17" s="13" t="s">
        <v>7</v>
      </c>
      <c r="F17" s="75" t="str">
        <f t="shared" si="0"/>
        <v>H</v>
      </c>
      <c r="G17" s="98" t="s">
        <v>121</v>
      </c>
      <c r="H17" s="99"/>
      <c r="I17" s="99"/>
      <c r="J17" s="100"/>
      <c r="K17" s="20">
        <v>2</v>
      </c>
      <c r="L17" s="13" t="s">
        <v>8</v>
      </c>
      <c r="M17" s="65" t="str">
        <f t="shared" si="1"/>
        <v>M</v>
      </c>
      <c r="Q17" s="14"/>
      <c r="R17" s="15"/>
      <c r="S17" s="19">
        <f t="shared" si="2"/>
        <v>4</v>
      </c>
      <c r="T17" s="19">
        <f t="shared" si="3"/>
        <v>4</v>
      </c>
      <c r="U17" s="15">
        <f t="shared" si="4"/>
        <v>9</v>
      </c>
      <c r="V17" s="15">
        <f t="shared" si="5"/>
        <v>6</v>
      </c>
    </row>
    <row r="18" spans="1:22" ht="208.5" customHeight="1" x14ac:dyDescent="0.2">
      <c r="A18" s="95">
        <v>10</v>
      </c>
      <c r="B18" s="96" t="s">
        <v>123</v>
      </c>
      <c r="C18" s="91" t="s">
        <v>124</v>
      </c>
      <c r="D18" s="20">
        <v>3</v>
      </c>
      <c r="E18" s="13" t="s">
        <v>9</v>
      </c>
      <c r="F18" s="75" t="str">
        <f t="shared" si="0"/>
        <v>M</v>
      </c>
      <c r="G18" s="98" t="s">
        <v>125</v>
      </c>
      <c r="H18" s="99"/>
      <c r="I18" s="158"/>
      <c r="J18" s="159"/>
      <c r="K18" s="20">
        <v>1</v>
      </c>
      <c r="L18" s="13" t="s">
        <v>10</v>
      </c>
      <c r="M18" s="65" t="str">
        <f t="shared" si="1"/>
        <v>L</v>
      </c>
      <c r="Q18" s="14"/>
      <c r="R18" s="15"/>
      <c r="S18" s="19">
        <f t="shared" si="2"/>
        <v>3</v>
      </c>
      <c r="T18" s="19">
        <f t="shared" si="3"/>
        <v>3</v>
      </c>
      <c r="U18" s="15">
        <f t="shared" si="4"/>
        <v>6</v>
      </c>
      <c r="V18" s="15">
        <f t="shared" si="5"/>
        <v>4</v>
      </c>
    </row>
    <row r="19" spans="1:22" ht="182.45" customHeight="1" x14ac:dyDescent="0.2">
      <c r="A19" s="95">
        <v>11</v>
      </c>
      <c r="B19" s="96" t="s">
        <v>126</v>
      </c>
      <c r="C19" s="91" t="s">
        <v>128</v>
      </c>
      <c r="D19" s="20">
        <v>4</v>
      </c>
      <c r="E19" s="13" t="s">
        <v>7</v>
      </c>
      <c r="F19" s="75" t="str">
        <f>$F$18</f>
        <v>M</v>
      </c>
      <c r="G19" s="98" t="s">
        <v>127</v>
      </c>
      <c r="H19" s="99"/>
      <c r="I19" s="99"/>
      <c r="J19" s="100"/>
      <c r="K19" s="20">
        <v>2</v>
      </c>
      <c r="L19" s="13" t="s">
        <v>7</v>
      </c>
      <c r="M19" s="65" t="str">
        <f>$M$18</f>
        <v>L</v>
      </c>
      <c r="Q19" s="14"/>
      <c r="R19" s="15"/>
      <c r="S19" s="19"/>
      <c r="T19" s="19"/>
      <c r="U19" s="15"/>
      <c r="V19" s="15"/>
    </row>
    <row r="20" spans="1:22" ht="213.75" customHeight="1" x14ac:dyDescent="0.2">
      <c r="A20" s="95">
        <v>12</v>
      </c>
      <c r="B20" s="94" t="s">
        <v>129</v>
      </c>
      <c r="C20" s="91" t="s">
        <v>130</v>
      </c>
      <c r="D20" s="20">
        <v>4</v>
      </c>
      <c r="E20" s="13" t="s">
        <v>7</v>
      </c>
      <c r="F20" s="75" t="str">
        <f>$F$25</f>
        <v>H</v>
      </c>
      <c r="G20" s="98" t="s">
        <v>131</v>
      </c>
      <c r="H20" s="99"/>
      <c r="I20" s="99"/>
      <c r="J20" s="100"/>
      <c r="K20" s="20">
        <v>2</v>
      </c>
      <c r="L20" s="13" t="s">
        <v>7</v>
      </c>
      <c r="M20" s="65" t="s">
        <v>27</v>
      </c>
      <c r="Q20" s="14"/>
      <c r="R20" s="15"/>
      <c r="S20" s="19"/>
      <c r="T20" s="19"/>
      <c r="U20" s="15"/>
      <c r="V20" s="15"/>
    </row>
    <row r="21" spans="1:22" ht="264.60000000000002" customHeight="1" x14ac:dyDescent="0.2">
      <c r="A21" s="95">
        <v>13</v>
      </c>
      <c r="B21" s="94" t="s">
        <v>132</v>
      </c>
      <c r="C21" s="91" t="s">
        <v>133</v>
      </c>
      <c r="D21" s="20">
        <v>4</v>
      </c>
      <c r="E21" s="13" t="s">
        <v>30</v>
      </c>
      <c r="F21" s="75" t="str">
        <f>$F$24</f>
        <v>H</v>
      </c>
      <c r="G21" s="98" t="s">
        <v>134</v>
      </c>
      <c r="H21" s="99"/>
      <c r="I21" s="99"/>
      <c r="J21" s="100"/>
      <c r="K21" s="20">
        <v>2</v>
      </c>
      <c r="L21" s="13" t="s">
        <v>30</v>
      </c>
      <c r="M21" s="65" t="str">
        <f>$M$18</f>
        <v>L</v>
      </c>
      <c r="Q21" s="14"/>
      <c r="R21" s="15"/>
      <c r="S21" s="19"/>
      <c r="T21" s="19"/>
      <c r="U21" s="15"/>
      <c r="V21" s="15"/>
    </row>
    <row r="22" spans="1:22" ht="233.45" customHeight="1" x14ac:dyDescent="0.2">
      <c r="A22" s="95">
        <v>14</v>
      </c>
      <c r="B22" s="96" t="s">
        <v>135</v>
      </c>
      <c r="C22" s="91" t="s">
        <v>136</v>
      </c>
      <c r="D22" s="20">
        <v>4</v>
      </c>
      <c r="E22" s="13" t="s">
        <v>30</v>
      </c>
      <c r="F22" s="75" t="s">
        <v>27</v>
      </c>
      <c r="G22" s="98" t="s">
        <v>137</v>
      </c>
      <c r="H22" s="99"/>
      <c r="I22" s="99"/>
      <c r="J22" s="100"/>
      <c r="K22" s="20">
        <v>2</v>
      </c>
      <c r="L22" s="13" t="s">
        <v>30</v>
      </c>
      <c r="M22" s="65" t="s">
        <v>25</v>
      </c>
      <c r="Q22" s="14"/>
      <c r="R22" s="15"/>
      <c r="S22" s="19">
        <f>IF(E25="A",1,IF(E25="B",2,IF(E25="C",3,IF(E25="D",4,IF(E25="E",5,"")))))</f>
        <v>4</v>
      </c>
      <c r="T22" s="19">
        <f>IF(L25="A",1,IF(L25="B",2,IF(L25="C",3,IF(L25="D",4,IF(L25="E",5,"")))))</f>
        <v>4</v>
      </c>
      <c r="U22" s="15">
        <f>D25+S22</f>
        <v>8</v>
      </c>
      <c r="V22" s="15">
        <f>K25+T22</f>
        <v>6</v>
      </c>
    </row>
    <row r="23" spans="1:22" ht="180.95" customHeight="1" x14ac:dyDescent="0.2">
      <c r="A23" s="95">
        <v>15</v>
      </c>
      <c r="B23" s="94" t="s">
        <v>138</v>
      </c>
      <c r="C23" s="91" t="s">
        <v>140</v>
      </c>
      <c r="D23" s="20">
        <v>3</v>
      </c>
      <c r="E23" s="13" t="s">
        <v>30</v>
      </c>
      <c r="F23" s="75" t="s">
        <v>27</v>
      </c>
      <c r="G23" s="98" t="s">
        <v>139</v>
      </c>
      <c r="H23" s="99"/>
      <c r="I23" s="99"/>
      <c r="J23" s="100"/>
      <c r="K23" s="20">
        <v>2</v>
      </c>
      <c r="L23" s="13" t="s">
        <v>30</v>
      </c>
      <c r="M23" s="65" t="s">
        <v>25</v>
      </c>
      <c r="Q23" s="14"/>
      <c r="R23" s="15"/>
      <c r="S23" s="19" t="e">
        <f>IF(#REF!="A",1,IF(#REF!="B",2,IF(#REF!="C",3,IF(#REF!="D",4,IF(#REF!="E",5,"")))))</f>
        <v>#REF!</v>
      </c>
      <c r="T23" s="19" t="e">
        <f>IF(#REF!="A",1,IF(#REF!="B",2,IF(#REF!="C",3,IF(#REF!="D",4,IF(#REF!="E",5,"")))))</f>
        <v>#REF!</v>
      </c>
      <c r="U23" s="15" t="e">
        <f>#REF!+S23</f>
        <v>#REF!</v>
      </c>
      <c r="V23" s="15" t="e">
        <f>#REF!+T23</f>
        <v>#REF!</v>
      </c>
    </row>
    <row r="24" spans="1:22" ht="339" customHeight="1" x14ac:dyDescent="0.2">
      <c r="A24" s="95">
        <v>16</v>
      </c>
      <c r="B24" s="97" t="s">
        <v>141</v>
      </c>
      <c r="C24" s="91" t="s">
        <v>142</v>
      </c>
      <c r="D24" s="20">
        <v>4</v>
      </c>
      <c r="E24" s="13" t="s">
        <v>30</v>
      </c>
      <c r="F24" s="75" t="str">
        <f>$F$25</f>
        <v>H</v>
      </c>
      <c r="G24" s="98" t="s">
        <v>143</v>
      </c>
      <c r="H24" s="99"/>
      <c r="I24" s="99"/>
      <c r="J24" s="100"/>
      <c r="K24" s="20"/>
      <c r="L24" s="13"/>
      <c r="M24" s="65" t="str">
        <f>$M$18</f>
        <v>L</v>
      </c>
      <c r="Q24" s="14"/>
      <c r="R24" s="15"/>
      <c r="S24" s="19" t="e">
        <f>IF(#REF!="A",1,IF(#REF!="B",2,IF(#REF!="C",3,IF(#REF!="D",4,IF(#REF!="E",5,"")))))</f>
        <v>#REF!</v>
      </c>
      <c r="T24" s="19" t="e">
        <f>IF(#REF!="A",1,IF(#REF!="B",2,IF(#REF!="C",3,IF(#REF!="D",4,IF(#REF!="E",5,"")))))</f>
        <v>#REF!</v>
      </c>
      <c r="U24" s="15" t="e">
        <f>#REF!+S24</f>
        <v>#REF!</v>
      </c>
      <c r="V24" s="15" t="e">
        <f>#REF!+T24</f>
        <v>#REF!</v>
      </c>
    </row>
    <row r="25" spans="1:22" ht="211.5" customHeight="1" x14ac:dyDescent="0.2">
      <c r="A25" s="95">
        <v>17</v>
      </c>
      <c r="B25" s="94" t="s">
        <v>144</v>
      </c>
      <c r="C25" s="91" t="s">
        <v>145</v>
      </c>
      <c r="D25" s="20">
        <v>4</v>
      </c>
      <c r="E25" s="13" t="s">
        <v>11</v>
      </c>
      <c r="F25" s="75" t="str">
        <f>IF(D25="","",(IF(E25="","",IF(U22&lt;=1,"",IF(U22&lt;=5,$W$2,IF(U22=6,$W$3,IF(U22=7,$W$3,IF(U22&gt;=8,$W$5,""))))))))</f>
        <v>H</v>
      </c>
      <c r="G25" s="98" t="s">
        <v>146</v>
      </c>
      <c r="H25" s="99"/>
      <c r="I25" s="99"/>
      <c r="J25" s="100"/>
      <c r="K25" s="20">
        <v>2</v>
      </c>
      <c r="L25" s="13" t="s">
        <v>12</v>
      </c>
      <c r="M25" s="65" t="str">
        <f>IF(K25="","",(IF(L25="","",IF(V22&lt;=1,"",IF(V22&lt;=5,$W$2,IF(V22=6,$W$3,IF(V22=7,$W$3,IF(V22&gt;=8,$W$5,""))))))))</f>
        <v>M</v>
      </c>
      <c r="Q25" s="14"/>
      <c r="R25" s="15"/>
      <c r="S25" s="19" t="e">
        <f>IF(#REF!="A",1,IF(#REF!="B",2,IF(#REF!="C",3,IF(#REF!="D",4,IF(#REF!="E",5,"")))))</f>
        <v>#REF!</v>
      </c>
      <c r="T25" s="19" t="e">
        <f>IF(#REF!="A",1,IF(#REF!="B",2,IF(#REF!="C",3,IF(#REF!="D",4,IF(#REF!="E",5,"")))))</f>
        <v>#REF!</v>
      </c>
      <c r="U25" s="15" t="e">
        <f>#REF!+S25</f>
        <v>#REF!</v>
      </c>
      <c r="V25" s="15" t="e">
        <f>#REF!+T25</f>
        <v>#REF!</v>
      </c>
    </row>
    <row r="26" spans="1:22" ht="44.25" customHeight="1" x14ac:dyDescent="0.2">
      <c r="A26" s="114" t="s">
        <v>147</v>
      </c>
      <c r="B26" s="115"/>
      <c r="C26" s="115"/>
      <c r="D26" s="115"/>
      <c r="E26" s="115"/>
      <c r="F26" s="115"/>
      <c r="G26" s="115"/>
      <c r="H26" s="115"/>
      <c r="I26" s="115"/>
      <c r="J26" s="115"/>
      <c r="K26" s="115"/>
      <c r="L26" s="115"/>
      <c r="M26" s="116"/>
      <c r="Q26" s="14"/>
      <c r="R26" s="15"/>
      <c r="S26" s="19" t="e">
        <f>IF(#REF!="A",1,IF(#REF!="B",2,IF(#REF!="C",3,IF(#REF!="D",4,IF(#REF!="E",5,"")))))</f>
        <v>#REF!</v>
      </c>
      <c r="T26" s="19" t="e">
        <f>IF(#REF!="A",1,IF(#REF!="B",2,IF(#REF!="C",3,IF(#REF!="D",4,IF(#REF!="E",5,"")))))</f>
        <v>#REF!</v>
      </c>
      <c r="U26" s="15" t="e">
        <f>#REF!+S26</f>
        <v>#REF!</v>
      </c>
      <c r="V26" s="15" t="e">
        <f>#REF!+T26</f>
        <v>#REF!</v>
      </c>
    </row>
    <row r="27" spans="1:22" ht="31.5" customHeight="1" x14ac:dyDescent="0.2">
      <c r="A27" s="156" t="s">
        <v>148</v>
      </c>
      <c r="B27" s="157"/>
      <c r="C27" s="157"/>
      <c r="D27" s="157"/>
      <c r="E27" s="157"/>
      <c r="F27" s="157"/>
      <c r="G27" s="157"/>
      <c r="H27" s="157"/>
      <c r="I27" s="157"/>
      <c r="J27" s="157"/>
      <c r="K27" s="157"/>
      <c r="L27" s="157"/>
      <c r="M27" s="157"/>
      <c r="Q27" s="14"/>
      <c r="R27" s="15"/>
      <c r="S27" s="19" t="e">
        <f>IF(#REF!="A",1,IF(#REF!="B",2,IF(#REF!="C",3,IF(#REF!="D",4,IF(#REF!="E",5,"")))))</f>
        <v>#REF!</v>
      </c>
      <c r="T27" s="19" t="e">
        <f>IF(#REF!="A",1,IF(#REF!="B",2,IF(#REF!="C",3,IF(#REF!="D",4,IF(#REF!="E",5,"")))))</f>
        <v>#REF!</v>
      </c>
      <c r="U27" s="15" t="e">
        <f>#REF!+S27</f>
        <v>#REF!</v>
      </c>
      <c r="V27" s="15" t="e">
        <f>#REF!+T27</f>
        <v>#REF!</v>
      </c>
    </row>
    <row r="28" spans="1:22" ht="32.25" customHeight="1" x14ac:dyDescent="0.35">
      <c r="A28" s="92" t="s">
        <v>149</v>
      </c>
      <c r="B28" s="93"/>
      <c r="C28" s="93"/>
      <c r="D28" s="70"/>
      <c r="E28" s="70"/>
      <c r="F28" s="70"/>
      <c r="G28" s="71"/>
      <c r="H28" s="72"/>
      <c r="I28" s="72"/>
      <c r="J28" s="72"/>
      <c r="K28" s="72"/>
      <c r="L28" s="73"/>
      <c r="M28" s="74"/>
      <c r="Q28" s="14"/>
      <c r="R28" s="15"/>
      <c r="S28" s="19" t="e">
        <f>IF(#REF!="A",1,IF(#REF!="B",2,IF(#REF!="C",3,IF(#REF!="D",4,IF(#REF!="E",5,"")))))</f>
        <v>#REF!</v>
      </c>
      <c r="T28" s="19" t="e">
        <f>IF(#REF!="A",1,IF(#REF!="B",2,IF(#REF!="C",3,IF(#REF!="D",4,IF(#REF!="E",5,"")))))</f>
        <v>#REF!</v>
      </c>
      <c r="U28" s="15" t="e">
        <f>#REF!+S28</f>
        <v>#REF!</v>
      </c>
      <c r="V28" s="15" t="e">
        <f>#REF!+T28</f>
        <v>#REF!</v>
      </c>
    </row>
    <row r="29" spans="1:22" ht="45.6" customHeight="1" x14ac:dyDescent="0.2">
      <c r="A29" s="137" t="s">
        <v>150</v>
      </c>
      <c r="B29" s="138"/>
      <c r="C29" s="138"/>
      <c r="D29" s="138"/>
      <c r="E29" s="138"/>
      <c r="F29" s="138"/>
      <c r="G29" s="138"/>
      <c r="H29" s="138"/>
      <c r="I29" s="138"/>
      <c r="J29" s="138"/>
      <c r="K29" s="138"/>
      <c r="L29" s="138"/>
      <c r="M29" s="139"/>
      <c r="Q29" s="14"/>
      <c r="R29" s="15"/>
      <c r="S29" s="19" t="e">
        <f>IF(#REF!="A",1,IF(#REF!="B",2,IF(#REF!="C",3,IF(#REF!="D",4,IF(#REF!="E",5,"")))))</f>
        <v>#REF!</v>
      </c>
      <c r="T29" s="19" t="e">
        <f>IF(#REF!="A",1,IF(#REF!="B",2,IF(#REF!="C",3,IF(#REF!="D",4,IF(#REF!="E",5,"")))))</f>
        <v>#REF!</v>
      </c>
      <c r="U29" s="15" t="e">
        <f>#REF!+S29</f>
        <v>#REF!</v>
      </c>
      <c r="V29" s="15" t="e">
        <f>#REF!+T29</f>
        <v>#REF!</v>
      </c>
    </row>
    <row r="30" spans="1:22" ht="23.25" customHeight="1" x14ac:dyDescent="0.2">
      <c r="A30" s="217" t="s">
        <v>213</v>
      </c>
      <c r="B30" s="218"/>
      <c r="C30" s="218"/>
      <c r="D30" s="218"/>
      <c r="E30" s="218"/>
      <c r="F30" s="218"/>
      <c r="G30" s="218"/>
      <c r="H30" s="218"/>
      <c r="I30" s="218"/>
      <c r="J30" s="218"/>
      <c r="K30" s="218"/>
      <c r="L30" s="218"/>
      <c r="M30" s="219"/>
      <c r="Q30" s="14"/>
      <c r="R30" s="15"/>
      <c r="S30" s="19" t="e">
        <f>IF(#REF!="A",1,IF(#REF!="B",2,IF(#REF!="C",3,IF(#REF!="D",4,IF(#REF!="E",5,"")))))</f>
        <v>#REF!</v>
      </c>
      <c r="T30" s="19" t="e">
        <f>IF(#REF!="A",1,IF(#REF!="B",2,IF(#REF!="C",3,IF(#REF!="D",4,IF(#REF!="E",5,"")))))</f>
        <v>#REF!</v>
      </c>
      <c r="U30" s="15" t="e">
        <f>#REF!+S30</f>
        <v>#REF!</v>
      </c>
      <c r="V30" s="15" t="e">
        <f>#REF!+T30</f>
        <v>#REF!</v>
      </c>
    </row>
    <row r="31" spans="1:22" ht="45" customHeight="1" x14ac:dyDescent="0.2">
      <c r="A31" s="66">
        <v>1</v>
      </c>
      <c r="B31" s="117" t="s">
        <v>151</v>
      </c>
      <c r="C31" s="118"/>
      <c r="D31" s="118"/>
      <c r="E31" s="118"/>
      <c r="F31" s="118"/>
      <c r="G31" s="118"/>
      <c r="H31" s="118"/>
      <c r="I31" s="118"/>
      <c r="J31" s="118"/>
      <c r="K31" s="118"/>
      <c r="L31" s="118"/>
      <c r="M31" s="119"/>
    </row>
    <row r="32" spans="1:22" ht="45" customHeight="1" x14ac:dyDescent="0.2">
      <c r="A32" s="66">
        <v>2</v>
      </c>
      <c r="B32" s="140" t="s">
        <v>152</v>
      </c>
      <c r="C32" s="141"/>
      <c r="D32" s="141"/>
      <c r="E32" s="141"/>
      <c r="F32" s="141"/>
      <c r="G32" s="141"/>
      <c r="H32" s="141"/>
      <c r="I32" s="141"/>
      <c r="J32" s="141"/>
      <c r="K32" s="141"/>
      <c r="L32" s="141"/>
      <c r="M32" s="142"/>
    </row>
    <row r="33" spans="1:17" ht="45" customHeight="1" x14ac:dyDescent="0.2">
      <c r="A33" s="66">
        <v>3</v>
      </c>
      <c r="B33" s="117" t="s">
        <v>153</v>
      </c>
      <c r="C33" s="118"/>
      <c r="D33" s="118"/>
      <c r="E33" s="118"/>
      <c r="F33" s="118"/>
      <c r="G33" s="118"/>
      <c r="H33" s="118"/>
      <c r="I33" s="118"/>
      <c r="J33" s="118"/>
      <c r="K33" s="118"/>
      <c r="L33" s="118"/>
      <c r="M33" s="119"/>
    </row>
    <row r="34" spans="1:17" ht="45" customHeight="1" x14ac:dyDescent="0.2">
      <c r="A34" s="66">
        <v>4</v>
      </c>
      <c r="B34" s="140" t="s">
        <v>154</v>
      </c>
      <c r="C34" s="141"/>
      <c r="D34" s="141"/>
      <c r="E34" s="141"/>
      <c r="F34" s="141"/>
      <c r="G34" s="141"/>
      <c r="H34" s="141"/>
      <c r="I34" s="141"/>
      <c r="J34" s="141"/>
      <c r="K34" s="141"/>
      <c r="L34" s="141"/>
      <c r="M34" s="142"/>
    </row>
    <row r="35" spans="1:17" ht="45" customHeight="1" x14ac:dyDescent="0.2">
      <c r="A35" s="66">
        <v>5</v>
      </c>
      <c r="B35" s="117" t="s">
        <v>155</v>
      </c>
      <c r="C35" s="118"/>
      <c r="D35" s="118"/>
      <c r="E35" s="118"/>
      <c r="F35" s="118"/>
      <c r="G35" s="118"/>
      <c r="H35" s="118"/>
      <c r="I35" s="118"/>
      <c r="J35" s="118"/>
      <c r="K35" s="118"/>
      <c r="L35" s="118"/>
      <c r="M35" s="119"/>
    </row>
    <row r="36" spans="1:17" s="9" customFormat="1" ht="45" customHeight="1" x14ac:dyDescent="0.2">
      <c r="A36" s="66">
        <v>6</v>
      </c>
      <c r="B36" s="140" t="s">
        <v>156</v>
      </c>
      <c r="C36" s="141"/>
      <c r="D36" s="141"/>
      <c r="E36" s="141"/>
      <c r="F36" s="141"/>
      <c r="G36" s="141"/>
      <c r="H36" s="141"/>
      <c r="I36" s="141"/>
      <c r="J36" s="141"/>
      <c r="K36" s="141"/>
      <c r="L36" s="141"/>
      <c r="M36" s="142"/>
      <c r="N36" s="8"/>
      <c r="O36" s="8"/>
      <c r="P36" s="8"/>
      <c r="Q36" s="16"/>
    </row>
    <row r="37" spans="1:17" s="9" customFormat="1" ht="45" customHeight="1" x14ac:dyDescent="0.2">
      <c r="A37" s="66">
        <v>7</v>
      </c>
      <c r="B37" s="117" t="s">
        <v>157</v>
      </c>
      <c r="C37" s="118"/>
      <c r="D37" s="118"/>
      <c r="E37" s="118"/>
      <c r="F37" s="118"/>
      <c r="G37" s="118"/>
      <c r="H37" s="118"/>
      <c r="I37" s="118"/>
      <c r="J37" s="118"/>
      <c r="K37" s="118"/>
      <c r="L37" s="118"/>
      <c r="M37" s="119"/>
      <c r="N37" s="8"/>
      <c r="O37" s="8"/>
      <c r="P37" s="8"/>
      <c r="Q37" s="16"/>
    </row>
    <row r="38" spans="1:17" s="9" customFormat="1" ht="45" customHeight="1" x14ac:dyDescent="0.2">
      <c r="A38" s="66">
        <v>8</v>
      </c>
      <c r="B38" s="117" t="s">
        <v>158</v>
      </c>
      <c r="C38" s="118"/>
      <c r="D38" s="118"/>
      <c r="E38" s="118"/>
      <c r="F38" s="118"/>
      <c r="G38" s="118"/>
      <c r="H38" s="118"/>
      <c r="I38" s="118"/>
      <c r="J38" s="118"/>
      <c r="K38" s="118"/>
      <c r="L38" s="118"/>
      <c r="M38" s="119"/>
      <c r="N38" s="8"/>
      <c r="O38" s="8"/>
      <c r="P38" s="8"/>
      <c r="Q38" s="16"/>
    </row>
    <row r="39" spans="1:17" s="9" customFormat="1" ht="45" customHeight="1" x14ac:dyDescent="0.2">
      <c r="A39" s="66">
        <v>9</v>
      </c>
      <c r="B39" s="117" t="s">
        <v>159</v>
      </c>
      <c r="C39" s="118"/>
      <c r="D39" s="118"/>
      <c r="E39" s="118"/>
      <c r="F39" s="118"/>
      <c r="G39" s="118"/>
      <c r="H39" s="118"/>
      <c r="I39" s="118"/>
      <c r="J39" s="118"/>
      <c r="K39" s="118"/>
      <c r="L39" s="118"/>
      <c r="M39" s="119"/>
      <c r="N39" s="8"/>
      <c r="P39" s="8"/>
      <c r="Q39" s="16"/>
    </row>
    <row r="40" spans="1:17" s="9" customFormat="1" ht="45" customHeight="1" x14ac:dyDescent="0.2">
      <c r="A40" s="66">
        <v>10</v>
      </c>
      <c r="B40" s="134" t="s">
        <v>160</v>
      </c>
      <c r="C40" s="154"/>
      <c r="D40" s="154"/>
      <c r="E40" s="154"/>
      <c r="F40" s="154"/>
      <c r="G40" s="154"/>
      <c r="H40" s="154"/>
      <c r="I40" s="154"/>
      <c r="J40" s="154"/>
      <c r="K40" s="154"/>
      <c r="L40" s="154"/>
      <c r="M40" s="155"/>
      <c r="N40" s="8"/>
      <c r="P40" s="8"/>
      <c r="Q40" s="16"/>
    </row>
    <row r="41" spans="1:17" s="9" customFormat="1" ht="45" customHeight="1" x14ac:dyDescent="0.2">
      <c r="A41" s="66">
        <v>11</v>
      </c>
      <c r="B41" s="117" t="s">
        <v>161</v>
      </c>
      <c r="C41" s="118"/>
      <c r="D41" s="118"/>
      <c r="E41" s="118"/>
      <c r="F41" s="118"/>
      <c r="G41" s="118"/>
      <c r="H41" s="118"/>
      <c r="I41" s="118"/>
      <c r="J41" s="118"/>
      <c r="K41" s="118"/>
      <c r="L41" s="118"/>
      <c r="M41" s="119"/>
      <c r="N41" s="8"/>
      <c r="P41" s="8"/>
      <c r="Q41" s="16"/>
    </row>
    <row r="42" spans="1:17" s="9" customFormat="1" ht="45" customHeight="1" x14ac:dyDescent="0.2">
      <c r="A42" s="66">
        <v>12</v>
      </c>
      <c r="B42" s="117" t="s">
        <v>162</v>
      </c>
      <c r="C42" s="118"/>
      <c r="D42" s="118"/>
      <c r="E42" s="118"/>
      <c r="F42" s="118"/>
      <c r="G42" s="118"/>
      <c r="H42" s="118"/>
      <c r="I42" s="118"/>
      <c r="J42" s="118"/>
      <c r="K42" s="118"/>
      <c r="L42" s="118"/>
      <c r="M42" s="119"/>
      <c r="N42" s="8"/>
      <c r="P42" s="8"/>
      <c r="Q42" s="16"/>
    </row>
    <row r="43" spans="1:17" s="9" customFormat="1" ht="45" customHeight="1" x14ac:dyDescent="0.2">
      <c r="A43" s="66">
        <v>13</v>
      </c>
      <c r="B43" s="117" t="s">
        <v>163</v>
      </c>
      <c r="C43" s="118"/>
      <c r="D43" s="118"/>
      <c r="E43" s="118"/>
      <c r="F43" s="118"/>
      <c r="G43" s="118"/>
      <c r="H43" s="118"/>
      <c r="I43" s="118"/>
      <c r="J43" s="118"/>
      <c r="K43" s="118"/>
      <c r="L43" s="118"/>
      <c r="M43" s="119"/>
      <c r="N43" s="8"/>
      <c r="P43" s="8"/>
      <c r="Q43" s="16"/>
    </row>
    <row r="44" spans="1:17" s="9" customFormat="1" ht="45" customHeight="1" x14ac:dyDescent="0.2">
      <c r="A44" s="66">
        <v>14</v>
      </c>
      <c r="B44" s="117" t="s">
        <v>164</v>
      </c>
      <c r="C44" s="118"/>
      <c r="D44" s="118"/>
      <c r="E44" s="118"/>
      <c r="F44" s="118"/>
      <c r="G44" s="118"/>
      <c r="H44" s="118"/>
      <c r="I44" s="118"/>
      <c r="J44" s="118"/>
      <c r="K44" s="118"/>
      <c r="L44" s="118"/>
      <c r="M44" s="119"/>
      <c r="N44" s="8"/>
      <c r="P44" s="8"/>
      <c r="Q44" s="16"/>
    </row>
    <row r="45" spans="1:17" s="9" customFormat="1" ht="45" customHeight="1" x14ac:dyDescent="0.2">
      <c r="A45" s="66">
        <v>15</v>
      </c>
      <c r="B45" s="117" t="s">
        <v>165</v>
      </c>
      <c r="C45" s="118"/>
      <c r="D45" s="118"/>
      <c r="E45" s="118"/>
      <c r="F45" s="118"/>
      <c r="G45" s="118"/>
      <c r="H45" s="118"/>
      <c r="I45" s="118"/>
      <c r="J45" s="118"/>
      <c r="K45" s="118"/>
      <c r="L45" s="118"/>
      <c r="M45" s="119"/>
      <c r="N45" s="8"/>
      <c r="P45" s="8"/>
      <c r="Q45" s="16"/>
    </row>
    <row r="46" spans="1:17" s="9" customFormat="1" ht="30.95" customHeight="1" x14ac:dyDescent="0.2">
      <c r="A46" s="111" t="s">
        <v>166</v>
      </c>
      <c r="B46" s="111"/>
      <c r="C46" s="111"/>
      <c r="D46" s="111"/>
      <c r="E46" s="111"/>
      <c r="F46" s="111"/>
      <c r="G46" s="111"/>
      <c r="H46" s="143"/>
      <c r="I46" s="143"/>
      <c r="J46" s="143"/>
      <c r="K46" s="143"/>
      <c r="L46" s="143"/>
      <c r="M46" s="143"/>
      <c r="N46" s="8"/>
      <c r="P46" s="8"/>
      <c r="Q46" s="16"/>
    </row>
    <row r="47" spans="1:17" s="9" customFormat="1" x14ac:dyDescent="0.2">
      <c r="A47" s="123" t="s">
        <v>13</v>
      </c>
      <c r="B47" s="125"/>
      <c r="C47" s="79" t="s">
        <v>14</v>
      </c>
      <c r="D47" s="123" t="s">
        <v>15</v>
      </c>
      <c r="E47" s="124"/>
      <c r="F47" s="124"/>
      <c r="G47" s="125"/>
      <c r="H47" s="123" t="s">
        <v>16</v>
      </c>
      <c r="I47" s="124"/>
      <c r="J47" s="124"/>
      <c r="K47" s="124"/>
      <c r="L47" s="124"/>
      <c r="M47" s="125"/>
      <c r="N47" s="8"/>
      <c r="P47" s="8"/>
      <c r="Q47" s="16"/>
    </row>
    <row r="48" spans="1:17" s="9" customFormat="1" ht="18" customHeight="1" x14ac:dyDescent="0.2">
      <c r="A48" s="126"/>
      <c r="B48" s="128"/>
      <c r="C48" s="6"/>
      <c r="D48" s="126"/>
      <c r="E48" s="127"/>
      <c r="F48" s="127"/>
      <c r="G48" s="128"/>
      <c r="H48" s="152"/>
      <c r="I48" s="153"/>
      <c r="J48" s="153"/>
      <c r="K48" s="153"/>
      <c r="L48" s="153"/>
      <c r="M48" s="145"/>
      <c r="N48" s="8"/>
      <c r="P48" s="8"/>
      <c r="Q48" s="16"/>
    </row>
    <row r="49" spans="1:17" s="9" customFormat="1" ht="18" customHeight="1" x14ac:dyDescent="0.2">
      <c r="A49" s="126"/>
      <c r="B49" s="128"/>
      <c r="C49" s="6"/>
      <c r="D49" s="126"/>
      <c r="E49" s="127"/>
      <c r="F49" s="127"/>
      <c r="G49" s="128"/>
      <c r="H49" s="152"/>
      <c r="I49" s="153"/>
      <c r="J49" s="153"/>
      <c r="K49" s="153"/>
      <c r="L49" s="153"/>
      <c r="M49" s="145"/>
      <c r="N49" s="8"/>
      <c r="P49" s="8"/>
      <c r="Q49" s="16"/>
    </row>
    <row r="50" spans="1:17" s="9" customFormat="1" ht="18" customHeight="1" x14ac:dyDescent="0.2">
      <c r="A50" s="126"/>
      <c r="B50" s="128"/>
      <c r="C50" s="6"/>
      <c r="D50" s="126"/>
      <c r="E50" s="127"/>
      <c r="F50" s="127"/>
      <c r="G50" s="128"/>
      <c r="H50" s="152"/>
      <c r="I50" s="153"/>
      <c r="J50" s="153"/>
      <c r="K50" s="153"/>
      <c r="L50" s="153"/>
      <c r="M50" s="145"/>
      <c r="N50" s="8"/>
      <c r="P50" s="8"/>
      <c r="Q50" s="16"/>
    </row>
    <row r="51" spans="1:17" s="9" customFormat="1" ht="18" customHeight="1" x14ac:dyDescent="0.2">
      <c r="A51" s="126"/>
      <c r="B51" s="128"/>
      <c r="C51" s="6"/>
      <c r="D51" s="126"/>
      <c r="E51" s="127"/>
      <c r="F51" s="127"/>
      <c r="G51" s="128"/>
      <c r="H51" s="126"/>
      <c r="I51" s="127"/>
      <c r="J51" s="127"/>
      <c r="K51" s="127"/>
      <c r="L51" s="127"/>
      <c r="M51" s="128"/>
      <c r="Q51" s="17"/>
    </row>
    <row r="52" spans="1:17" ht="18" customHeight="1" x14ac:dyDescent="0.2">
      <c r="A52" s="126"/>
      <c r="B52" s="128"/>
      <c r="C52" s="6"/>
      <c r="D52" s="126"/>
      <c r="E52" s="127"/>
      <c r="F52" s="127"/>
      <c r="G52" s="145"/>
      <c r="H52" s="126"/>
      <c r="I52" s="127"/>
      <c r="J52" s="127"/>
      <c r="K52" s="127"/>
      <c r="L52" s="127"/>
      <c r="M52" s="128"/>
    </row>
    <row r="53" spans="1:17" ht="25.5" customHeight="1" x14ac:dyDescent="0.2">
      <c r="A53" s="134" t="s">
        <v>167</v>
      </c>
      <c r="B53" s="135"/>
      <c r="C53" s="135"/>
      <c r="D53" s="135"/>
      <c r="E53" s="135"/>
      <c r="F53" s="135"/>
      <c r="G53" s="135"/>
      <c r="H53" s="135"/>
      <c r="I53" s="135"/>
      <c r="J53" s="135"/>
      <c r="K53" s="135"/>
      <c r="L53" s="135"/>
      <c r="M53" s="136"/>
    </row>
    <row r="54" spans="1:17" ht="18.75" customHeight="1" x14ac:dyDescent="0.2">
      <c r="A54" s="144" t="s">
        <v>168</v>
      </c>
      <c r="B54" s="144"/>
      <c r="C54" s="80" t="s">
        <v>169</v>
      </c>
      <c r="D54" s="146" t="s">
        <v>170</v>
      </c>
      <c r="E54" s="147"/>
      <c r="F54" s="148"/>
      <c r="G54" s="101"/>
      <c r="H54" s="102"/>
      <c r="I54" s="102"/>
      <c r="J54" s="102"/>
      <c r="K54" s="102"/>
      <c r="L54" s="102"/>
      <c r="M54" s="103"/>
    </row>
    <row r="55" spans="1:17" ht="31.5" customHeight="1" x14ac:dyDescent="0.2">
      <c r="A55" s="131"/>
      <c r="B55" s="133"/>
      <c r="C55" s="10"/>
      <c r="D55" s="149"/>
      <c r="E55" s="150"/>
      <c r="F55" s="151"/>
      <c r="G55" s="104"/>
      <c r="H55" s="105"/>
      <c r="I55" s="105"/>
      <c r="J55" s="105"/>
      <c r="K55" s="105"/>
      <c r="L55" s="105"/>
      <c r="M55" s="106"/>
    </row>
    <row r="56" spans="1:17" ht="18" customHeight="1" x14ac:dyDescent="0.2">
      <c r="A56" s="67"/>
      <c r="B56" s="68"/>
      <c r="C56" s="68"/>
      <c r="D56" s="68"/>
      <c r="E56" s="68"/>
      <c r="F56" s="68"/>
      <c r="G56" s="68"/>
      <c r="H56" s="68"/>
      <c r="I56" s="68"/>
      <c r="J56" s="68"/>
      <c r="K56" s="68"/>
      <c r="L56" s="68"/>
      <c r="M56" s="69"/>
    </row>
    <row r="57" spans="1:17" ht="82.5" customHeight="1" x14ac:dyDescent="0.2">
      <c r="A57" s="129" t="s">
        <v>171</v>
      </c>
      <c r="B57" s="130"/>
      <c r="C57" s="131"/>
      <c r="D57" s="132"/>
      <c r="E57" s="132"/>
      <c r="F57" s="132"/>
      <c r="G57" s="132"/>
      <c r="H57" s="132"/>
      <c r="I57" s="132"/>
      <c r="J57" s="132"/>
      <c r="K57" s="132"/>
      <c r="L57" s="132"/>
      <c r="M57" s="133"/>
    </row>
    <row r="58" spans="1:17" ht="18.75" customHeight="1" x14ac:dyDescent="0.2">
      <c r="A58" s="111" t="s">
        <v>172</v>
      </c>
      <c r="B58" s="111"/>
      <c r="C58" s="111"/>
      <c r="D58" s="111"/>
      <c r="E58" s="111"/>
      <c r="F58" s="111"/>
      <c r="G58" s="111"/>
      <c r="H58" s="111"/>
      <c r="I58" s="111"/>
      <c r="J58" s="111"/>
      <c r="K58" s="111"/>
      <c r="L58" s="111"/>
      <c r="M58" s="111"/>
    </row>
    <row r="59" spans="1:17" ht="33.75" customHeight="1" x14ac:dyDescent="0.2"/>
    <row r="60" spans="1:17" ht="20.25" customHeight="1" x14ac:dyDescent="0.2"/>
    <row r="61" spans="1:17" ht="57.75" customHeight="1" x14ac:dyDescent="0.2"/>
    <row r="62" spans="1:17" s="11" customFormat="1" ht="15" customHeight="1" x14ac:dyDescent="0.2">
      <c r="A62" s="3"/>
      <c r="B62" s="3"/>
      <c r="C62" s="3"/>
      <c r="D62" s="3"/>
      <c r="E62" s="3"/>
      <c r="F62" s="3"/>
      <c r="G62" s="3"/>
      <c r="H62" s="3"/>
      <c r="I62" s="3"/>
      <c r="J62" s="3"/>
      <c r="K62" s="3"/>
      <c r="L62" s="3"/>
      <c r="M62" s="3"/>
    </row>
    <row r="63" spans="1:17" ht="119.25" customHeight="1" x14ac:dyDescent="0.2"/>
    <row r="64" spans="1:17" s="12" customFormat="1" ht="24" customHeight="1" x14ac:dyDescent="0.2">
      <c r="A64" s="3"/>
      <c r="B64" s="3"/>
      <c r="C64" s="3"/>
      <c r="D64" s="3"/>
      <c r="E64" s="3"/>
      <c r="F64" s="3"/>
      <c r="G64" s="3"/>
      <c r="H64" s="3"/>
      <c r="I64" s="3"/>
      <c r="J64" s="3"/>
      <c r="K64" s="3"/>
      <c r="L64" s="3"/>
      <c r="M64" s="3"/>
    </row>
  </sheetData>
  <sheetProtection formatCells="0" formatColumns="0" formatRows="0" insertColumns="0" insertRows="0" insertHyperlinks="0" deleteColumns="0" deleteRows="0" sort="0" autoFilter="0" pivotTables="0"/>
  <mergeCells count="75">
    <mergeCell ref="A1:B4"/>
    <mergeCell ref="J2:M2"/>
    <mergeCell ref="J3:M3"/>
    <mergeCell ref="J4:M4"/>
    <mergeCell ref="C3:H3"/>
    <mergeCell ref="G18:J18"/>
    <mergeCell ref="K6:M6"/>
    <mergeCell ref="G8:J8"/>
    <mergeCell ref="G9:J9"/>
    <mergeCell ref="G10:J10"/>
    <mergeCell ref="G11:J11"/>
    <mergeCell ref="G17:J17"/>
    <mergeCell ref="G12:J12"/>
    <mergeCell ref="G13:J13"/>
    <mergeCell ref="G14:J14"/>
    <mergeCell ref="G15:J15"/>
    <mergeCell ref="G16:J16"/>
    <mergeCell ref="A27:M27"/>
    <mergeCell ref="B34:M34"/>
    <mergeCell ref="B35:M35"/>
    <mergeCell ref="B38:M38"/>
    <mergeCell ref="B37:M37"/>
    <mergeCell ref="B40:M40"/>
    <mergeCell ref="B45:M45"/>
    <mergeCell ref="A49:B49"/>
    <mergeCell ref="H47:M47"/>
    <mergeCell ref="H48:M48"/>
    <mergeCell ref="A47:B47"/>
    <mergeCell ref="A48:B48"/>
    <mergeCell ref="A52:B52"/>
    <mergeCell ref="A51:B51"/>
    <mergeCell ref="A50:B50"/>
    <mergeCell ref="D50:G50"/>
    <mergeCell ref="H49:M49"/>
    <mergeCell ref="H50:M50"/>
    <mergeCell ref="H51:M51"/>
    <mergeCell ref="D49:G49"/>
    <mergeCell ref="A57:B57"/>
    <mergeCell ref="C57:M57"/>
    <mergeCell ref="A53:M53"/>
    <mergeCell ref="A29:M29"/>
    <mergeCell ref="B31:M31"/>
    <mergeCell ref="B32:M32"/>
    <mergeCell ref="B33:M33"/>
    <mergeCell ref="A46:M46"/>
    <mergeCell ref="A54:B54"/>
    <mergeCell ref="B36:M36"/>
    <mergeCell ref="A55:B55"/>
    <mergeCell ref="A30:M30"/>
    <mergeCell ref="H52:M52"/>
    <mergeCell ref="D51:G51"/>
    <mergeCell ref="D52:G52"/>
    <mergeCell ref="D54:F55"/>
    <mergeCell ref="G54:M55"/>
    <mergeCell ref="A6:B6"/>
    <mergeCell ref="H7:J7"/>
    <mergeCell ref="A58:M58"/>
    <mergeCell ref="A7:B7"/>
    <mergeCell ref="A26:M26"/>
    <mergeCell ref="B39:M39"/>
    <mergeCell ref="B44:M44"/>
    <mergeCell ref="B41:M41"/>
    <mergeCell ref="B42:M42"/>
    <mergeCell ref="B43:M43"/>
    <mergeCell ref="K7:M7"/>
    <mergeCell ref="D7:F7"/>
    <mergeCell ref="D47:G47"/>
    <mergeCell ref="D48:G48"/>
    <mergeCell ref="G19:J19"/>
    <mergeCell ref="G20:J20"/>
    <mergeCell ref="G21:J21"/>
    <mergeCell ref="G24:J24"/>
    <mergeCell ref="G25:J25"/>
    <mergeCell ref="G22:J22"/>
    <mergeCell ref="G23:J23"/>
  </mergeCells>
  <phoneticPr fontId="0" type="noConversion"/>
  <conditionalFormatting sqref="F9 M9 M17:M18 F17:F18 M15 F15 F21:F25 M21:M25">
    <cfRule type="cellIs" dxfId="17" priority="22" stopIfTrue="1" operator="equal">
      <formula>$W$5</formula>
    </cfRule>
    <cfRule type="cellIs" dxfId="16" priority="23" stopIfTrue="1" operator="equal">
      <formula>$W$3</formula>
    </cfRule>
    <cfRule type="cellIs" dxfId="15" priority="24" stopIfTrue="1" operator="equal">
      <formula>$W$2</formula>
    </cfRule>
  </conditionalFormatting>
  <conditionalFormatting sqref="F16 M16">
    <cfRule type="cellIs" dxfId="14" priority="13" stopIfTrue="1" operator="equal">
      <formula>$W$5</formula>
    </cfRule>
    <cfRule type="cellIs" dxfId="13" priority="14" stopIfTrue="1" operator="equal">
      <formula>$W$3</formula>
    </cfRule>
    <cfRule type="cellIs" dxfId="12" priority="15" stopIfTrue="1" operator="equal">
      <formula>$W$2</formula>
    </cfRule>
  </conditionalFormatting>
  <conditionalFormatting sqref="M10:M14 F10:F14">
    <cfRule type="cellIs" dxfId="11" priority="10" stopIfTrue="1" operator="equal">
      <formula>$W$5</formula>
    </cfRule>
    <cfRule type="cellIs" dxfId="10" priority="11" stopIfTrue="1" operator="equal">
      <formula>$W$3</formula>
    </cfRule>
    <cfRule type="cellIs" dxfId="9" priority="12" stopIfTrue="1" operator="equal">
      <formula>$W$2</formula>
    </cfRule>
  </conditionalFormatting>
  <conditionalFormatting sqref="M19">
    <cfRule type="cellIs" dxfId="8" priority="7" stopIfTrue="1" operator="equal">
      <formula>$W$5</formula>
    </cfRule>
    <cfRule type="cellIs" dxfId="7" priority="8" stopIfTrue="1" operator="equal">
      <formula>$W$3</formula>
    </cfRule>
    <cfRule type="cellIs" dxfId="6" priority="9" stopIfTrue="1" operator="equal">
      <formula>$W$2</formula>
    </cfRule>
  </conditionalFormatting>
  <conditionalFormatting sqref="F19">
    <cfRule type="cellIs" dxfId="5" priority="1" stopIfTrue="1" operator="equal">
      <formula>$W$5</formula>
    </cfRule>
    <cfRule type="cellIs" dxfId="4" priority="2" stopIfTrue="1" operator="equal">
      <formula>$W$3</formula>
    </cfRule>
    <cfRule type="cellIs" dxfId="3" priority="3" stopIfTrue="1" operator="equal">
      <formula>$W$2</formula>
    </cfRule>
  </conditionalFormatting>
  <conditionalFormatting sqref="F20 M20">
    <cfRule type="cellIs" dxfId="2" priority="4" stopIfTrue="1" operator="equal">
      <formula>$W$5</formula>
    </cfRule>
    <cfRule type="cellIs" dxfId="1" priority="5" stopIfTrue="1" operator="equal">
      <formula>$W$3</formula>
    </cfRule>
    <cfRule type="cellIs" dxfId="0" priority="6" stopIfTrue="1" operator="equal">
      <formula>$W$2</formula>
    </cfRule>
  </conditionalFormatting>
  <dataValidations count="2">
    <dataValidation type="list" allowBlank="1" showInputMessage="1" showErrorMessage="1" sqref="K9:K25 D9:D25">
      <formula1>$Q$2:$Q$7</formula1>
    </dataValidation>
    <dataValidation type="list" allowBlank="1" showInputMessage="1" showErrorMessage="1" sqref="L9:L25 E9:E25">
      <formula1>$R$2:$R$7</formula1>
    </dataValidation>
  </dataValidations>
  <pageMargins left="0.62029109589041098" right="0.59332191780821919" top="0.55118110236220474" bottom="0.51181102362204722" header="7.874015748031496E-2" footer="0.23622047244094491"/>
  <pageSetup paperSize="9" scale="63" fitToHeight="2" orientation="landscape" horizontalDpi="300" verticalDpi="300" copies="3" r:id="rId1"/>
  <headerFooter>
    <oddFooter>&amp;L&amp;8&amp;K000000Issue date: 03-03-2017 Revision: 02Document owner: Group SHEQ Manager.&amp;R&amp;8&amp;P/&amp;N</oddFooter>
  </headerFooter>
  <rowBreaks count="1" manualBreakCount="1">
    <brk id="27" max="10"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34"/>
  <sheetViews>
    <sheetView showWhiteSpace="0" view="pageLayout" workbookViewId="0">
      <selection activeCell="A10" sqref="A10:B10"/>
    </sheetView>
  </sheetViews>
  <sheetFormatPr defaultColWidth="9.140625" defaultRowHeight="12.75" x14ac:dyDescent="0.2"/>
  <cols>
    <col min="1" max="1" width="4.42578125" style="3" customWidth="1"/>
    <col min="2" max="2" width="9.42578125" style="3" customWidth="1"/>
    <col min="3" max="3" width="13.5703125" style="3" customWidth="1"/>
    <col min="4" max="4" width="14" style="3" customWidth="1"/>
    <col min="5" max="5" width="13.85546875" style="3" customWidth="1"/>
    <col min="6" max="6" width="12.85546875" style="3" customWidth="1"/>
    <col min="7" max="7" width="13.85546875" style="3" customWidth="1"/>
    <col min="8" max="8" width="13.42578125" style="3" customWidth="1"/>
    <col min="9" max="9" width="14.140625" style="3" customWidth="1"/>
    <col min="10" max="10" width="13.140625" style="3" customWidth="1"/>
    <col min="11" max="12" width="11.5703125" style="3" hidden="1" customWidth="1"/>
    <col min="13" max="14" width="9.140625" style="3" hidden="1" customWidth="1"/>
    <col min="15" max="15" width="11.5703125" style="7" hidden="1" customWidth="1"/>
    <col min="16" max="16" width="13.42578125" style="3" hidden="1" customWidth="1"/>
    <col min="17" max="18" width="14.42578125" style="3" hidden="1" customWidth="1"/>
    <col min="19" max="19" width="10.140625" style="3" hidden="1" customWidth="1"/>
    <col min="20" max="21" width="9.140625" style="3" hidden="1" customWidth="1"/>
    <col min="22" max="22" width="0.5703125" style="3" customWidth="1"/>
    <col min="23" max="23" width="2.42578125" style="3" customWidth="1"/>
    <col min="24" max="16384" width="9.140625" style="3"/>
  </cols>
  <sheetData>
    <row r="1" spans="1:22" ht="25.5" customHeight="1" x14ac:dyDescent="0.35">
      <c r="A1" s="208" t="s">
        <v>76</v>
      </c>
      <c r="B1" s="209"/>
      <c r="C1" s="210"/>
      <c r="D1" s="52"/>
      <c r="E1" s="53"/>
      <c r="F1" s="53"/>
      <c r="G1" s="54"/>
      <c r="H1" s="55"/>
      <c r="I1" s="191" t="s">
        <v>32</v>
      </c>
      <c r="J1" s="192"/>
      <c r="O1" s="14" t="s">
        <v>51</v>
      </c>
      <c r="P1" s="14" t="s">
        <v>52</v>
      </c>
      <c r="Q1" s="14" t="s">
        <v>53</v>
      </c>
      <c r="R1" s="14" t="s">
        <v>54</v>
      </c>
      <c r="S1" s="14" t="s">
        <v>55</v>
      </c>
      <c r="T1" s="14" t="s">
        <v>56</v>
      </c>
      <c r="U1" s="18" t="s">
        <v>57</v>
      </c>
      <c r="V1" s="2"/>
    </row>
    <row r="2" spans="1:22" ht="25.5" customHeight="1" x14ac:dyDescent="0.2">
      <c r="A2" s="211"/>
      <c r="B2" s="212"/>
      <c r="C2" s="213"/>
      <c r="D2" s="197" t="s">
        <v>173</v>
      </c>
      <c r="E2" s="179"/>
      <c r="F2" s="179"/>
      <c r="G2" s="179"/>
      <c r="H2" s="180"/>
      <c r="I2" s="193" t="s">
        <v>174</v>
      </c>
      <c r="J2" s="194"/>
      <c r="N2" s="7"/>
      <c r="O2" s="14">
        <v>1</v>
      </c>
      <c r="P2" s="14" t="s">
        <v>58</v>
      </c>
      <c r="Q2" s="15"/>
      <c r="R2" s="15"/>
      <c r="S2" s="15"/>
      <c r="T2" s="15"/>
      <c r="U2" s="18" t="s">
        <v>59</v>
      </c>
      <c r="V2" s="5"/>
    </row>
    <row r="3" spans="1:22" ht="25.5" customHeight="1" x14ac:dyDescent="0.2">
      <c r="A3" s="214"/>
      <c r="B3" s="215"/>
      <c r="C3" s="216"/>
      <c r="D3" s="81"/>
      <c r="E3" s="82"/>
      <c r="F3" s="82"/>
      <c r="G3" s="82"/>
      <c r="H3" s="83"/>
      <c r="I3" s="195" t="s">
        <v>79</v>
      </c>
      <c r="J3" s="196"/>
      <c r="K3" s="49"/>
      <c r="L3" s="49"/>
      <c r="M3" s="22"/>
    </row>
    <row r="4" spans="1:22" ht="18.75" thickBot="1" x14ac:dyDescent="0.25">
      <c r="A4" s="46"/>
      <c r="B4" s="46"/>
      <c r="C4" s="46"/>
      <c r="D4" s="46"/>
      <c r="E4" s="46"/>
      <c r="F4" s="46"/>
      <c r="G4" s="46"/>
      <c r="H4" s="46"/>
      <c r="I4" s="46"/>
      <c r="J4" s="46"/>
      <c r="K4" s="46"/>
      <c r="L4" s="46"/>
      <c r="M4" s="22"/>
    </row>
    <row r="5" spans="1:22" ht="18" customHeight="1" thickBot="1" x14ac:dyDescent="0.25">
      <c r="A5" s="202" t="s">
        <v>89</v>
      </c>
      <c r="B5" s="203"/>
      <c r="C5" s="183" t="s">
        <v>175</v>
      </c>
      <c r="D5" s="184"/>
      <c r="E5" s="184"/>
      <c r="F5" s="184"/>
      <c r="G5" s="185"/>
      <c r="H5" s="183" t="s">
        <v>176</v>
      </c>
      <c r="I5" s="184"/>
      <c r="J5" s="184"/>
      <c r="K5" s="184"/>
      <c r="L5" s="185"/>
      <c r="M5" s="22"/>
    </row>
    <row r="6" spans="1:22" ht="20.25" customHeight="1" thickBot="1" x14ac:dyDescent="0.25">
      <c r="A6" s="204"/>
      <c r="B6" s="205"/>
      <c r="C6" s="186" t="s">
        <v>177</v>
      </c>
      <c r="D6" s="186" t="s">
        <v>178</v>
      </c>
      <c r="E6" s="186" t="s">
        <v>179</v>
      </c>
      <c r="F6" s="186" t="s">
        <v>180</v>
      </c>
      <c r="G6" s="186" t="s">
        <v>181</v>
      </c>
      <c r="H6" s="84" t="s">
        <v>33</v>
      </c>
      <c r="I6" s="84" t="s">
        <v>34</v>
      </c>
      <c r="J6" s="84" t="s">
        <v>35</v>
      </c>
      <c r="K6" s="21" t="s">
        <v>60</v>
      </c>
      <c r="L6" s="21" t="s">
        <v>61</v>
      </c>
      <c r="M6" s="22"/>
    </row>
    <row r="7" spans="1:22" ht="112.5" x14ac:dyDescent="0.2">
      <c r="A7" s="204"/>
      <c r="B7" s="205"/>
      <c r="C7" s="187"/>
      <c r="D7" s="187"/>
      <c r="E7" s="187"/>
      <c r="F7" s="187"/>
      <c r="G7" s="187"/>
      <c r="H7" s="85" t="s">
        <v>182</v>
      </c>
      <c r="I7" s="85" t="s">
        <v>183</v>
      </c>
      <c r="J7" s="85" t="s">
        <v>184</v>
      </c>
      <c r="K7" s="23" t="s">
        <v>62</v>
      </c>
      <c r="L7" s="23" t="s">
        <v>63</v>
      </c>
      <c r="M7" s="22"/>
    </row>
    <row r="8" spans="1:22" ht="12.75" customHeight="1" x14ac:dyDescent="0.2">
      <c r="A8" s="204"/>
      <c r="B8" s="205"/>
      <c r="C8" s="187"/>
      <c r="D8" s="187"/>
      <c r="E8" s="187"/>
      <c r="F8" s="187"/>
      <c r="G8" s="187"/>
      <c r="H8" s="181" t="s">
        <v>187</v>
      </c>
      <c r="I8" s="181" t="s">
        <v>186</v>
      </c>
      <c r="J8" s="181" t="s">
        <v>185</v>
      </c>
      <c r="K8" s="181" t="s">
        <v>64</v>
      </c>
      <c r="L8" s="181" t="s">
        <v>65</v>
      </c>
      <c r="M8" s="22"/>
    </row>
    <row r="9" spans="1:22" ht="22.5" customHeight="1" thickBot="1" x14ac:dyDescent="0.25">
      <c r="A9" s="206"/>
      <c r="B9" s="207"/>
      <c r="C9" s="188"/>
      <c r="D9" s="188"/>
      <c r="E9" s="188"/>
      <c r="F9" s="188"/>
      <c r="G9" s="188"/>
      <c r="H9" s="182"/>
      <c r="I9" s="182"/>
      <c r="J9" s="182"/>
      <c r="K9" s="182"/>
      <c r="L9" s="182"/>
      <c r="M9" s="22"/>
    </row>
    <row r="10" spans="1:22" ht="64.5" customHeight="1" x14ac:dyDescent="0.2">
      <c r="A10" s="198">
        <v>1</v>
      </c>
      <c r="B10" s="199"/>
      <c r="C10" s="38" t="s">
        <v>188</v>
      </c>
      <c r="D10" s="38" t="s">
        <v>189</v>
      </c>
      <c r="E10" s="38" t="s">
        <v>190</v>
      </c>
      <c r="F10" s="38" t="s">
        <v>191</v>
      </c>
      <c r="G10" s="39" t="s">
        <v>192</v>
      </c>
      <c r="H10" s="30" t="s">
        <v>36</v>
      </c>
      <c r="I10" s="31" t="s">
        <v>37</v>
      </c>
      <c r="J10" s="31" t="s">
        <v>38</v>
      </c>
      <c r="K10" s="40" t="s">
        <v>66</v>
      </c>
      <c r="L10" s="32" t="s">
        <v>67</v>
      </c>
      <c r="M10" s="22"/>
    </row>
    <row r="11" spans="1:22" ht="65.099999999999994" customHeight="1" x14ac:dyDescent="0.2">
      <c r="A11" s="200">
        <v>2</v>
      </c>
      <c r="B11" s="201"/>
      <c r="C11" s="24" t="s">
        <v>193</v>
      </c>
      <c r="D11" s="24" t="s">
        <v>194</v>
      </c>
      <c r="E11" s="38" t="s">
        <v>195</v>
      </c>
      <c r="F11" s="24" t="s">
        <v>196</v>
      </c>
      <c r="G11" s="28" t="s">
        <v>197</v>
      </c>
      <c r="H11" s="33" t="s">
        <v>39</v>
      </c>
      <c r="I11" s="34" t="s">
        <v>40</v>
      </c>
      <c r="J11" s="34" t="s">
        <v>41</v>
      </c>
      <c r="K11" s="35" t="s">
        <v>68</v>
      </c>
      <c r="L11" s="36" t="s">
        <v>69</v>
      </c>
      <c r="M11" s="22"/>
    </row>
    <row r="12" spans="1:22" ht="99" customHeight="1" x14ac:dyDescent="0.2">
      <c r="A12" s="200">
        <v>3</v>
      </c>
      <c r="B12" s="201"/>
      <c r="C12" s="24" t="s">
        <v>198</v>
      </c>
      <c r="D12" s="24" t="s">
        <v>199</v>
      </c>
      <c r="E12" s="38" t="s">
        <v>200</v>
      </c>
      <c r="F12" s="24" t="s">
        <v>201</v>
      </c>
      <c r="G12" s="28" t="s">
        <v>202</v>
      </c>
      <c r="H12" s="33" t="s">
        <v>42</v>
      </c>
      <c r="I12" s="34" t="s">
        <v>43</v>
      </c>
      <c r="J12" s="35" t="s">
        <v>44</v>
      </c>
      <c r="K12" s="35" t="s">
        <v>70</v>
      </c>
      <c r="L12" s="41" t="s">
        <v>71</v>
      </c>
      <c r="M12" s="22"/>
    </row>
    <row r="13" spans="1:22" ht="77.25" customHeight="1" x14ac:dyDescent="0.2">
      <c r="A13" s="200">
        <v>4</v>
      </c>
      <c r="B13" s="201"/>
      <c r="C13" s="24" t="s">
        <v>203</v>
      </c>
      <c r="D13" s="24" t="s">
        <v>204</v>
      </c>
      <c r="E13" s="38" t="s">
        <v>205</v>
      </c>
      <c r="F13" s="24" t="s">
        <v>206</v>
      </c>
      <c r="G13" s="28" t="s">
        <v>207</v>
      </c>
      <c r="H13" s="33" t="s">
        <v>45</v>
      </c>
      <c r="I13" s="35" t="s">
        <v>46</v>
      </c>
      <c r="J13" s="35" t="s">
        <v>47</v>
      </c>
      <c r="K13" s="42" t="s">
        <v>72</v>
      </c>
      <c r="L13" s="41" t="s">
        <v>73</v>
      </c>
      <c r="M13" s="22"/>
    </row>
    <row r="14" spans="1:22" ht="65.099999999999994" customHeight="1" thickBot="1" x14ac:dyDescent="0.25">
      <c r="A14" s="189">
        <v>5</v>
      </c>
      <c r="B14" s="190"/>
      <c r="C14" s="25" t="s">
        <v>208</v>
      </c>
      <c r="D14" s="25" t="s">
        <v>209</v>
      </c>
      <c r="E14" s="25" t="s">
        <v>210</v>
      </c>
      <c r="F14" s="25" t="s">
        <v>211</v>
      </c>
      <c r="G14" s="29" t="s">
        <v>212</v>
      </c>
      <c r="H14" s="45" t="s">
        <v>48</v>
      </c>
      <c r="I14" s="37" t="s">
        <v>49</v>
      </c>
      <c r="J14" s="43" t="s">
        <v>50</v>
      </c>
      <c r="K14" s="43" t="s">
        <v>74</v>
      </c>
      <c r="L14" s="44" t="s">
        <v>75</v>
      </c>
      <c r="M14" s="22"/>
    </row>
    <row r="15" spans="1:22" x14ac:dyDescent="0.2">
      <c r="A15" s="47"/>
      <c r="B15" s="47"/>
      <c r="C15" s="48"/>
      <c r="D15" s="48"/>
      <c r="E15" s="48"/>
      <c r="F15" s="48"/>
      <c r="G15" s="48"/>
      <c r="H15" s="26"/>
      <c r="I15" s="26"/>
      <c r="J15" s="26"/>
      <c r="K15" s="27"/>
      <c r="L15" s="27"/>
      <c r="M15" s="22"/>
    </row>
    <row r="16" spans="1:22" x14ac:dyDescent="0.2">
      <c r="A16" s="22"/>
      <c r="B16" s="22"/>
      <c r="C16" s="22"/>
      <c r="D16" s="22"/>
      <c r="E16" s="22"/>
      <c r="F16" s="22"/>
      <c r="G16" s="22"/>
      <c r="H16" s="22"/>
      <c r="I16" s="22"/>
      <c r="J16" s="22"/>
      <c r="K16" s="22"/>
      <c r="L16" s="22"/>
      <c r="M16" s="22"/>
    </row>
    <row r="17" spans="1:13" x14ac:dyDescent="0.2">
      <c r="A17" s="22"/>
      <c r="B17" s="22"/>
      <c r="C17" s="22"/>
      <c r="D17" s="22"/>
      <c r="E17" s="22"/>
      <c r="F17" s="22"/>
      <c r="G17" s="22"/>
      <c r="H17" s="22"/>
      <c r="I17" s="22"/>
      <c r="J17" s="22"/>
      <c r="K17" s="22"/>
      <c r="L17" s="22"/>
      <c r="M17" s="22"/>
    </row>
    <row r="18" spans="1:13" x14ac:dyDescent="0.2">
      <c r="A18" s="22"/>
      <c r="B18" s="22"/>
      <c r="C18" s="22"/>
      <c r="D18" s="22"/>
      <c r="E18" s="22"/>
      <c r="F18" s="22"/>
      <c r="G18" s="22"/>
      <c r="H18" s="22"/>
      <c r="I18" s="22"/>
      <c r="J18" s="22"/>
      <c r="K18" s="22"/>
      <c r="L18" s="22"/>
      <c r="M18" s="22"/>
    </row>
    <row r="19" spans="1:13" x14ac:dyDescent="0.2">
      <c r="A19" s="22"/>
      <c r="B19" s="22"/>
      <c r="C19" s="22"/>
      <c r="D19" s="22"/>
      <c r="E19" s="22"/>
      <c r="F19" s="22"/>
      <c r="G19" s="22"/>
      <c r="H19" s="22"/>
      <c r="I19" s="22"/>
      <c r="J19" s="22"/>
      <c r="K19" s="22"/>
      <c r="L19" s="22"/>
      <c r="M19" s="22"/>
    </row>
    <row r="20" spans="1:13" ht="30.75" customHeight="1" x14ac:dyDescent="0.2">
      <c r="A20" s="22"/>
      <c r="B20" s="22"/>
      <c r="C20" s="22"/>
      <c r="D20" s="22"/>
      <c r="E20" s="22"/>
      <c r="F20" s="22"/>
      <c r="G20" s="22"/>
      <c r="H20" s="22"/>
      <c r="I20" s="22"/>
      <c r="J20" s="22"/>
      <c r="K20" s="22"/>
      <c r="L20" s="22"/>
      <c r="M20" s="22"/>
    </row>
    <row r="21" spans="1:13" x14ac:dyDescent="0.2">
      <c r="A21" s="22"/>
      <c r="B21" s="22"/>
      <c r="C21" s="22"/>
      <c r="D21" s="22"/>
      <c r="E21" s="22"/>
      <c r="F21" s="22"/>
      <c r="G21" s="22"/>
      <c r="H21" s="22"/>
      <c r="I21" s="22"/>
      <c r="J21" s="22"/>
      <c r="K21" s="22"/>
      <c r="L21" s="22"/>
      <c r="M21" s="22"/>
    </row>
    <row r="22" spans="1:13" x14ac:dyDescent="0.2">
      <c r="A22" s="22"/>
      <c r="B22" s="22"/>
      <c r="C22" s="22"/>
      <c r="D22" s="22"/>
      <c r="E22" s="22"/>
      <c r="F22" s="22"/>
      <c r="G22" s="22"/>
      <c r="H22" s="22"/>
      <c r="I22" s="22"/>
      <c r="J22" s="22"/>
      <c r="K22" s="22"/>
      <c r="L22" s="22"/>
      <c r="M22" s="22"/>
    </row>
    <row r="23" spans="1:13" x14ac:dyDescent="0.2">
      <c r="A23" s="22"/>
      <c r="B23" s="22"/>
      <c r="C23" s="22"/>
      <c r="D23" s="22"/>
      <c r="E23" s="22"/>
      <c r="F23" s="22"/>
      <c r="G23" s="22"/>
      <c r="H23" s="22"/>
      <c r="I23" s="22"/>
      <c r="J23" s="22"/>
      <c r="K23" s="22"/>
      <c r="L23" s="22"/>
      <c r="M23" s="22"/>
    </row>
    <row r="24" spans="1:13" x14ac:dyDescent="0.2">
      <c r="A24" s="22"/>
      <c r="B24" s="22"/>
      <c r="C24" s="22"/>
      <c r="D24" s="22"/>
      <c r="E24" s="22"/>
      <c r="F24" s="22"/>
      <c r="G24" s="22"/>
      <c r="H24" s="22"/>
      <c r="I24" s="22"/>
      <c r="J24" s="22"/>
      <c r="K24" s="22"/>
      <c r="L24" s="22"/>
      <c r="M24" s="22"/>
    </row>
    <row r="25" spans="1:13" x14ac:dyDescent="0.2">
      <c r="A25" s="22"/>
      <c r="B25" s="22"/>
      <c r="C25" s="22"/>
      <c r="D25" s="22"/>
      <c r="E25" s="22"/>
      <c r="F25" s="22"/>
      <c r="G25" s="22"/>
      <c r="H25" s="22"/>
      <c r="I25" s="22"/>
      <c r="J25" s="22"/>
      <c r="K25" s="22"/>
      <c r="L25" s="22"/>
      <c r="M25" s="22"/>
    </row>
    <row r="26" spans="1:13" ht="58.5" customHeight="1" x14ac:dyDescent="0.2">
      <c r="A26" s="22"/>
      <c r="B26" s="22"/>
      <c r="C26" s="22"/>
      <c r="D26" s="22"/>
      <c r="E26" s="22"/>
      <c r="F26" s="22"/>
      <c r="G26" s="22"/>
      <c r="H26" s="22"/>
      <c r="I26" s="22"/>
      <c r="J26" s="22"/>
      <c r="K26" s="22"/>
      <c r="L26" s="22"/>
      <c r="M26" s="22"/>
    </row>
    <row r="27" spans="1:13" x14ac:dyDescent="0.2">
      <c r="A27" s="22"/>
      <c r="B27" s="22"/>
      <c r="C27" s="22"/>
      <c r="D27" s="22"/>
      <c r="E27" s="22"/>
      <c r="F27" s="22"/>
      <c r="G27" s="22"/>
      <c r="H27" s="22"/>
      <c r="I27" s="22"/>
      <c r="J27" s="22"/>
      <c r="K27" s="22"/>
      <c r="L27" s="22"/>
      <c r="M27" s="22"/>
    </row>
    <row r="28" spans="1:13" x14ac:dyDescent="0.2">
      <c r="A28" s="22"/>
      <c r="B28" s="22"/>
      <c r="C28" s="22"/>
      <c r="D28" s="22"/>
      <c r="E28" s="22"/>
      <c r="F28" s="22"/>
      <c r="G28" s="22"/>
      <c r="H28" s="22"/>
      <c r="I28" s="22"/>
      <c r="J28" s="22"/>
      <c r="K28" s="22"/>
      <c r="L28" s="22"/>
      <c r="M28" s="22"/>
    </row>
    <row r="29" spans="1:13" x14ac:dyDescent="0.2">
      <c r="A29" s="22"/>
      <c r="B29" s="22"/>
      <c r="C29" s="22"/>
      <c r="D29" s="22"/>
      <c r="E29" s="22"/>
      <c r="F29" s="22"/>
      <c r="G29" s="22"/>
      <c r="H29" s="22"/>
      <c r="I29" s="22"/>
      <c r="J29" s="22"/>
      <c r="K29" s="22"/>
      <c r="L29" s="22"/>
      <c r="M29" s="22"/>
    </row>
    <row r="30" spans="1:13" x14ac:dyDescent="0.2">
      <c r="A30" s="22"/>
      <c r="B30" s="22"/>
      <c r="C30" s="22"/>
      <c r="D30" s="22"/>
      <c r="E30" s="22"/>
      <c r="F30" s="22"/>
      <c r="G30" s="22"/>
      <c r="H30" s="22"/>
      <c r="I30" s="22"/>
      <c r="J30" s="22"/>
      <c r="K30" s="22"/>
      <c r="L30" s="22"/>
      <c r="M30" s="22"/>
    </row>
    <row r="31" spans="1:13" x14ac:dyDescent="0.2">
      <c r="A31" s="22"/>
      <c r="B31" s="22"/>
      <c r="C31" s="22"/>
      <c r="D31" s="22"/>
      <c r="E31" s="22"/>
      <c r="F31" s="22"/>
      <c r="G31" s="22"/>
      <c r="H31" s="22"/>
      <c r="I31" s="22"/>
      <c r="J31" s="22"/>
      <c r="K31" s="22"/>
      <c r="L31" s="22"/>
      <c r="M31" s="22"/>
    </row>
    <row r="32" spans="1:13" x14ac:dyDescent="0.2">
      <c r="A32" s="22"/>
      <c r="B32" s="22"/>
      <c r="C32" s="22"/>
      <c r="D32" s="22"/>
      <c r="E32" s="22"/>
      <c r="F32" s="22"/>
      <c r="G32" s="22"/>
      <c r="H32" s="22"/>
      <c r="I32" s="22"/>
      <c r="J32" s="22"/>
      <c r="K32" s="22"/>
      <c r="L32" s="22"/>
      <c r="M32" s="22"/>
    </row>
    <row r="33" spans="1:13" ht="129.75" customHeight="1" x14ac:dyDescent="0.2">
      <c r="A33" s="22"/>
      <c r="B33" s="22"/>
      <c r="C33" s="22"/>
      <c r="D33" s="22"/>
      <c r="E33" s="22"/>
      <c r="F33" s="22"/>
      <c r="G33" s="22"/>
      <c r="H33" s="22"/>
      <c r="I33" s="22"/>
      <c r="J33" s="22"/>
      <c r="K33" s="22"/>
      <c r="L33" s="22"/>
      <c r="M33" s="22"/>
    </row>
    <row r="34" spans="1:13" hidden="1" x14ac:dyDescent="0.2">
      <c r="A34" s="22"/>
      <c r="B34" s="22"/>
      <c r="C34" s="22"/>
      <c r="D34" s="22"/>
      <c r="E34" s="22"/>
      <c r="F34" s="22"/>
      <c r="G34" s="22"/>
      <c r="H34" s="22"/>
      <c r="I34" s="22"/>
      <c r="J34" s="22"/>
      <c r="K34" s="22"/>
      <c r="L34" s="22"/>
      <c r="M34" s="22"/>
    </row>
  </sheetData>
  <sheetProtection selectLockedCells="1" selectUnlockedCells="1"/>
  <mergeCells count="23">
    <mergeCell ref="A14:B14"/>
    <mergeCell ref="I1:J1"/>
    <mergeCell ref="I2:J2"/>
    <mergeCell ref="I3:J3"/>
    <mergeCell ref="D2:H2"/>
    <mergeCell ref="A10:B10"/>
    <mergeCell ref="A11:B11"/>
    <mergeCell ref="A12:B12"/>
    <mergeCell ref="A5:B9"/>
    <mergeCell ref="A13:B13"/>
    <mergeCell ref="I8:I9"/>
    <mergeCell ref="J8:J9"/>
    <mergeCell ref="A1:C3"/>
    <mergeCell ref="K8:K9"/>
    <mergeCell ref="L8:L9"/>
    <mergeCell ref="C5:G5"/>
    <mergeCell ref="H5:L5"/>
    <mergeCell ref="C6:C9"/>
    <mergeCell ref="D6:D9"/>
    <mergeCell ref="E6:E9"/>
    <mergeCell ref="F6:F9"/>
    <mergeCell ref="G6:G9"/>
    <mergeCell ref="H8:H9"/>
  </mergeCells>
  <pageMargins left="0.78740157480314965" right="0.78740157480314965" top="0.62992125984251968" bottom="0.51181102362204722" header="0.27559055118110237" footer="0.23622047244094491"/>
  <pageSetup paperSize="9" scale="70" orientation="landscape" horizontalDpi="300" verticalDpi="300" copies="3" r:id="rId1"/>
  <headerFooter>
    <oddFooter>&amp;L&amp;7Issue date: 01-01-2014 Revision: 01Document Owner: Group SHEQ Manager&amp;R&amp;7&amp;P/&amp;N</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Prepared_x0020_by xmlns="faa5c77d-98fa-4e50-863f-182fb51ee117">
      <UserInfo>
        <DisplayName/>
        <AccountId>178</AccountId>
        <AccountType/>
      </UserInfo>
    </Prepared_x0020_by>
    <Comments xmlns="faa5c77d-98fa-4e50-863f-182fb51ee117" xsi:nil="true"/>
    <Process_x0020_Number xmlns="faa5c77d-98fa-4e50-863f-182fb51ee117">03</Process_x0020_Number>
    <TemplateDescription xmlns="5470fdc2-d5b4-45ba-ae4a-b04105b307e7" xsi:nil="true"/>
    <Document_x0020_Type xmlns="5470fdc2-d5b4-45ba-ae4a-b04105b307e7">Form</Document_x0020_Type>
    <Internal xmlns="5470fdc2-d5b4-45ba-ae4a-b04105b307e7">true</Internal>
    <Approved_x0020_by xmlns="faa5c77d-98fa-4e50-863f-182fb51ee117">
      <UserInfo>
        <DisplayName/>
        <AccountId>178</AccountId>
        <AccountType/>
      </UserInfo>
    </Approved_x0020_by>
    <Process_x0020_Activity xmlns="5470fdc2-d5b4-45ba-ae4a-b04105b307e7" xsi:nil="true"/>
    <Publication_x0020_status xmlns="faa5c77d-98fa-4e50-863f-182fb51ee117">Corporate originals</Publication_x0020_statu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LongProperties xmlns="http://schemas.microsoft.com/office/2006/metadata/longProperties"/>
</file>

<file path=customXml/item4.xml><?xml version="1.0" encoding="utf-8"?>
<ct:contentTypeSchema xmlns:ct="http://schemas.microsoft.com/office/2006/metadata/contentType" xmlns:ma="http://schemas.microsoft.com/office/2006/metadata/properties/metaAttributes" ct:_="" ma:_="" ma:contentTypeName="Document" ma:contentTypeID="0x0101004F58E9632D3CD444A21C64920A96E18B" ma:contentTypeVersion="13" ma:contentTypeDescription="Create a new document." ma:contentTypeScope="" ma:versionID="3c72acce436c1b49d739fe3f4c7af673">
  <xsd:schema xmlns:xsd="http://www.w3.org/2001/XMLSchema" xmlns:p="http://schemas.microsoft.com/office/2006/metadata/properties" xmlns:ns2="5470fdc2-d5b4-45ba-ae4a-b04105b307e7" xmlns:ns3="faa5c77d-98fa-4e50-863f-182fb51ee117" targetNamespace="http://schemas.microsoft.com/office/2006/metadata/properties" ma:root="true" ma:fieldsID="93784c78931b4267596e2e53a122eea3" ns2:_="" ns3:_="">
    <xsd:import namespace="5470fdc2-d5b4-45ba-ae4a-b04105b307e7"/>
    <xsd:import namespace="faa5c77d-98fa-4e50-863f-182fb51ee117"/>
    <xsd:element name="properties">
      <xsd:complexType>
        <xsd:sequence>
          <xsd:element name="documentManagement">
            <xsd:complexType>
              <xsd:all>
                <xsd:element ref="ns2:TemplateDescription" minOccurs="0"/>
                <xsd:element ref="ns2:Document_x0020_Type" minOccurs="0"/>
                <xsd:element ref="ns2:Process_x0020_Activity" minOccurs="0"/>
                <xsd:element ref="ns2:Internal" minOccurs="0"/>
                <xsd:element ref="ns3:Publication_x0020_status" minOccurs="0"/>
                <xsd:element ref="ns3:Comments" minOccurs="0"/>
                <xsd:element ref="ns3:Prepared_x0020_by" minOccurs="0"/>
                <xsd:element ref="ns3:Approved_x0020_by" minOccurs="0"/>
                <xsd:element ref="ns3:Process_x0020_Number" minOccurs="0"/>
              </xsd:all>
            </xsd:complexType>
          </xsd:element>
        </xsd:sequence>
      </xsd:complexType>
    </xsd:element>
  </xsd:schema>
  <xsd:schema xmlns:xsd="http://www.w3.org/2001/XMLSchema" xmlns:dms="http://schemas.microsoft.com/office/2006/documentManagement/types" targetNamespace="5470fdc2-d5b4-45ba-ae4a-b04105b307e7" elementFormDefault="qualified">
    <xsd:import namespace="http://schemas.microsoft.com/office/2006/documentManagement/types"/>
    <xsd:element name="TemplateDescription" ma:index="8" nillable="true" ma:displayName="Description" ma:internalName="TemplateDescription">
      <xsd:simpleType>
        <xsd:restriction base="dms:Note"/>
      </xsd:simpleType>
    </xsd:element>
    <xsd:element name="Document_x0020_Type" ma:index="9" nillable="true" ma:displayName="Document Type" ma:internalName="Document_x0020_Type">
      <xsd:simpleType>
        <xsd:restriction base="dms:Text">
          <xsd:maxLength value="255"/>
        </xsd:restriction>
      </xsd:simpleType>
    </xsd:element>
    <xsd:element name="Process_x0020_Activity" ma:index="10" nillable="true" ma:displayName="Process Activity" ma:internalName="Process_x0020_Activity">
      <xsd:simpleType>
        <xsd:restriction base="dms:Text">
          <xsd:maxLength value="255"/>
        </xsd:restriction>
      </xsd:simpleType>
    </xsd:element>
    <xsd:element name="Internal" ma:index="11" nillable="true" ma:displayName="Internal" ma:default="1" ma:internalName="Internal">
      <xsd:simpleType>
        <xsd:restriction base="dms:Boolean"/>
      </xsd:simpleType>
    </xsd:element>
  </xsd:schema>
  <xsd:schema xmlns:xsd="http://www.w3.org/2001/XMLSchema" xmlns:dms="http://schemas.microsoft.com/office/2006/documentManagement/types" targetNamespace="faa5c77d-98fa-4e50-863f-182fb51ee117" elementFormDefault="qualified">
    <xsd:import namespace="http://schemas.microsoft.com/office/2006/documentManagement/types"/>
    <xsd:element name="Publication_x0020_status" ma:index="12" nillable="true" ma:displayName="Publication status" ma:format="Dropdown" ma:internalName="Publication_x0020_status">
      <xsd:simpleType>
        <xsd:restriction base="dms:Choice">
          <xsd:enumeration value="Affiliate documents"/>
          <xsd:enumeration value="Affiliate records"/>
          <xsd:enumeration value="Corporate documents"/>
          <xsd:enumeration value="Corporate drafts"/>
          <xsd:enumeration value="Corporate in project"/>
          <xsd:enumeration value="Corporate originals"/>
          <xsd:enumeration value="Corporate records"/>
          <xsd:enumeration value="Obsolete"/>
        </xsd:restriction>
      </xsd:simpleType>
    </xsd:element>
    <xsd:element name="Comments" ma:index="13" nillable="true" ma:displayName="Comments" ma:internalName="Comments">
      <xsd:simpleType>
        <xsd:restriction base="dms:Note"/>
      </xsd:simpleType>
    </xsd:element>
    <xsd:element name="Prepared_x0020_by" ma:index="14" nillable="true" ma:displayName="Prepared by" ma:list="UserInfo" ma:internalName="Prepared_x0020_by"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Approved_x0020_by" ma:index="15" nillable="true" ma:displayName="Approved by" ma:list="UserInfo" ma:internalName="Approved_x0020_by"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Process_x0020_Number" ma:index="16" nillable="true" ma:displayName="Process Number" ma:default="03" ma:internalName="Process_x0020_Number">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4" ma:displayName="Lab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Props1.xml><?xml version="1.0" encoding="utf-8"?>
<ds:datastoreItem xmlns:ds="http://schemas.openxmlformats.org/officeDocument/2006/customXml" ds:itemID="{34A5DBCF-E2DA-4D23-9549-E8E78AF171AB}">
  <ds:schemaRefs>
    <ds:schemaRef ds:uri="http://schemas.openxmlformats.org/package/2006/metadata/core-properties"/>
    <ds:schemaRef ds:uri="http://schemas.microsoft.com/office/2006/documentManagement/types"/>
    <ds:schemaRef ds:uri="http://purl.org/dc/elements/1.1/"/>
    <ds:schemaRef ds:uri="http://schemas.microsoft.com/office/2006/metadata/properties"/>
    <ds:schemaRef ds:uri="faa5c77d-98fa-4e50-863f-182fb51ee117"/>
    <ds:schemaRef ds:uri="http://purl.org/dc/terms/"/>
    <ds:schemaRef ds:uri="5470fdc2-d5b4-45ba-ae4a-b04105b307e7"/>
    <ds:schemaRef ds:uri="http://www.w3.org/XML/1998/namespace"/>
    <ds:schemaRef ds:uri="http://purl.org/dc/dcmitype/"/>
    <ds:schemaRef ds:uri="http://schemas.microsoft.com/office/infopath/2007/PartnerControls"/>
  </ds:schemaRefs>
</ds:datastoreItem>
</file>

<file path=customXml/itemProps2.xml><?xml version="1.0" encoding="utf-8"?>
<ds:datastoreItem xmlns:ds="http://schemas.openxmlformats.org/officeDocument/2006/customXml" ds:itemID="{EA921F7F-51B9-4976-A2B7-454C25076784}">
  <ds:schemaRefs>
    <ds:schemaRef ds:uri="http://schemas.microsoft.com/sharepoint/v3/contenttype/forms"/>
  </ds:schemaRefs>
</ds:datastoreItem>
</file>

<file path=customXml/itemProps3.xml><?xml version="1.0" encoding="utf-8"?>
<ds:datastoreItem xmlns:ds="http://schemas.openxmlformats.org/officeDocument/2006/customXml" ds:itemID="{C5B5785D-A764-4DF2-800E-02F490C0ABC7}">
  <ds:schemaRefs>
    <ds:schemaRef ds:uri="http://schemas.microsoft.com/office/2006/metadata/longProperties"/>
  </ds:schemaRefs>
</ds:datastoreItem>
</file>

<file path=customXml/itemProps4.xml><?xml version="1.0" encoding="utf-8"?>
<ds:datastoreItem xmlns:ds="http://schemas.openxmlformats.org/officeDocument/2006/customXml" ds:itemID="{20276EED-1D6C-446D-BC18-A4C346AE40E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470fdc2-d5b4-45ba-ae4a-b04105b307e7"/>
    <ds:schemaRef ds:uri="faa5c77d-98fa-4e50-863f-182fb51ee117"/>
    <ds:schemaRef ds:uri="http://schemas.microsoft.com/office/2006/documentManagement/typ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2</vt:i4>
      </vt:variant>
      <vt:variant>
        <vt:lpstr>Именованные диапазоны</vt:lpstr>
      </vt:variant>
      <vt:variant>
        <vt:i4>5</vt:i4>
      </vt:variant>
    </vt:vector>
  </HeadingPairs>
  <TitlesOfParts>
    <vt:vector size="7" baseType="lpstr">
      <vt:lpstr>АСОР</vt:lpstr>
      <vt:lpstr>МОР</vt:lpstr>
      <vt:lpstr>АСОР!Strongly_emphasise_each_individual_s__71</vt:lpstr>
      <vt:lpstr>АСОР!Заголовки_для_печати</vt:lpstr>
      <vt:lpstr>МОР!Заголовки_для_печати</vt:lpstr>
      <vt:lpstr>АСОР!Область_печати</vt:lpstr>
      <vt:lpstr>МОР!Область_печати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Specific Job Safety Analysis (S-JSA)</dc:title>
  <dc:creator>Erik Nuhoff</dc:creator>
  <cp:lastModifiedBy>Master.Andromeda</cp:lastModifiedBy>
  <cp:lastPrinted>2014-11-10T14:56:30Z</cp:lastPrinted>
  <dcterms:created xsi:type="dcterms:W3CDTF">2011-02-21T14:14:41Z</dcterms:created>
  <dcterms:modified xsi:type="dcterms:W3CDTF">2024-07-21T12:44:19Z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0x0101004F58E9632D3CD444A21C64920A96E18B</vt:lpwstr>
  </property>
  <property fmtid="{D5CDD505-2E9C-101B-9397-08002B2CF9AE}" pid="3" name="PublishingExpirationDate">
    <vt:lpwstr/>
  </property>
  <property fmtid="{D5CDD505-2E9C-101B-9397-08002B2CF9AE}" pid="4" name="PublishingStartDate">
    <vt:lpwstr/>
  </property>
  <property fmtid="{D5CDD505-2E9C-101B-9397-08002B2CF9AE}" pid="5" name="ContentType">
    <vt:lpwstr>Document</vt:lpwstr>
  </property>
  <property fmtid="{D5CDD505-2E9C-101B-9397-08002B2CF9AE}" pid="6" name="Format">
    <vt:lpwstr/>
  </property>
  <property fmtid="{D5CDD505-2E9C-101B-9397-08002B2CF9AE}" pid="7" name="Date and Time">
    <vt:lpwstr/>
  </property>
  <property fmtid="{D5CDD505-2E9C-101B-9397-08002B2CF9AE}" pid="8" name="display_urn:schemas-microsoft-com:office:office#Prepared_x0020_by">
    <vt:lpwstr>DIXON Chris</vt:lpwstr>
  </property>
  <property fmtid="{D5CDD505-2E9C-101B-9397-08002B2CF9AE}" pid="9" name="display_urn:schemas-microsoft-com:office:office#Approved_x0020_by">
    <vt:lpwstr>DIXON Chris</vt:lpwstr>
  </property>
</Properties>
</file>