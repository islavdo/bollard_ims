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820EF202-C43F-4F33-B477-EE9114848638}" xr6:coauthVersionLast="47" xr6:coauthVersionMax="47" xr10:uidLastSave="{00000000-0000-0000-0000-000000000000}"/>
  <bookViews>
    <workbookView xWindow="-120" yWindow="-120" windowWidth="29040" windowHeight="15720" tabRatio="307" activeTab="1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АСОР!$O$63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АСОР!$A$1:$M$51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1" l="1"/>
  <c r="V18" i="1"/>
  <c r="S22" i="1"/>
  <c r="U22" i="1"/>
  <c r="S18" i="1"/>
  <c r="U18" i="1"/>
  <c r="T22" i="1"/>
  <c r="V22" i="1"/>
  <c r="T14" i="1"/>
  <c r="V14" i="1"/>
  <c r="S14" i="1"/>
  <c r="U14" i="1"/>
  <c r="M14" i="1"/>
  <c r="F14" i="1"/>
  <c r="T13" i="1"/>
  <c r="V13" i="1"/>
  <c r="S13" i="1"/>
  <c r="U13" i="1"/>
  <c r="M13" i="1"/>
  <c r="T12" i="1"/>
  <c r="V12" i="1"/>
  <c r="S12" i="1"/>
  <c r="U12" i="1"/>
  <c r="M12" i="1"/>
  <c r="T11" i="1"/>
  <c r="V11" i="1"/>
  <c r="S11" i="1"/>
  <c r="U11" i="1"/>
  <c r="M11" i="1"/>
  <c r="F11" i="1"/>
  <c r="T10" i="1"/>
  <c r="V10" i="1"/>
  <c r="S10" i="1"/>
  <c r="U10" i="1"/>
  <c r="M10" i="1"/>
  <c r="F10" i="1"/>
  <c r="S17" i="1"/>
  <c r="U17" i="1"/>
  <c r="T17" i="1"/>
  <c r="V17" i="1"/>
  <c r="T16" i="1"/>
  <c r="V16" i="1"/>
  <c r="S16" i="1"/>
  <c r="U16" i="1"/>
  <c r="M16" i="1"/>
  <c r="F16" i="1"/>
  <c r="T30" i="1"/>
  <c r="V30" i="1"/>
  <c r="S30" i="1"/>
  <c r="U30" i="1"/>
  <c r="T29" i="1"/>
  <c r="V29" i="1"/>
  <c r="S29" i="1"/>
  <c r="U29" i="1"/>
  <c r="T28" i="1"/>
  <c r="V28" i="1"/>
  <c r="S28" i="1"/>
  <c r="U28" i="1"/>
  <c r="T27" i="1"/>
  <c r="V27" i="1"/>
  <c r="S27" i="1"/>
  <c r="U27" i="1"/>
  <c r="T26" i="1"/>
  <c r="V26" i="1"/>
  <c r="S26" i="1"/>
  <c r="U26" i="1"/>
  <c r="T25" i="1"/>
  <c r="V25" i="1"/>
  <c r="S25" i="1"/>
  <c r="U25" i="1"/>
  <c r="T24" i="1"/>
  <c r="V24" i="1"/>
  <c r="S24" i="1"/>
  <c r="U24" i="1"/>
  <c r="T23" i="1"/>
  <c r="V23" i="1"/>
  <c r="S23" i="1"/>
  <c r="U23" i="1"/>
  <c r="T15" i="1"/>
  <c r="V15" i="1"/>
  <c r="M15" i="1"/>
  <c r="S15" i="1"/>
  <c r="U15" i="1"/>
  <c r="F15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<sst xmlns="http://schemas.openxmlformats.org/spreadsheetml/2006/main" count="209" uniqueCount="174">
  <si>
    <r>
      <rPr>
        <b/>
        <sz val="10"/>
        <color theme="0"/>
        <rFont val="Arial"/>
        <family val="2"/>
      </rPr>
      <t>Initial Risk / Исходный риск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</si>
  <si>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</si>
  <si>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</si>
  <si>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</si>
  <si>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</si>
  <si>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</si>
  <si>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</si>
  <si>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</si>
  <si>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</si>
  <si>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</si>
  <si>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</si>
  <si>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</si>
  <si>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</si>
  <si>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</si>
  <si>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</si>
  <si>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</si>
  <si>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</si>
  <si>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</si>
  <si>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</si>
  <si>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</si>
  <si>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</si>
  <si>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</si>
  <si>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</si>
  <si>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</si>
  <si>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</si>
  <si>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</si>
  <si>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</si>
  <si>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</si>
  <si>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</si>
  <si>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</si>
  <si>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</si>
  <si>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</si>
  <si>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</si>
  <si>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</si>
  <si>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</si>
  <si>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</si>
  <si>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</si>
  <si>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</si>
  <si>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</si>
  <si>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</si>
  <si>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</si>
  <si>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</si>
  <si>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</si>
  <si>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</si>
  <si>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</si>
  <si>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</si>
  <si>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</si>
  <si>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</si>
  <si>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</si>
  <si>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</si>
  <si>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</si>
  <si>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</si>
  <si>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</si>
  <si>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</si>
  <si>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</si>
  <si>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</si>
  <si>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Название судна</t>
  </si>
  <si>
    <t>Дата</t>
  </si>
  <si>
    <t xml:space="preserve"> Описание работ</t>
  </si>
  <si>
    <t>Номер оценки рисков</t>
  </si>
  <si>
    <t>Оборудование</t>
  </si>
  <si>
    <t>Остаточный риск</t>
  </si>
  <si>
    <t>Этап</t>
  </si>
  <si>
    <t>Этапы работ</t>
  </si>
  <si>
    <t xml:space="preserve"> 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</si>
  <si>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</si>
  <si>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</si>
  <si>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</si>
  <si>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</si>
  <si>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</si>
  <si>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>Аварийное эскортирование / буксировка судна.</t>
  </si>
  <si>
    <t>Травмы из-за неправильного положения человека и выхода из строя оборудования. Ущерб окружающей среде из-за контакта с судном. Повреждение оборудования буксира из-за неправильного управления буксиром / отказа оборудования. Повреждение танкера из-за неспособности буксира оказать помощь. Возможные повреждения судна/буксира. Возможно серьезное воздействие на окружающую среду, выброс нефти. Инцидент с потерей рабочего времени. Нельзя исключать смертельный исход. Разлив нефтепродуктов &gt; 100 баррелей, что потребует помощи. Повреждение оборудования буксира, требующее ремонта или замены. Оборудование буксируемого судна также может быть повреждено.</t>
  </si>
  <si>
    <t>Опытный специалист должен регулярно осматривать буксирные тросы.  Только квалифицированный и опытный персонал должен управлять буксиром.  Запасной буксирный трос должен быть всегда под рукой. Между капитаном буксира и капитаном судна должна быть хорошая связь. Оборудование буксира должно быть проверено перед началом эскорта. Команды капитана судна и капитана буксира должны быть согласованы.  Должны быть разработаны и соблюдаться графики технического обслуживания лебедок и общего оборудования буксира. Необходимо использовать надлежащие СИЗ. Необходимо иметь опытного капитана буксира и экипаж. Должны быть разработаны контрольные листы. Должны проводиться инструктажи по операциям/плану перехода.  Поддерживать регулярную связь между судном и буксиром.  Проверять буксирный трос на танкере и на судне на наличие признаков перетирания. Проверять буксирный трос перед использованием. Следить за погодными условиями и проверять метеорологические прогнозы. На судне постоянно должен находиться вахтенный на носу. Убедитесь, что только квалифицированный и опытный персонал использует судно для маневрирования во время аварийной буксировки. Надлежащая уборка палубы</t>
  </si>
  <si>
    <t xml:space="preserve">Техническая неисправность ГД и/или ВРК 
</t>
  </si>
  <si>
    <t>Травмы персонала из-за неконтролируемого движения. Ущерб окружающей среде из-за утечки нефти с судна в результате контакта с судном или причалом и т. д. Повреждение буксира или имущества третьей стороны в результате контакта с судном или причалом. Требуется медицинская помощь. Травмы с потерей рабочего времени не могут быть учтены. Разлив нефти &lt; 100 баррелей. Местное воздействие на окружающую среду, которое может быть ликвидировано с помощью ресурсов на месте. Травма с потерей рабочего времени. Постоянная нетрудоспособность не может быть уменьшена.</t>
  </si>
  <si>
    <t xml:space="preserve">Должны существовать системы планового технического обслуживания, и они должны поддерживаться в актуальном состоянии. Должны быть разработаны аварийные процедуры на случай отказа движителя и/или рулевого механизма. Необходимо нанимать квалифицированный и опытный персонал и регулярно проводить оценку его компетентности. Если на судне имеется необслуживаемое машинное отделение, оно должно регулярно осматриваться. </t>
  </si>
  <si>
    <t>Основные работы при плохой погоде</t>
  </si>
  <si>
    <t>Необходимо установить погодные параметры для безопасной работы в море. Необходимо регулярно получать прогнозы погоды. Палубное оборудование и оборудование машинного отделения должны быть закреплены для предотвращения движения в море. Персонал должен использовать соответствующие СИЗ, каски, защитные ботинки, перчатки, защитные очки, комбинезоны и спасательные жилеты. По возможности персонал не должен выходить на палубу в плохую погоду. Если им приходится выходить на палубу, они должны использовать спасательный жилет и сообщить об этом другому члену экипажа. Люки и водонепроницаемые двери/вентиляционные отверстия на главной палубе должны быть закрыты в плохую погоду. Необходимо регулярно проводить инструктаж по работе в плохую погоду.</t>
  </si>
  <si>
    <t xml:space="preserve">Травмы персонала в результате непредвиденного движения судна / спотыкания и падения / столкновения с движущимися предметами.  Ущерб окружающей среде в результате разлива нефтепродуктов / химикатов из-за движения судна. Повреждение оборудования из-за движения судна и незакрепленных предметов. Травмы с потерей рабочего времени. Постоянная нетрудоспособность не может быть исключена. Разлив нефти &lt; 1 барреля. Воздействие на окружающую среду ограничено. Травма с потерей рабочего времени. Постоянная инвалидность не может быть исключена. </t>
  </si>
  <si>
    <t>Разрыв буксировочного троса</t>
  </si>
  <si>
    <t>Повреждение буксируемого судна из-за потери управления. Травмы персонала буксира в результате попадания в буксирный трос.  Травмы персонала буксируемого объекта в результате попадания в буксирный трос Потеря управления/повреждение в результате попадания буксирного троса в гребной винт. Повреждения в результате попадания объекта в буксирный трос. Потеря рабочего времени. Не исключен летальный исход. Разлив нефти &lt; 100 баррелей. Местное воздействие на окружающую среду, которое может быть ликвидировано с помощью имеющихся на месте ресурсов. Повреждение судна, требующее вывода его из эксплуатации. Полная потеря судна не исключена.</t>
  </si>
  <si>
    <t>Повреждение буксируемого судна из-за потери управления. Травмы персонала буксира в результате попадания под буксирный трос.  Травмы персонала буксируемого объекта в результате попадания под буксирный трос Потеря управления/повреждение в результате попадания буксирного троса в гребной винт. Повреждения в результате попадания объекта в буксирный трос. Потеря рабочего времени. Не исключен летальный исход. Разлив нефти &lt; 100 баррелей. Местное воздействие на окружающую среду, которое может быть ликвидировано с помощью имеющихся на месте ресурсов. Повреждение судна, требующее вывода его из эксплуатации. Полная потеря судна не исключена.</t>
  </si>
  <si>
    <t>Человек за бортом</t>
  </si>
  <si>
    <t>Травмы персонала. Травма с потерей рабочего времени. Смертельный исход не 
не исключен.</t>
  </si>
  <si>
    <t>Защитные ограждения / леера и т.д. должны поддерживаться в хорошем состоянии. Лоц. порты должны быть закрыты, когда вы находитесь в море. Члены экипажа должны использовать СИЗ, соответствующие выполняемой ими работе. Спасательное оборудование должно регулярно проверяться и тестироваться.</t>
  </si>
  <si>
    <t xml:space="preserve">Неисправность системы рулевого управления. 
</t>
  </si>
  <si>
    <t>Травмы персонала из-за неконтролируемого движения.  Ущерб окружающей среде из-за утечки нефтепродуктов с судна в результате контакта с судном или причалом и т. д. Повреждение буксира или имущества третьей стороны в результате контакта с судном или причалом. Требуется медицинская помощь. Потери рабочего времени не могут быть учтены. Разлив нефти &lt; 100 баррелей. Местное воздействие на окружающую среду, которое может быть локализовано с помощью ресурсов на месте. Повреждение судна, требующее вывода его из эксплуатации.</t>
  </si>
  <si>
    <t>Аварийные рулевые устройства должны регулярно проверяться. Должны существовать системы планового технического обслуживания, и они должны поддерживаться в актуальном состоянии. Должны быть разработаны аварийные процедуры на случай отказа движителя и/или рулевого механизма. Необходимо иметь в штате квалифицированный и опытный персонал и регулярно проводить оценку его квалификации.</t>
  </si>
  <si>
    <t>Столкновение с другим судном</t>
  </si>
  <si>
    <t>Травмы персонала из-за неконтролируемого движения.  Ущерб окружающей среде из-за просачивания нефтепродуктов с судна в результате контактного повреждения. Повреждение или потеря имущества из-за контакта с другим судном. Требуется медицинская помощь. Потери рабочего времени не могут быть учтены. Разлив нефти менее 100 баррелей. Местное воздействие на окружающую среду, которое можно локализовать с помощью имеющихся на месте ресурсов. Повреждение судна, требующее вывода его из эксплуатации. Общая потеря буксира не может быть исключена.</t>
  </si>
  <si>
    <t xml:space="preserve">Необходимо нанимать квалифицированный и опытный персонал и регулярно проводить оценку его квалификации. Должна быть реализована политика в отношении алкоголя и наркотиков. Экипаж должен проходить медицинские осмотры в соответствии с действующим законодательством. Капитан / вахтенный офицер должен соблюдать международные правила, такие как COLREGS, SOLAS и т.д. В периоды плохой видимости должен быть выставлен вахтенный офицер. Экипаж должен соблюдать часы работы по STCW. Навигационное оборудование должно работать, т.е. огни, радар, сигналы тумана (ограниченная видимость). </t>
  </si>
  <si>
    <t>Работа при ограниченной видимости</t>
  </si>
  <si>
    <t>Травмы персонала в результате столкновения с другим судном или объектом.  Ущерб окружающей среде в результате выливания нефтепродуктов из судна. Повреждение имущества в результате столкновения, посадки на мель или контакта с частями причала. Потеря рабочего времени. Не исключен летальный исход. Разлив нефти &lt; 100 баррелей с локальным воздействием на окружающую среду, но не требующий внешней помощи. Повреждение судна или буксира, требующее вывода его из эксплуатации.</t>
  </si>
  <si>
    <t xml:space="preserve">Во время нахождения судна в море необходимо нести вахту на мостике. В условиях ограниченной видимости необходимо выставить дополнительный пост. Судно должно маневрировать со скоростью, соответствующей видимости. Навигационные средства должны быть исправны и использоваться, например, радар, эхолот, поисковые огни. Должен быть разработан и использоваться план прохода. Необходимо поддерживать связь с диспетчером порта. Персонал, не участвующий в навигации судна, не должен находиться на мостике. При ограниченной видимости необходимо иметь постоянные приказы капитана. Убедитесь, что используются правильные дневные и ночные сигналы. Хорошая связь со всеми заинтересованными сторонами. </t>
  </si>
  <si>
    <t>Посадка на мель</t>
  </si>
  <si>
    <t>Травмы персонала из-за неконтролируемого движения. Ущерб окружающей среде из-за просачивания нефтепродуктов из судна в результате посадки на мель.  Повреждение или потеря имущества в результате посадки на мель. Требуется медицинское обслуживание. Травмы, связанные с потерей рабочего времени, не могут быть учтены. Разлив нефти &gt; 100 баррелей. Местное воздействие на окружающую среду, которое можно локализовать с помощью имеющихся на месте ресурсов. Повреждение судна, требующее вывода его из эксплуатации. Общая потеря буксира не исключена.</t>
  </si>
  <si>
    <t>Необходимо нанимать квалифицированный и опытный персонал и регулярно проводить оценку его квалификации. Должна быть реализована политика в отношении алкоголя и наркотиков. Экипаж должен проходить медицинские осмотры в соответствии с действующим законодательством. Капитан / вахтенный офицер должны соответствовать международным правилам. Должны быть доступны обновленные навигационные карты. В периоды плохой видимости должен быть выставлен вахтенный помощник. Экипаж должен соблюдать часы работы по STCW. Соблюдать инструкции порта Тамань. Связь с портовым СУДС.</t>
  </si>
  <si>
    <t>Пожар на борту</t>
  </si>
  <si>
    <t>Травмы персонала из-за пожара. Ущерб окружающей среде из-за возможного разлива нефти и/или потери оборудования. Ущерб имуществу судна в результате пожара. Потеря рабочего времени. Не исключен летальный исход. Разлив нефти &lt; 100 баррелей. Локальное воздействие на окружающую среду, которое может быть локализовано с помощью ресурсов на месте. Не исключено серьезное повреждение судна. Судно может быть выведено из эксплуатации на длительный срок.</t>
  </si>
  <si>
    <t>Противопожарное оборудование судов должно быть проверено в соответствии с правилами. Должны быть внедрены и соблюдены правила курения. Поверхность машинного отделения должна быть очищена от масла и жира. Горячие плиты на камбузе должны быть выключены и не оставлены без присмотра. Во время ночного отдыха дежурный вахтенный должен проводить пожарный обход. Пожарная сигнализация должна регулярно проверяться. Пожарное оборудование должно проверяться и тестироваться в соответствии с требованиями законодательства. Регулярно проводить разъяснительные беседы о правилах пожарной безопасности. Необходимо регулярно проводить учения по пожарной безопасности. Пожарное оборудование должно быть легкодоступным.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</si>
  <si>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</si>
  <si>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</si>
  <si>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</si>
  <si>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</si>
  <si>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</si>
  <si>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</si>
  <si>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</si>
  <si>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</si>
  <si>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</si>
  <si>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</si>
  <si>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</si>
  <si>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</si>
  <si>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</si>
  <si>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</si>
  <si>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</si>
  <si>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</si>
  <si>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</si>
  <si>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</si>
  <si>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</si>
  <si>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</si>
  <si>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</si>
  <si>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</si>
  <si>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</si>
  <si>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</si>
  <si>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</si>
  <si>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</si>
  <si>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</si>
  <si>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</si>
  <si>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</si>
  <si>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</si>
  <si>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</si>
  <si>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</si>
  <si>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</si>
  <si>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</si>
  <si>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</si>
  <si>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 xml:space="preserve"> Репутация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</si>
  <si>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</si>
  <si>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</si>
  <si>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</si>
  <si>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Маловероятно</t>
  </si>
  <si>
    <t>Возможно</t>
  </si>
  <si>
    <t>Травмы с оказанием доврачебной помощи</t>
  </si>
  <si>
    <t>Незначительное воздействие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</si>
  <si>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</si>
  <si>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</si>
  <si>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</si>
  <si>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</si>
  <si>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</si>
  <si>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</si>
  <si>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 xml:space="preserve"> Задержка 1–12 часов</t>
  </si>
  <si>
    <t>Умеренное негативное воздействие</t>
  </si>
  <si>
    <t>Постоянная утрата трудоспособности или летальный исход</t>
  </si>
  <si>
    <t xml:space="preserve"> Значительное повреждение 
&lt;500.000€ / евро</t>
  </si>
  <si>
    <t>Значительное негативное воздействие</t>
  </si>
  <si>
    <t>Более 1 смертельного случая</t>
  </si>
  <si>
    <t>Сильное негативное воздействие</t>
  </si>
  <si>
    <t>Задержка более 7 дней</t>
  </si>
  <si>
    <t>Учетная документация по инструктажам на рабочем месте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</si>
  <si>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</si>
  <si>
    <t>Чрезвычайные ситуации</t>
  </si>
  <si>
    <t>File 09 / Папка 09</t>
  </si>
  <si>
    <t>Retention 3 Year / Срок хранения документа 3 года</t>
  </si>
  <si>
    <t>BL_FRM-VSL-09-1312-003</t>
  </si>
  <si>
    <t xml:space="preserve"> График</t>
  </si>
  <si>
    <t xml:space="preserve"> Крайне маловероятно</t>
  </si>
  <si>
    <t>Незначительное повреждение 
&lt; 500€ / евро</t>
  </si>
  <si>
    <t xml:space="preserve"> Травма, ведущая к потере трудоспособности или к частичной нетрудоспособности</t>
  </si>
  <si>
    <t>Умеренное воздействие
 менее - 1 баррель</t>
  </si>
  <si>
    <t>Умеренное повреждение 
&lt;50.000€ / евро</t>
  </si>
  <si>
    <t xml:space="preserve"> Задержка 12–48 часов</t>
  </si>
  <si>
    <t>Значительное воздействие
1-10 баррелей</t>
  </si>
  <si>
    <t>Задержка 48 часов – 7 дней</t>
  </si>
  <si>
    <t>Сильное воздействие
&gt; 10  баррелей</t>
  </si>
  <si>
    <t>Обширное повреждение
&gt; 500.000€ /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</si>
</sst>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Verdana"/>
      <family val="2"/>
      <charset val="204"/>
    </font>
    <font>
      <sz val="8"/>
      <color rgb="FF006666"/>
      <name val="Arial Black"/>
      <family val="2"/>
      <charset val="204"/>
    </font>
    <font>
      <sz val="8"/>
      <color rgb="FF333399"/>
      <name val="Arial Black"/>
      <family val="2"/>
      <charset val="204"/>
    </font>
    <font>
      <sz val="11"/>
      <color theme="0"/>
      <name val="Arial"/>
      <family val="2"/>
      <charset val="204"/>
    </font>
    <font>
      <b/>
      <sz val="11"/>
      <color theme="0"/>
      <name val="Arial"/>
      <family val="2"/>
    </font>
    <font>
      <b/>
      <i/>
      <sz val="11"/>
      <color theme="0"/>
      <name val="Arial"/>
      <family val="2"/>
    </font>
    <font>
      <b/>
      <sz val="11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1" fillId="2" borderId="0" xfId="0" applyFont="1" applyFill="1"/>
    <xf numFmtId="0" fontId="1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3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5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25" fillId="6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3" fillId="2" borderId="18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3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28" fillId="0" borderId="4" xfId="0" applyFont="1" applyBorder="1" applyAlignment="1" applyProtection="1">
      <alignment horizontal="left" vertical="center" wrapText="1"/>
      <protection locked="0"/>
    </xf>
    <xf numFmtId="0" fontId="28" fillId="0" borderId="1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33" fillId="2" borderId="1" xfId="0" applyFont="1" applyFill="1" applyBorder="1" applyAlignment="1">
      <alignment horizontal="center" vertical="center"/>
    </xf>
    <xf numFmtId="0" fontId="34" fillId="0" borderId="1" xfId="0" applyFont="1" applyBorder="1" applyAlignment="1" applyProtection="1">
      <alignment horizontal="left" vertical="center" wrapText="1"/>
      <protection locked="0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3" fillId="2" borderId="4" xfId="0" applyFont="1" applyFill="1" applyBorder="1" applyAlignment="1" applyProtection="1">
      <alignment horizontal="left" vertical="center" wrapText="1" shrinkToFit="1"/>
      <protection locked="0"/>
    </xf>
    <xf numFmtId="0" fontId="9" fillId="2" borderId="2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1" fillId="2" borderId="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1" fillId="2" borderId="8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41" fillId="2" borderId="8" xfId="0" applyFont="1" applyFill="1" applyBorder="1" applyAlignment="1">
      <alignment horizontal="left" vertical="center" wrapText="1"/>
    </xf>
    <xf numFmtId="0" fontId="43" fillId="2" borderId="17" xfId="0" applyFont="1" applyFill="1" applyBorder="1" applyAlignment="1">
      <alignment horizontal="left" vertical="center" wrapText="1"/>
    </xf>
    <xf numFmtId="0" fontId="43" fillId="2" borderId="4" xfId="0" applyFont="1" applyFill="1" applyBorder="1" applyAlignment="1">
      <alignment horizontal="left" vertical="center" wrapText="1"/>
    </xf>
    <xf numFmtId="0" fontId="35" fillId="2" borderId="18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6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36" fillId="2" borderId="0" xfId="0" applyFont="1" applyFill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40" fillId="3" borderId="6" xfId="0" applyFont="1" applyFill="1" applyBorder="1" applyAlignment="1">
      <alignment horizontal="center" textRotation="90" wrapText="1"/>
    </xf>
    <xf numFmtId="0" fontId="40" fillId="3" borderId="24" xfId="0" applyFont="1" applyFill="1" applyBorder="1" applyAlignment="1">
      <alignment horizontal="center" textRotation="90" wrapText="1"/>
    </xf>
    <xf numFmtId="0" fontId="40" fillId="3" borderId="25" xfId="0" applyFont="1" applyFill="1" applyBorder="1" applyAlignment="1">
      <alignment horizontal="center" textRotation="90" wrapText="1"/>
    </xf>
    <xf numFmtId="0" fontId="22" fillId="8" borderId="1" xfId="0" applyFont="1" applyFill="1" applyBorder="1" applyAlignment="1">
      <alignment horizontal="right" vertical="center" wrapText="1"/>
    </xf>
    <xf numFmtId="0" fontId="22" fillId="8" borderId="8" xfId="0" applyFont="1" applyFill="1" applyBorder="1" applyAlignment="1">
      <alignment horizontal="right" vertical="center" wrapText="1"/>
    </xf>
    <xf numFmtId="0" fontId="22" fillId="8" borderId="4" xfId="0" applyFont="1" applyFill="1" applyBorder="1" applyAlignment="1">
      <alignment horizontal="right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textRotation="90" wrapText="1"/>
    </xf>
    <xf numFmtId="0" fontId="26" fillId="8" borderId="8" xfId="0" applyFont="1" applyFill="1" applyBorder="1" applyAlignment="1">
      <alignment horizontal="center" vertical="center" wrapText="1"/>
    </xf>
    <xf numFmtId="0" fontId="26" fillId="8" borderId="17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14" fontId="22" fillId="8" borderId="8" xfId="0" applyNumberFormat="1" applyFont="1" applyFill="1" applyBorder="1" applyAlignment="1">
      <alignment horizontal="center" vertical="center" wrapText="1"/>
    </xf>
    <xf numFmtId="14" fontId="22" fillId="8" borderId="17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right" vertical="center" wrapText="1"/>
    </xf>
    <xf numFmtId="0" fontId="22" fillId="8" borderId="1" xfId="0" applyFont="1" applyFill="1" applyBorder="1" applyAlignment="1" applyProtection="1">
      <alignment horizontal="center" vertical="center" wrapText="1"/>
      <protection locked="0"/>
    </xf>
    <xf numFmtId="14" fontId="22" fillId="8" borderId="4" xfId="0" applyNumberFormat="1" applyFont="1" applyFill="1" applyBorder="1" applyAlignment="1">
      <alignment horizontal="center" vertical="center" wrapText="1"/>
    </xf>
    <xf numFmtId="0" fontId="37" fillId="8" borderId="19" xfId="0" applyFont="1" applyFill="1" applyBorder="1" applyAlignment="1">
      <alignment horizontal="left" vertical="center" wrapText="1"/>
    </xf>
    <xf numFmtId="0" fontId="27" fillId="8" borderId="19" xfId="0" applyFont="1" applyFill="1" applyBorder="1" applyAlignment="1">
      <alignment horizontal="left" vertical="center" wrapText="1"/>
    </xf>
    <xf numFmtId="0" fontId="38" fillId="8" borderId="18" xfId="0" applyFont="1" applyFill="1" applyBorder="1" applyAlignment="1">
      <alignment vertical="center"/>
    </xf>
    <xf numFmtId="0" fontId="38" fillId="8" borderId="19" xfId="0" applyFont="1" applyFill="1" applyBorder="1" applyAlignment="1">
      <alignment vertical="center"/>
    </xf>
    <xf numFmtId="0" fontId="38" fillId="8" borderId="19" xfId="0" applyFont="1" applyFill="1" applyBorder="1" applyAlignment="1">
      <alignment horizontal="center"/>
    </xf>
    <xf numFmtId="0" fontId="39" fillId="8" borderId="19" xfId="0" applyFont="1" applyFill="1" applyBorder="1" applyAlignment="1">
      <alignment horizontal="left" vertical="center" indent="1"/>
    </xf>
    <xf numFmtId="0" fontId="26" fillId="8" borderId="19" xfId="0" applyFont="1" applyFill="1" applyBorder="1" applyAlignment="1">
      <alignment vertical="center"/>
    </xf>
    <xf numFmtId="0" fontId="26" fillId="8" borderId="19" xfId="0" applyFont="1" applyFill="1" applyBorder="1" applyAlignment="1">
      <alignment horizontal="left" vertical="center"/>
    </xf>
    <xf numFmtId="0" fontId="26" fillId="8" borderId="21" xfId="0" applyFont="1" applyFill="1" applyBorder="1" applyAlignment="1">
      <alignment horizontal="right" vertical="center"/>
    </xf>
    <xf numFmtId="0" fontId="21" fillId="8" borderId="8" xfId="0" applyFont="1" applyFill="1" applyBorder="1" applyAlignment="1">
      <alignment horizontal="left" vertical="center" wrapText="1"/>
    </xf>
    <xf numFmtId="0" fontId="21" fillId="8" borderId="4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1" fillId="8" borderId="17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22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E8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18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5" name="Tekstvak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15</xdr:row>
      <xdr:rowOff>0</xdr:rowOff>
    </xdr:from>
    <xdr:ext cx="184731" cy="264560"/>
    <xdr:sp macro="" textlink="">
      <xdr:nvSpPr>
        <xdr:cNvPr id="6" name="Tekstvak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15</xdr:row>
      <xdr:rowOff>0</xdr:rowOff>
    </xdr:from>
    <xdr:ext cx="184731" cy="264560"/>
    <xdr:sp macro="" textlink="">
      <xdr:nvSpPr>
        <xdr:cNvPr id="7" name="Tekstvak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8" name="Tekstvak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9" name="Tekstvak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04CB05A4-DC42-432E-B3D9-469A11B738AA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2A8E7961-53C2-4A7D-98EB-12BA27ACA9B8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85D8F767-0D7A-4EC1-9DE3-BC3AFD4DEF86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24A349C-B888-482B-B05A-EFEEA0450C28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F17E9D-E85E-4605-811A-EAC427A15F6A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F45B9E-0404-47F9-945F-34F8507AC4CD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DC947E-8FED-40F0-9C60-83B175BC80A7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A3A14E17-6B8D-4EDB-B2BB-20F64D96EC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64"/>
  <sheetViews>
    <sheetView zoomScale="80" zoomScaleNormal="80" zoomScalePageLayoutView="70" workbookViewId="0">
      <selection activeCell="A50" activeCellId="3" sqref="A47:B47 C47 D47:F48 A50:B50"/>
    </sheetView>
  </sheetViews>
  <sheetFormatPr defaultColWidth="9.140625" defaultRowHeight="12.75" x14ac:dyDescent="0.2"/>
  <cols>
    <col min="1" max="1" width="6.85546875" style="3" customWidth="1"/>
    <col min="2" max="2" width="28.7109375" style="3" customWidth="1"/>
    <col min="3" max="3" width="66.140625" style="3" customWidth="1"/>
    <col min="4" max="4" width="4.85546875" style="3" customWidth="1"/>
    <col min="5" max="5" width="5.140625" style="3" customWidth="1"/>
    <col min="6" max="6" width="5.285156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285156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23" t="s">
        <v>54</v>
      </c>
      <c r="B1" s="124"/>
      <c r="C1" s="51"/>
      <c r="D1" s="52"/>
      <c r="E1" s="52"/>
      <c r="F1" s="52"/>
      <c r="G1" s="53"/>
      <c r="H1" s="54"/>
      <c r="I1" s="1"/>
      <c r="J1" s="59"/>
      <c r="K1" s="53"/>
      <c r="L1" s="53"/>
      <c r="M1" s="60"/>
      <c r="Q1" s="14" t="s">
        <v>7</v>
      </c>
      <c r="R1" s="14" t="s">
        <v>8</v>
      </c>
      <c r="S1" s="14" t="s">
        <v>9</v>
      </c>
      <c r="T1" s="14" t="s">
        <v>10</v>
      </c>
      <c r="U1" s="14" t="s">
        <v>11</v>
      </c>
      <c r="V1" s="14" t="s">
        <v>12</v>
      </c>
      <c r="W1" s="18" t="s">
        <v>13</v>
      </c>
    </row>
    <row r="2" spans="1:23" ht="25.5" customHeight="1" x14ac:dyDescent="0.2">
      <c r="A2" s="125"/>
      <c r="B2" s="126"/>
      <c r="C2" s="55"/>
      <c r="D2" s="50"/>
      <c r="E2" s="50"/>
      <c r="F2" s="50"/>
      <c r="G2" s="50"/>
      <c r="H2" s="56"/>
      <c r="I2" s="4"/>
      <c r="J2" s="84" t="s">
        <v>162</v>
      </c>
      <c r="K2" s="85"/>
      <c r="L2" s="85"/>
      <c r="M2" s="86"/>
      <c r="P2" s="7"/>
      <c r="Q2" s="14">
        <v>1</v>
      </c>
      <c r="R2" s="14" t="s">
        <v>14</v>
      </c>
      <c r="S2" s="15"/>
      <c r="T2" s="15"/>
      <c r="U2" s="15"/>
      <c r="V2" s="15"/>
      <c r="W2" s="18" t="s">
        <v>15</v>
      </c>
    </row>
    <row r="3" spans="1:23" ht="25.5" customHeight="1" x14ac:dyDescent="0.2">
      <c r="A3" s="125"/>
      <c r="B3" s="126"/>
      <c r="C3" s="90" t="s">
        <v>55</v>
      </c>
      <c r="D3" s="91"/>
      <c r="E3" s="91"/>
      <c r="F3" s="91"/>
      <c r="G3" s="91"/>
      <c r="H3" s="92"/>
      <c r="J3" s="84" t="s">
        <v>160</v>
      </c>
      <c r="K3" s="85"/>
      <c r="L3" s="85"/>
      <c r="M3" s="86"/>
      <c r="P3" s="7"/>
      <c r="Q3" s="14">
        <v>2</v>
      </c>
      <c r="R3" s="14" t="s">
        <v>16</v>
      </c>
      <c r="S3" s="15"/>
      <c r="T3" s="15"/>
      <c r="U3" s="15"/>
      <c r="V3" s="15"/>
      <c r="W3" s="18" t="s">
        <v>17</v>
      </c>
    </row>
    <row r="4" spans="1:23" ht="33.75" customHeight="1" x14ac:dyDescent="0.2">
      <c r="A4" s="127"/>
      <c r="B4" s="128"/>
      <c r="C4" s="58"/>
      <c r="H4" s="57"/>
      <c r="J4" s="87" t="s">
        <v>161</v>
      </c>
      <c r="K4" s="88"/>
      <c r="L4" s="88"/>
      <c r="M4" s="89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P5" s="7"/>
      <c r="Q5" s="14">
        <v>3</v>
      </c>
      <c r="R5" s="14" t="s">
        <v>18</v>
      </c>
      <c r="S5" s="15"/>
      <c r="T5" s="15"/>
      <c r="U5" s="15"/>
      <c r="V5" s="15"/>
      <c r="W5" s="18" t="s">
        <v>19</v>
      </c>
    </row>
    <row r="6" spans="1:23" s="7" customFormat="1" ht="48" customHeight="1" x14ac:dyDescent="0.2">
      <c r="A6" s="162" t="s">
        <v>56</v>
      </c>
      <c r="B6" s="162"/>
      <c r="C6" s="72"/>
      <c r="D6" s="62"/>
      <c r="E6" s="62"/>
      <c r="F6" s="63"/>
      <c r="G6" s="173" t="s">
        <v>58</v>
      </c>
      <c r="H6" s="73" t="s">
        <v>159</v>
      </c>
      <c r="I6" s="62"/>
      <c r="J6" s="174" t="s">
        <v>59</v>
      </c>
      <c r="K6" s="93" t="s">
        <v>162</v>
      </c>
      <c r="L6" s="93"/>
      <c r="M6" s="94"/>
      <c r="Q6" s="14">
        <v>4</v>
      </c>
      <c r="R6" s="14" t="s">
        <v>20</v>
      </c>
      <c r="S6" s="14"/>
      <c r="T6" s="14"/>
      <c r="U6" s="14"/>
      <c r="V6" s="14"/>
    </row>
    <row r="7" spans="1:23" s="7" customFormat="1" ht="36" customHeight="1" x14ac:dyDescent="0.2">
      <c r="A7" s="163" t="s">
        <v>57</v>
      </c>
      <c r="B7" s="164"/>
      <c r="C7" s="71"/>
      <c r="D7" s="171" t="s">
        <v>0</v>
      </c>
      <c r="E7" s="172"/>
      <c r="F7" s="172"/>
      <c r="G7" s="173" t="s">
        <v>60</v>
      </c>
      <c r="H7" s="135"/>
      <c r="I7" s="136"/>
      <c r="J7" s="137"/>
      <c r="K7" s="171" t="s">
        <v>61</v>
      </c>
      <c r="L7" s="172"/>
      <c r="M7" s="175"/>
      <c r="Q7" s="14">
        <v>5</v>
      </c>
      <c r="R7" s="14" t="s">
        <v>21</v>
      </c>
      <c r="S7" s="14"/>
      <c r="T7" s="14"/>
      <c r="U7" s="14"/>
      <c r="V7" s="14"/>
    </row>
    <row r="8" spans="1:23" ht="158.25" customHeight="1" x14ac:dyDescent="0.2">
      <c r="A8" s="165" t="s">
        <v>62</v>
      </c>
      <c r="B8" s="165" t="s">
        <v>63</v>
      </c>
      <c r="C8" s="165" t="s">
        <v>64</v>
      </c>
      <c r="D8" s="166" t="s">
        <v>65</v>
      </c>
      <c r="E8" s="166" t="s">
        <v>66</v>
      </c>
      <c r="F8" s="166" t="s">
        <v>67</v>
      </c>
      <c r="G8" s="167" t="s">
        <v>68</v>
      </c>
      <c r="H8" s="168"/>
      <c r="I8" s="169"/>
      <c r="J8" s="170"/>
      <c r="K8" s="166" t="s">
        <v>65</v>
      </c>
      <c r="L8" s="166" t="s">
        <v>66</v>
      </c>
      <c r="M8" s="166" t="s">
        <v>69</v>
      </c>
      <c r="Q8" s="14"/>
      <c r="R8" s="15"/>
      <c r="S8" s="15"/>
      <c r="T8" s="15"/>
      <c r="U8" s="15" t="str">
        <f>IF(L16="","",IF(N16="","",IF(M16+O16&lt;=5,$W$17,IF(M16+O16=6,$W$18,IF(M16+O16=7,$W$18,IF(M16+O16&gt;=8,$W$22,""))))))</f>
        <v/>
      </c>
      <c r="V8" s="15"/>
    </row>
    <row r="9" spans="1:23" ht="302.25" customHeight="1" x14ac:dyDescent="0.2">
      <c r="A9" s="77">
        <v>1</v>
      </c>
      <c r="B9" s="76" t="s">
        <v>70</v>
      </c>
      <c r="C9" s="74" t="s">
        <v>71</v>
      </c>
      <c r="D9" s="20">
        <v>5</v>
      </c>
      <c r="E9" s="13" t="s">
        <v>1</v>
      </c>
      <c r="F9" s="68" t="str">
        <f t="shared" ref="F9:F15" si="0">IF(D9="","",(IF(E9="","",IF(U9&lt;=1,"",IF(U9&lt;=5,$W$2,IF(U9=6,$W$3,IF(U9=7,$W$3,IF(U9&gt;=8,$W$5,""))))))))</f>
        <v>H</v>
      </c>
      <c r="G9" s="79" t="s">
        <v>72</v>
      </c>
      <c r="H9" s="80"/>
      <c r="I9" s="81"/>
      <c r="J9" s="82"/>
      <c r="K9" s="20">
        <v>2</v>
      </c>
      <c r="L9" s="13" t="s">
        <v>2</v>
      </c>
      <c r="M9" s="64" t="str">
        <f t="shared" ref="M9:M15" si="1">IF(K9="","",(IF(L9="","",IF(V9&lt;=1,"",IF(V9&lt;=5,$W$2,IF(V9=6,$W$3,IF(V9=7,$W$3,IF(V9&gt;=8,$W$5,""))))))))</f>
        <v>L</v>
      </c>
      <c r="Q9" s="14"/>
      <c r="R9" s="15"/>
      <c r="S9" s="19">
        <f t="shared" ref="S9:S15" si="2">IF(E9="A",1,IF(E9="B",2,IF(E9="C",3,IF(E9="D",4,IF(E9="E",5,"")))))</f>
        <v>3</v>
      </c>
      <c r="T9" s="19">
        <f t="shared" ref="T9:T15" si="3">IF(L9="A",1,IF(L9="B",2,IF(L9="C",3,IF(L9="D",4,IF(L9="E",5,"")))))</f>
        <v>3</v>
      </c>
      <c r="U9" s="15">
        <f t="shared" ref="U9:U15" si="4">D9+S9</f>
        <v>8</v>
      </c>
      <c r="V9" s="15">
        <f t="shared" ref="V9:V15" si="5">K9+T9</f>
        <v>5</v>
      </c>
    </row>
    <row r="10" spans="1:23" ht="186" customHeight="1" x14ac:dyDescent="0.2">
      <c r="A10" s="77">
        <v>2</v>
      </c>
      <c r="B10" s="76" t="s">
        <v>73</v>
      </c>
      <c r="C10" s="75" t="s">
        <v>74</v>
      </c>
      <c r="D10" s="20">
        <v>5</v>
      </c>
      <c r="E10" s="13" t="s">
        <v>1</v>
      </c>
      <c r="F10" s="68" t="str">
        <f t="shared" ref="F10:F14" si="6">IF(D10="","",(IF(E10="","",IF(U10&lt;=1,"",IF(U10&lt;=5,$W$2,IF(U10=6,$W$3,IF(U10=7,$W$3,IF(U10&gt;=8,$W$5,""))))))))</f>
        <v>H</v>
      </c>
      <c r="G10" s="79" t="s">
        <v>75</v>
      </c>
      <c r="H10" s="80"/>
      <c r="I10" s="81"/>
      <c r="J10" s="82"/>
      <c r="K10" s="20">
        <v>2</v>
      </c>
      <c r="L10" s="13" t="s">
        <v>1</v>
      </c>
      <c r="M10" s="64" t="str">
        <f t="shared" ref="M10:M14" si="7">IF(K10="","",(IF(L10="","",IF(V10&lt;=1,"",IF(V10&lt;=5,$W$2,IF(V10=6,$W$3,IF(V10=7,$W$3,IF(V10&gt;=8,$W$5,""))))))))</f>
        <v>L</v>
      </c>
      <c r="Q10" s="14"/>
      <c r="R10" s="15"/>
      <c r="S10" s="19">
        <f t="shared" ref="S10:S14" si="8">IF(E10="A",1,IF(E10="B",2,IF(E10="C",3,IF(E10="D",4,IF(E10="E",5,"")))))</f>
        <v>3</v>
      </c>
      <c r="T10" s="19">
        <f t="shared" ref="T10:T14" si="9">IF(L10="A",1,IF(L10="B",2,IF(L10="C",3,IF(L10="D",4,IF(L10="E",5,"")))))</f>
        <v>3</v>
      </c>
      <c r="U10" s="15">
        <f t="shared" ref="U10:U14" si="10">D10+S10</f>
        <v>8</v>
      </c>
      <c r="V10" s="15">
        <f t="shared" ref="V10:V14" si="11">K10+T10</f>
        <v>5</v>
      </c>
    </row>
    <row r="11" spans="1:23" ht="201" customHeight="1" x14ac:dyDescent="0.2">
      <c r="A11" s="77">
        <v>3</v>
      </c>
      <c r="B11" s="76" t="s">
        <v>76</v>
      </c>
      <c r="C11" s="75" t="s">
        <v>78</v>
      </c>
      <c r="D11" s="20">
        <v>5</v>
      </c>
      <c r="E11" s="13" t="s">
        <v>1</v>
      </c>
      <c r="F11" s="68" t="str">
        <f t="shared" si="6"/>
        <v>H</v>
      </c>
      <c r="G11" s="79" t="s">
        <v>77</v>
      </c>
      <c r="H11" s="80"/>
      <c r="I11" s="81"/>
      <c r="J11" s="82"/>
      <c r="K11" s="20">
        <v>2</v>
      </c>
      <c r="L11" s="13" t="s">
        <v>1</v>
      </c>
      <c r="M11" s="64" t="str">
        <f t="shared" si="7"/>
        <v>L</v>
      </c>
      <c r="Q11" s="14"/>
      <c r="R11" s="15"/>
      <c r="S11" s="19">
        <f t="shared" si="8"/>
        <v>3</v>
      </c>
      <c r="T11" s="19">
        <f t="shared" si="9"/>
        <v>3</v>
      </c>
      <c r="U11" s="15">
        <f t="shared" si="10"/>
        <v>8</v>
      </c>
      <c r="V11" s="15">
        <f t="shared" si="11"/>
        <v>5</v>
      </c>
    </row>
    <row r="12" spans="1:23" ht="216" customHeight="1" x14ac:dyDescent="0.2">
      <c r="A12" s="77">
        <v>4</v>
      </c>
      <c r="B12" s="76" t="s">
        <v>79</v>
      </c>
      <c r="C12" s="75" t="s">
        <v>80</v>
      </c>
      <c r="D12" s="20">
        <v>4</v>
      </c>
      <c r="E12" s="13" t="s">
        <v>1</v>
      </c>
      <c r="F12" s="68" t="s">
        <v>17</v>
      </c>
      <c r="G12" s="79" t="s">
        <v>81</v>
      </c>
      <c r="H12" s="80"/>
      <c r="I12" s="81"/>
      <c r="J12" s="82"/>
      <c r="K12" s="20">
        <v>2</v>
      </c>
      <c r="L12" s="13" t="s">
        <v>1</v>
      </c>
      <c r="M12" s="64" t="str">
        <f t="shared" si="7"/>
        <v>L</v>
      </c>
      <c r="Q12" s="14"/>
      <c r="R12" s="15"/>
      <c r="S12" s="19">
        <f t="shared" si="8"/>
        <v>3</v>
      </c>
      <c r="T12" s="19">
        <f t="shared" si="9"/>
        <v>3</v>
      </c>
      <c r="U12" s="15">
        <f t="shared" si="10"/>
        <v>7</v>
      </c>
      <c r="V12" s="15">
        <f t="shared" si="11"/>
        <v>5</v>
      </c>
    </row>
    <row r="13" spans="1:23" ht="105.75" customHeight="1" x14ac:dyDescent="0.2">
      <c r="A13" s="77">
        <v>5</v>
      </c>
      <c r="B13" s="76" t="s">
        <v>82</v>
      </c>
      <c r="C13" s="75" t="s">
        <v>83</v>
      </c>
      <c r="D13" s="20">
        <v>5</v>
      </c>
      <c r="E13" s="13" t="s">
        <v>1</v>
      </c>
      <c r="F13" s="68" t="s">
        <v>19</v>
      </c>
      <c r="G13" s="79" t="s">
        <v>84</v>
      </c>
      <c r="H13" s="80"/>
      <c r="I13" s="81"/>
      <c r="J13" s="82"/>
      <c r="K13" s="20">
        <v>2</v>
      </c>
      <c r="L13" s="13" t="s">
        <v>1</v>
      </c>
      <c r="M13" s="64" t="str">
        <f t="shared" si="7"/>
        <v>L</v>
      </c>
      <c r="Q13" s="14"/>
      <c r="R13" s="15"/>
      <c r="S13" s="19">
        <f t="shared" si="8"/>
        <v>3</v>
      </c>
      <c r="T13" s="19">
        <f t="shared" si="9"/>
        <v>3</v>
      </c>
      <c r="U13" s="15">
        <f t="shared" si="10"/>
        <v>8</v>
      </c>
      <c r="V13" s="15">
        <f t="shared" si="11"/>
        <v>5</v>
      </c>
    </row>
    <row r="14" spans="1:23" ht="180" customHeight="1" x14ac:dyDescent="0.2">
      <c r="A14" s="77">
        <v>6</v>
      </c>
      <c r="B14" s="76" t="s">
        <v>85</v>
      </c>
      <c r="C14" s="75" t="s">
        <v>86</v>
      </c>
      <c r="D14" s="20">
        <v>4</v>
      </c>
      <c r="E14" s="13" t="s">
        <v>1</v>
      </c>
      <c r="F14" s="68" t="str">
        <f t="shared" si="6"/>
        <v>M</v>
      </c>
      <c r="G14" s="79" t="s">
        <v>87</v>
      </c>
      <c r="H14" s="80"/>
      <c r="I14" s="81"/>
      <c r="J14" s="82"/>
      <c r="K14" s="20">
        <v>1</v>
      </c>
      <c r="L14" s="13" t="s">
        <v>1</v>
      </c>
      <c r="M14" s="64" t="str">
        <f t="shared" si="7"/>
        <v>L</v>
      </c>
      <c r="Q14" s="14"/>
      <c r="R14" s="15"/>
      <c r="S14" s="19">
        <f t="shared" si="8"/>
        <v>3</v>
      </c>
      <c r="T14" s="19">
        <f t="shared" si="9"/>
        <v>3</v>
      </c>
      <c r="U14" s="15">
        <f t="shared" si="10"/>
        <v>7</v>
      </c>
      <c r="V14" s="15">
        <f t="shared" si="11"/>
        <v>4</v>
      </c>
    </row>
    <row r="15" spans="1:23" ht="191.1" customHeight="1" x14ac:dyDescent="0.2">
      <c r="A15" s="77">
        <v>7</v>
      </c>
      <c r="B15" s="76" t="s">
        <v>88</v>
      </c>
      <c r="C15" s="75" t="s">
        <v>89</v>
      </c>
      <c r="D15" s="20">
        <v>3</v>
      </c>
      <c r="E15" s="13" t="s">
        <v>3</v>
      </c>
      <c r="F15" s="68" t="str">
        <f t="shared" si="0"/>
        <v>M</v>
      </c>
      <c r="G15" s="79" t="s">
        <v>90</v>
      </c>
      <c r="H15" s="80"/>
      <c r="I15" s="81"/>
      <c r="J15" s="82"/>
      <c r="K15" s="20">
        <v>1</v>
      </c>
      <c r="L15" s="13" t="s">
        <v>4</v>
      </c>
      <c r="M15" s="64" t="str">
        <f t="shared" si="1"/>
        <v>L</v>
      </c>
      <c r="Q15" s="14"/>
      <c r="R15" s="15"/>
      <c r="S15" s="19">
        <f t="shared" si="2"/>
        <v>3</v>
      </c>
      <c r="T15" s="19">
        <f t="shared" si="3"/>
        <v>3</v>
      </c>
      <c r="U15" s="15">
        <f t="shared" si="4"/>
        <v>6</v>
      </c>
      <c r="V15" s="15">
        <f t="shared" si="5"/>
        <v>4</v>
      </c>
    </row>
    <row r="16" spans="1:23" ht="182.25" customHeight="1" x14ac:dyDescent="0.2">
      <c r="A16" s="77">
        <v>8</v>
      </c>
      <c r="B16" s="76" t="s">
        <v>91</v>
      </c>
      <c r="C16" s="75" t="s">
        <v>92</v>
      </c>
      <c r="D16" s="20">
        <v>5</v>
      </c>
      <c r="E16" s="13" t="s">
        <v>1</v>
      </c>
      <c r="F16" s="68" t="str">
        <f t="shared" ref="F16" si="12">IF(D16="","",(IF(E16="","",IF(U16&lt;=1,"",IF(U16&lt;=5,$W$2,IF(U16=6,$W$3,IF(U16=7,$W$3,IF(U16&gt;=8,$W$5,""))))))))</f>
        <v>H</v>
      </c>
      <c r="G16" s="79" t="s">
        <v>93</v>
      </c>
      <c r="H16" s="80"/>
      <c r="I16" s="81"/>
      <c r="J16" s="82"/>
      <c r="K16" s="20">
        <v>2</v>
      </c>
      <c r="L16" s="13" t="s">
        <v>1</v>
      </c>
      <c r="M16" s="64" t="str">
        <f t="shared" ref="M16" si="13">IF(K16="","",(IF(L16="","",IF(V16&lt;=1,"",IF(V16&lt;=5,$W$2,IF(V16=6,$W$3,IF(V16=7,$W$3,IF(V16&gt;=8,$W$5,""))))))))</f>
        <v>L</v>
      </c>
      <c r="Q16" s="14"/>
      <c r="R16" s="15"/>
      <c r="S16" s="19">
        <f t="shared" ref="S16" si="14">IF(E16="A",1,IF(E16="B",2,IF(E16="C",3,IF(E16="D",4,IF(E16="E",5,"")))))</f>
        <v>3</v>
      </c>
      <c r="T16" s="19">
        <f t="shared" ref="T16" si="15">IF(L16="A",1,IF(L16="B",2,IF(L16="C",3,IF(L16="D",4,IF(L16="E",5,"")))))</f>
        <v>3</v>
      </c>
      <c r="U16" s="15">
        <f t="shared" ref="U16" si="16">D16+S16</f>
        <v>8</v>
      </c>
      <c r="V16" s="15">
        <f t="shared" ref="V16" si="17">K16+T16</f>
        <v>5</v>
      </c>
    </row>
    <row r="17" spans="1:22" ht="188.25" customHeight="1" x14ac:dyDescent="0.2">
      <c r="A17" s="77">
        <v>9</v>
      </c>
      <c r="B17" s="76" t="s">
        <v>94</v>
      </c>
      <c r="C17" s="75" t="s">
        <v>95</v>
      </c>
      <c r="D17" s="20">
        <v>5</v>
      </c>
      <c r="E17" s="13" t="s">
        <v>20</v>
      </c>
      <c r="F17" s="68" t="s">
        <v>19</v>
      </c>
      <c r="G17" s="79" t="s">
        <v>96</v>
      </c>
      <c r="H17" s="80"/>
      <c r="I17" s="80"/>
      <c r="J17" s="83"/>
      <c r="K17" s="20">
        <v>2</v>
      </c>
      <c r="L17" s="13" t="s">
        <v>20</v>
      </c>
      <c r="M17" s="64" t="s">
        <v>15</v>
      </c>
      <c r="Q17" s="14"/>
      <c r="R17" s="15"/>
      <c r="S17" s="19">
        <f>IF(E18="A",1,IF(E18="B",2,IF(E18="C",3,IF(E18="D",4,IF(E18="E",5,"")))))</f>
        <v>4</v>
      </c>
      <c r="T17" s="19">
        <f>IF(L18="A",1,IF(L18="B",2,IF(L18="C",3,IF(L18="D",4,IF(L18="E",5,"")))))</f>
        <v>4</v>
      </c>
      <c r="U17" s="15">
        <f>D18+S17</f>
        <v>9</v>
      </c>
      <c r="V17" s="15">
        <f>K18+T17</f>
        <v>6</v>
      </c>
    </row>
    <row r="18" spans="1:22" ht="195.75" customHeight="1" x14ac:dyDescent="0.2">
      <c r="A18" s="77">
        <v>10</v>
      </c>
      <c r="B18" s="78" t="s">
        <v>97</v>
      </c>
      <c r="C18" s="75" t="s">
        <v>98</v>
      </c>
      <c r="D18" s="20">
        <v>5</v>
      </c>
      <c r="E18" s="13" t="s">
        <v>5</v>
      </c>
      <c r="F18" s="68" t="s">
        <v>19</v>
      </c>
      <c r="G18" s="79" t="s">
        <v>99</v>
      </c>
      <c r="H18" s="80"/>
      <c r="I18" s="80"/>
      <c r="J18" s="83"/>
      <c r="K18" s="20">
        <v>2</v>
      </c>
      <c r="L18" s="13" t="s">
        <v>6</v>
      </c>
      <c r="M18" s="64" t="s">
        <v>15</v>
      </c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53.45" customHeight="1" x14ac:dyDescent="0.2">
      <c r="A19" s="138" t="s">
        <v>100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40"/>
      <c r="Q19" s="14"/>
      <c r="R19" s="15"/>
      <c r="S19" s="19"/>
      <c r="T19" s="19"/>
      <c r="U19" s="15"/>
      <c r="V19" s="15"/>
    </row>
    <row r="20" spans="1:22" ht="30.95" customHeight="1" x14ac:dyDescent="0.2">
      <c r="A20" s="176" t="s">
        <v>101</v>
      </c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Q20" s="14"/>
      <c r="R20" s="15"/>
      <c r="S20" s="19"/>
      <c r="T20" s="19"/>
      <c r="U20" s="15"/>
      <c r="V20" s="15"/>
    </row>
    <row r="21" spans="1:22" ht="51.75" customHeight="1" x14ac:dyDescent="0.25">
      <c r="A21" s="178" t="s">
        <v>157</v>
      </c>
      <c r="B21" s="179"/>
      <c r="C21" s="179"/>
      <c r="D21" s="180"/>
      <c r="E21" s="180"/>
      <c r="F21" s="180"/>
      <c r="G21" s="181"/>
      <c r="H21" s="182"/>
      <c r="I21" s="182"/>
      <c r="J21" s="182"/>
      <c r="K21" s="182"/>
      <c r="L21" s="183"/>
      <c r="M21" s="184"/>
      <c r="Q21" s="14"/>
      <c r="R21" s="15"/>
      <c r="S21" s="19"/>
      <c r="T21" s="19"/>
      <c r="U21" s="15"/>
      <c r="V21" s="15"/>
    </row>
    <row r="22" spans="1:22" ht="57.95" customHeight="1" x14ac:dyDescent="0.2">
      <c r="A22" s="115" t="s">
        <v>102</v>
      </c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7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23.1" customHeight="1" x14ac:dyDescent="0.2">
      <c r="A23" s="120" t="s">
        <v>158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2"/>
      <c r="Q23" s="14"/>
      <c r="R23" s="15"/>
      <c r="S23" s="19" t="e">
        <f>IF(#REF!="A",1,IF(#REF!="B",2,IF(#REF!="C",3,IF(#REF!="D",4,IF(#REF!="E",5,"")))))</f>
        <v>#REF!</v>
      </c>
      <c r="T23" s="19" t="e">
        <f>IF(#REF!="A",1,IF(#REF!="B",2,IF(#REF!="C",3,IF(#REF!="D",4,IF(#REF!="E",5,"")))))</f>
        <v>#REF!</v>
      </c>
      <c r="U23" s="15" t="e">
        <f>#REF!+S23</f>
        <v>#REF!</v>
      </c>
      <c r="V23" s="15" t="e">
        <f>#REF!+T23</f>
        <v>#REF!</v>
      </c>
    </row>
    <row r="24" spans="1:22" ht="45" customHeight="1" x14ac:dyDescent="0.2">
      <c r="A24" s="65">
        <v>1</v>
      </c>
      <c r="B24" s="98" t="s">
        <v>103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100"/>
      <c r="Q24" s="14"/>
      <c r="R24" s="15"/>
      <c r="S24" s="19" t="e">
        <f>IF(#REF!="A",1,IF(#REF!="B",2,IF(#REF!="C",3,IF(#REF!="D",4,IF(#REF!="E",5,"")))))</f>
        <v>#REF!</v>
      </c>
      <c r="T24" s="19" t="e">
        <f>IF(#REF!="A",1,IF(#REF!="B",2,IF(#REF!="C",3,IF(#REF!="D",4,IF(#REF!="E",5,"")))))</f>
        <v>#REF!</v>
      </c>
      <c r="U24" s="15" t="e">
        <f>#REF!+S24</f>
        <v>#REF!</v>
      </c>
      <c r="V24" s="15" t="e">
        <f>#REF!+T24</f>
        <v>#REF!</v>
      </c>
    </row>
    <row r="25" spans="1:22" ht="45" customHeight="1" x14ac:dyDescent="0.2">
      <c r="A25" s="65">
        <v>2</v>
      </c>
      <c r="B25" s="95" t="s">
        <v>104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7"/>
      <c r="Q25" s="14"/>
      <c r="R25" s="15"/>
      <c r="S25" s="19" t="e">
        <f>IF(#REF!="A",1,IF(#REF!="B",2,IF(#REF!="C",3,IF(#REF!="D",4,IF(#REF!="E",5,"")))))</f>
        <v>#REF!</v>
      </c>
      <c r="T25" s="19" t="e">
        <f>IF(#REF!="A",1,IF(#REF!="B",2,IF(#REF!="C",3,IF(#REF!="D",4,IF(#REF!="E",5,"")))))</f>
        <v>#REF!</v>
      </c>
      <c r="U25" s="15" t="e">
        <f>#REF!+S25</f>
        <v>#REF!</v>
      </c>
      <c r="V25" s="15" t="e">
        <f>#REF!+T25</f>
        <v>#REF!</v>
      </c>
    </row>
    <row r="26" spans="1:22" ht="45" customHeight="1" x14ac:dyDescent="0.2">
      <c r="A26" s="65">
        <v>3</v>
      </c>
      <c r="B26" s="98" t="s">
        <v>105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100"/>
      <c r="Q26" s="14"/>
      <c r="R26" s="15"/>
      <c r="S26" s="19" t="e">
        <f>IF(#REF!="A",1,IF(#REF!="B",2,IF(#REF!="C",3,IF(#REF!="D",4,IF(#REF!="E",5,"")))))</f>
        <v>#REF!</v>
      </c>
      <c r="T26" s="19" t="e">
        <f>IF(#REF!="A",1,IF(#REF!="B",2,IF(#REF!="C",3,IF(#REF!="D",4,IF(#REF!="E",5,"")))))</f>
        <v>#REF!</v>
      </c>
      <c r="U26" s="15" t="e">
        <f>#REF!+S26</f>
        <v>#REF!</v>
      </c>
      <c r="V26" s="15" t="e">
        <f>#REF!+T26</f>
        <v>#REF!</v>
      </c>
    </row>
    <row r="27" spans="1:22" ht="45" customHeight="1" x14ac:dyDescent="0.2">
      <c r="A27" s="65">
        <v>4</v>
      </c>
      <c r="B27" s="95" t="s">
        <v>106</v>
      </c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7"/>
      <c r="Q27" s="14"/>
      <c r="R27" s="15"/>
      <c r="S27" s="19" t="e">
        <f>IF(#REF!="A",1,IF(#REF!="B",2,IF(#REF!="C",3,IF(#REF!="D",4,IF(#REF!="E",5,"")))))</f>
        <v>#REF!</v>
      </c>
      <c r="T27" s="19" t="e">
        <f>IF(#REF!="A",1,IF(#REF!="B",2,IF(#REF!="C",3,IF(#REF!="D",4,IF(#REF!="E",5,"")))))</f>
        <v>#REF!</v>
      </c>
      <c r="U27" s="15" t="e">
        <f>#REF!+S27</f>
        <v>#REF!</v>
      </c>
      <c r="V27" s="15" t="e">
        <f>#REF!+T27</f>
        <v>#REF!</v>
      </c>
    </row>
    <row r="28" spans="1:22" ht="45" customHeight="1" x14ac:dyDescent="0.2">
      <c r="A28" s="65">
        <v>5</v>
      </c>
      <c r="B28" s="98" t="s">
        <v>107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100"/>
      <c r="Q28" s="14"/>
      <c r="R28" s="15"/>
      <c r="S28" s="19" t="e">
        <f>IF(#REF!="A",1,IF(#REF!="B",2,IF(#REF!="C",3,IF(#REF!="D",4,IF(#REF!="E",5,"")))))</f>
        <v>#REF!</v>
      </c>
      <c r="T28" s="19" t="e">
        <f>IF(#REF!="A",1,IF(#REF!="B",2,IF(#REF!="C",3,IF(#REF!="D",4,IF(#REF!="E",5,"")))))</f>
        <v>#REF!</v>
      </c>
      <c r="U28" s="15" t="e">
        <f>#REF!+S28</f>
        <v>#REF!</v>
      </c>
      <c r="V28" s="15" t="e">
        <f>#REF!+T28</f>
        <v>#REF!</v>
      </c>
    </row>
    <row r="29" spans="1:22" ht="45" customHeight="1" x14ac:dyDescent="0.2">
      <c r="A29" s="65">
        <v>6</v>
      </c>
      <c r="B29" s="95" t="s">
        <v>108</v>
      </c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7"/>
      <c r="Q29" s="14"/>
      <c r="R29" s="15"/>
      <c r="S29" s="19" t="e">
        <f>IF(#REF!="A",1,IF(#REF!="B",2,IF(#REF!="C",3,IF(#REF!="D",4,IF(#REF!="E",5,"")))))</f>
        <v>#REF!</v>
      </c>
      <c r="T29" s="19" t="e">
        <f>IF(#REF!="A",1,IF(#REF!="B",2,IF(#REF!="C",3,IF(#REF!="D",4,IF(#REF!="E",5,"")))))</f>
        <v>#REF!</v>
      </c>
      <c r="U29" s="15" t="e">
        <f>#REF!+S29</f>
        <v>#REF!</v>
      </c>
      <c r="V29" s="15" t="e">
        <f>#REF!+T29</f>
        <v>#REF!</v>
      </c>
    </row>
    <row r="30" spans="1:22" ht="45" customHeight="1" x14ac:dyDescent="0.2">
      <c r="A30" s="65">
        <v>7</v>
      </c>
      <c r="B30" s="98" t="s">
        <v>109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100"/>
      <c r="Q30" s="14"/>
      <c r="R30" s="15"/>
      <c r="S30" s="19" t="e">
        <f>IF(#REF!="A",1,IF(#REF!="B",2,IF(#REF!="C",3,IF(#REF!="D",4,IF(#REF!="E",5,"")))))</f>
        <v>#REF!</v>
      </c>
      <c r="T30" s="19" t="e">
        <f>IF(#REF!="A",1,IF(#REF!="B",2,IF(#REF!="C",3,IF(#REF!="D",4,IF(#REF!="E",5,"")))))</f>
        <v>#REF!</v>
      </c>
      <c r="U30" s="15" t="e">
        <f>#REF!+S30</f>
        <v>#REF!</v>
      </c>
      <c r="V30" s="15" t="e">
        <f>#REF!+T30</f>
        <v>#REF!</v>
      </c>
    </row>
    <row r="31" spans="1:22" ht="45" customHeight="1" x14ac:dyDescent="0.2">
      <c r="A31" s="65">
        <v>8</v>
      </c>
      <c r="B31" s="98" t="s">
        <v>110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00"/>
    </row>
    <row r="32" spans="1:22" ht="45" customHeight="1" x14ac:dyDescent="0.2">
      <c r="A32" s="65">
        <v>9</v>
      </c>
      <c r="B32" s="98" t="s">
        <v>111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100"/>
    </row>
    <row r="33" spans="1:17" ht="45" customHeight="1" x14ac:dyDescent="0.2">
      <c r="A33" s="65">
        <v>10</v>
      </c>
      <c r="B33" s="101" t="s">
        <v>112</v>
      </c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3"/>
    </row>
    <row r="34" spans="1:17" ht="45" customHeight="1" x14ac:dyDescent="0.2">
      <c r="A34" s="65">
        <v>11</v>
      </c>
      <c r="B34" s="98" t="s">
        <v>113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100"/>
    </row>
    <row r="35" spans="1:17" ht="45" customHeight="1" x14ac:dyDescent="0.2">
      <c r="A35" s="65">
        <v>12</v>
      </c>
      <c r="B35" s="98" t="s">
        <v>114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100"/>
    </row>
    <row r="36" spans="1:17" s="9" customFormat="1" ht="45" customHeight="1" x14ac:dyDescent="0.2">
      <c r="A36" s="65">
        <v>13</v>
      </c>
      <c r="B36" s="98" t="s">
        <v>115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100"/>
      <c r="N36" s="8"/>
      <c r="O36" s="8"/>
      <c r="P36" s="8"/>
      <c r="Q36" s="16"/>
    </row>
    <row r="37" spans="1:17" s="9" customFormat="1" ht="45" customHeight="1" x14ac:dyDescent="0.2">
      <c r="A37" s="65">
        <v>14</v>
      </c>
      <c r="B37" s="98" t="s">
        <v>116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100"/>
      <c r="N37" s="8"/>
      <c r="O37" s="8"/>
      <c r="P37" s="8"/>
      <c r="Q37" s="16"/>
    </row>
    <row r="38" spans="1:17" s="9" customFormat="1" ht="45" customHeight="1" x14ac:dyDescent="0.2">
      <c r="A38" s="65">
        <v>15</v>
      </c>
      <c r="B38" s="98" t="s">
        <v>117</v>
      </c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100"/>
      <c r="N38" s="8"/>
      <c r="O38" s="8"/>
      <c r="P38" s="8"/>
      <c r="Q38" s="16"/>
    </row>
    <row r="39" spans="1:17" s="9" customFormat="1" ht="45" customHeight="1" x14ac:dyDescent="0.2">
      <c r="A39" s="118" t="s">
        <v>118</v>
      </c>
      <c r="B39" s="118"/>
      <c r="C39" s="118"/>
      <c r="D39" s="118"/>
      <c r="E39" s="118"/>
      <c r="F39" s="118"/>
      <c r="G39" s="118"/>
      <c r="H39" s="119"/>
      <c r="I39" s="119"/>
      <c r="J39" s="119"/>
      <c r="K39" s="119"/>
      <c r="L39" s="119"/>
      <c r="M39" s="119"/>
      <c r="N39" s="8"/>
      <c r="P39" s="8"/>
      <c r="Q39" s="16"/>
    </row>
    <row r="40" spans="1:17" s="9" customFormat="1" ht="18" customHeight="1" x14ac:dyDescent="0.2">
      <c r="A40" s="185" t="s">
        <v>119</v>
      </c>
      <c r="B40" s="186"/>
      <c r="C40" s="187" t="s">
        <v>120</v>
      </c>
      <c r="D40" s="185" t="s">
        <v>121</v>
      </c>
      <c r="E40" s="188"/>
      <c r="F40" s="188"/>
      <c r="G40" s="186"/>
      <c r="H40" s="185" t="s">
        <v>122</v>
      </c>
      <c r="I40" s="188"/>
      <c r="J40" s="188"/>
      <c r="K40" s="188"/>
      <c r="L40" s="188"/>
      <c r="M40" s="186"/>
      <c r="N40" s="8"/>
      <c r="P40" s="8"/>
      <c r="Q40" s="16"/>
    </row>
    <row r="41" spans="1:17" s="9" customFormat="1" ht="18" customHeight="1" x14ac:dyDescent="0.2">
      <c r="A41" s="104"/>
      <c r="B41" s="105"/>
      <c r="C41" s="6"/>
      <c r="D41" s="104"/>
      <c r="E41" s="109"/>
      <c r="F41" s="109"/>
      <c r="G41" s="105"/>
      <c r="H41" s="106"/>
      <c r="I41" s="107"/>
      <c r="J41" s="107"/>
      <c r="K41" s="107"/>
      <c r="L41" s="107"/>
      <c r="M41" s="108"/>
      <c r="N41" s="8"/>
      <c r="P41" s="8"/>
      <c r="Q41" s="16"/>
    </row>
    <row r="42" spans="1:17" s="9" customFormat="1" ht="18" customHeight="1" x14ac:dyDescent="0.2">
      <c r="A42" s="104"/>
      <c r="B42" s="105"/>
      <c r="C42" s="6"/>
      <c r="D42" s="104"/>
      <c r="E42" s="109"/>
      <c r="F42" s="109"/>
      <c r="G42" s="105"/>
      <c r="H42" s="106"/>
      <c r="I42" s="107"/>
      <c r="J42" s="107"/>
      <c r="K42" s="107"/>
      <c r="L42" s="107"/>
      <c r="M42" s="108"/>
      <c r="N42" s="8"/>
      <c r="P42" s="8"/>
      <c r="Q42" s="16"/>
    </row>
    <row r="43" spans="1:17" s="9" customFormat="1" ht="18" customHeight="1" x14ac:dyDescent="0.2">
      <c r="A43" s="104"/>
      <c r="B43" s="105"/>
      <c r="C43" s="6"/>
      <c r="D43" s="104"/>
      <c r="E43" s="109"/>
      <c r="F43" s="109"/>
      <c r="G43" s="105"/>
      <c r="H43" s="106"/>
      <c r="I43" s="107"/>
      <c r="J43" s="107"/>
      <c r="K43" s="107"/>
      <c r="L43" s="107"/>
      <c r="M43" s="108"/>
      <c r="N43" s="8"/>
      <c r="P43" s="8"/>
      <c r="Q43" s="16"/>
    </row>
    <row r="44" spans="1:17" s="9" customFormat="1" ht="18" customHeight="1" x14ac:dyDescent="0.2">
      <c r="A44" s="104"/>
      <c r="B44" s="105"/>
      <c r="C44" s="6"/>
      <c r="D44" s="104"/>
      <c r="E44" s="109"/>
      <c r="F44" s="109"/>
      <c r="G44" s="105"/>
      <c r="H44" s="104"/>
      <c r="I44" s="109"/>
      <c r="J44" s="109"/>
      <c r="K44" s="109"/>
      <c r="L44" s="109"/>
      <c r="M44" s="105"/>
      <c r="N44" s="8"/>
      <c r="P44" s="8"/>
      <c r="Q44" s="16"/>
    </row>
    <row r="45" spans="1:17" s="9" customFormat="1" ht="21.75" customHeight="1" x14ac:dyDescent="0.2">
      <c r="A45" s="104"/>
      <c r="B45" s="105"/>
      <c r="C45" s="6"/>
      <c r="D45" s="104"/>
      <c r="E45" s="109"/>
      <c r="F45" s="109"/>
      <c r="G45" s="108"/>
      <c r="H45" s="104"/>
      <c r="I45" s="109"/>
      <c r="J45" s="109"/>
      <c r="K45" s="109"/>
      <c r="L45" s="109"/>
      <c r="M45" s="105"/>
      <c r="N45" s="8"/>
      <c r="P45" s="8"/>
      <c r="Q45" s="16"/>
    </row>
    <row r="46" spans="1:17" s="9" customFormat="1" ht="25.5" customHeight="1" x14ac:dyDescent="0.2">
      <c r="A46" s="101" t="s">
        <v>123</v>
      </c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4"/>
      <c r="N46" s="8"/>
      <c r="P46" s="8"/>
      <c r="Q46" s="16"/>
    </row>
    <row r="47" spans="1:17" s="9" customFormat="1" x14ac:dyDescent="0.2">
      <c r="A47" s="189" t="s">
        <v>124</v>
      </c>
      <c r="B47" s="189"/>
      <c r="C47" s="190" t="s">
        <v>125</v>
      </c>
      <c r="D47" s="191" t="s">
        <v>126</v>
      </c>
      <c r="E47" s="192"/>
      <c r="F47" s="193"/>
      <c r="G47" s="129"/>
      <c r="H47" s="130"/>
      <c r="I47" s="130"/>
      <c r="J47" s="130"/>
      <c r="K47" s="130"/>
      <c r="L47" s="130"/>
      <c r="M47" s="131"/>
      <c r="N47" s="8"/>
      <c r="P47" s="8"/>
      <c r="Q47" s="16"/>
    </row>
    <row r="48" spans="1:17" s="9" customFormat="1" ht="39.75" customHeight="1" x14ac:dyDescent="0.2">
      <c r="A48" s="110"/>
      <c r="B48" s="112"/>
      <c r="C48" s="10"/>
      <c r="D48" s="194"/>
      <c r="E48" s="195"/>
      <c r="F48" s="196"/>
      <c r="G48" s="132"/>
      <c r="H48" s="133"/>
      <c r="I48" s="133"/>
      <c r="J48" s="133"/>
      <c r="K48" s="133"/>
      <c r="L48" s="133"/>
      <c r="M48" s="134"/>
      <c r="N48" s="8"/>
      <c r="P48" s="8"/>
      <c r="Q48" s="16"/>
    </row>
    <row r="49" spans="1:17" s="9" customFormat="1" ht="34.5" customHeight="1" x14ac:dyDescent="0.2">
      <c r="A49" s="66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67"/>
      <c r="N49" s="8"/>
      <c r="P49" s="8"/>
      <c r="Q49" s="16"/>
    </row>
    <row r="50" spans="1:17" s="9" customFormat="1" ht="50.25" customHeight="1" x14ac:dyDescent="0.2">
      <c r="A50" s="197" t="s">
        <v>127</v>
      </c>
      <c r="B50" s="170"/>
      <c r="C50" s="110"/>
      <c r="D50" s="111"/>
      <c r="E50" s="111"/>
      <c r="F50" s="111"/>
      <c r="G50" s="111"/>
      <c r="H50" s="111"/>
      <c r="I50" s="111"/>
      <c r="J50" s="111"/>
      <c r="K50" s="111"/>
      <c r="L50" s="111"/>
      <c r="M50" s="112"/>
      <c r="N50" s="8"/>
      <c r="P50" s="8"/>
      <c r="Q50" s="16"/>
    </row>
    <row r="51" spans="1:17" s="9" customFormat="1" ht="34.5" customHeight="1" x14ac:dyDescent="0.2">
      <c r="A51" s="118" t="s">
        <v>128</v>
      </c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Q51" s="17"/>
    </row>
    <row r="52" spans="1:17" ht="56.25" customHeight="1" x14ac:dyDescent="0.2"/>
    <row r="53" spans="1:17" ht="25.5" customHeight="1" x14ac:dyDescent="0.2"/>
    <row r="54" spans="1:17" ht="18.75" customHeight="1" x14ac:dyDescent="0.2"/>
    <row r="55" spans="1:17" ht="18.75" customHeight="1" x14ac:dyDescent="0.2"/>
    <row r="56" spans="1:17" ht="18.75" customHeight="1" x14ac:dyDescent="0.2"/>
    <row r="57" spans="1:17" ht="18.75" customHeight="1" x14ac:dyDescent="0.2"/>
    <row r="58" spans="1:17" ht="18.75" customHeight="1" x14ac:dyDescent="0.2"/>
    <row r="59" spans="1:17" ht="33.75" customHeight="1" x14ac:dyDescent="0.2"/>
    <row r="60" spans="1:17" ht="20.25" customHeight="1" x14ac:dyDescent="0.2"/>
    <row r="61" spans="1:17" ht="57.75" customHeight="1" x14ac:dyDescent="0.2"/>
    <row r="62" spans="1:17" s="11" customFormat="1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7" ht="119.25" customHeight="1" x14ac:dyDescent="0.2"/>
    <row r="64" spans="1:17" s="12" customFormat="1" ht="24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</sheetData>
  <sheetProtection formatCells="0" formatColumns="0" formatRows="0" insertColumns="0" insertRows="0" insertHyperlinks="0" deleteColumns="0" deleteRows="0" sort="0" autoFilter="0" pivotTables="0"/>
  <mergeCells count="68">
    <mergeCell ref="A1:B4"/>
    <mergeCell ref="G47:M48"/>
    <mergeCell ref="A6:B6"/>
    <mergeCell ref="H7:J7"/>
    <mergeCell ref="A51:M51"/>
    <mergeCell ref="A7:B7"/>
    <mergeCell ref="A19:M19"/>
    <mergeCell ref="B32:M32"/>
    <mergeCell ref="B37:M37"/>
    <mergeCell ref="B34:M34"/>
    <mergeCell ref="B35:M35"/>
    <mergeCell ref="B36:M36"/>
    <mergeCell ref="K7:M7"/>
    <mergeCell ref="D7:F7"/>
    <mergeCell ref="D40:G40"/>
    <mergeCell ref="D41:G41"/>
    <mergeCell ref="A50:B50"/>
    <mergeCell ref="C50:M50"/>
    <mergeCell ref="A46:M46"/>
    <mergeCell ref="A22:M22"/>
    <mergeCell ref="B24:M24"/>
    <mergeCell ref="B25:M25"/>
    <mergeCell ref="B26:M26"/>
    <mergeCell ref="A39:M39"/>
    <mergeCell ref="A47:B47"/>
    <mergeCell ref="B29:M29"/>
    <mergeCell ref="A48:B48"/>
    <mergeCell ref="A23:M23"/>
    <mergeCell ref="H45:M45"/>
    <mergeCell ref="D44:G44"/>
    <mergeCell ref="D45:G45"/>
    <mergeCell ref="D47:F48"/>
    <mergeCell ref="A45:B45"/>
    <mergeCell ref="A44:B44"/>
    <mergeCell ref="A43:B43"/>
    <mergeCell ref="D43:G43"/>
    <mergeCell ref="H42:M42"/>
    <mergeCell ref="H43:M43"/>
    <mergeCell ref="H44:M44"/>
    <mergeCell ref="D42:G42"/>
    <mergeCell ref="B33:M33"/>
    <mergeCell ref="B38:M38"/>
    <mergeCell ref="A42:B42"/>
    <mergeCell ref="H40:M40"/>
    <mergeCell ref="H41:M41"/>
    <mergeCell ref="A40:B40"/>
    <mergeCell ref="A41:B41"/>
    <mergeCell ref="A20:M20"/>
    <mergeCell ref="B27:M27"/>
    <mergeCell ref="B28:M28"/>
    <mergeCell ref="B31:M31"/>
    <mergeCell ref="B30:M30"/>
    <mergeCell ref="J2:M2"/>
    <mergeCell ref="J3:M3"/>
    <mergeCell ref="J4:M4"/>
    <mergeCell ref="C3:H3"/>
    <mergeCell ref="K6:M6"/>
    <mergeCell ref="G8:J8"/>
    <mergeCell ref="G9:J9"/>
    <mergeCell ref="G10:J10"/>
    <mergeCell ref="G11:J11"/>
    <mergeCell ref="G18:J18"/>
    <mergeCell ref="G12:J12"/>
    <mergeCell ref="G13:J13"/>
    <mergeCell ref="G14:J14"/>
    <mergeCell ref="G15:J15"/>
    <mergeCell ref="G16:J16"/>
    <mergeCell ref="G17:J17"/>
  </mergeCells>
  <phoneticPr fontId="0" type="noConversion"/>
  <conditionalFormatting sqref="F9:F18 M9:M18">
    <cfRule type="cellIs" dxfId="2" priority="10" stopIfTrue="1" operator="equal">
      <formula>$W$5</formula>
    </cfRule>
    <cfRule type="cellIs" dxfId="1" priority="11" stopIfTrue="1" operator="equal">
      <formula>$W$3</formula>
    </cfRule>
    <cfRule type="cellIs" dxfId="0" priority="12" stopIfTrue="1" operator="equal">
      <formula>$W$2</formula>
    </cfRule>
  </conditionalFormatting>
  <dataValidations count="2">
    <dataValidation type="list" allowBlank="1" showInputMessage="1" showErrorMessage="1" sqref="D9:D18 K9:K18" xr:uid="{00000000-0002-0000-0000-000000000000}">
      <formula1>$Q$2:$Q$7</formula1>
    </dataValidation>
    <dataValidation type="list" allowBlank="1" showInputMessage="1" showErrorMessage="1" sqref="E9:E18 L9:L18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20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499C-521B-4670-B597-8058BEAB8A30}">
  <dimension ref="A1:V34"/>
  <sheetViews>
    <sheetView tabSelected="1" showWhiteSpace="0" view="pageLayout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55"/>
      <c r="B1" s="155"/>
      <c r="C1" s="155"/>
      <c r="D1" s="198"/>
      <c r="E1" s="198"/>
      <c r="F1" s="198"/>
      <c r="G1" s="1"/>
      <c r="H1" s="1"/>
      <c r="I1" s="199"/>
      <c r="J1" s="199"/>
      <c r="O1" s="14" t="s">
        <v>7</v>
      </c>
      <c r="P1" s="14" t="s">
        <v>8</v>
      </c>
      <c r="Q1" s="14" t="s">
        <v>9</v>
      </c>
      <c r="R1" s="14" t="s">
        <v>10</v>
      </c>
      <c r="S1" s="14" t="s">
        <v>11</v>
      </c>
      <c r="T1" s="14" t="s">
        <v>12</v>
      </c>
      <c r="U1" s="18" t="s">
        <v>13</v>
      </c>
      <c r="V1" s="2"/>
    </row>
    <row r="2" spans="1:22" ht="25.5" customHeight="1" x14ac:dyDescent="0.2">
      <c r="A2" s="155"/>
      <c r="B2" s="155"/>
      <c r="C2" s="155"/>
      <c r="D2" s="200" t="s">
        <v>129</v>
      </c>
      <c r="E2" s="91"/>
      <c r="F2" s="91"/>
      <c r="G2" s="91"/>
      <c r="H2" s="91"/>
      <c r="I2" s="201"/>
      <c r="J2" s="201"/>
      <c r="N2" s="7"/>
      <c r="O2" s="14">
        <v>1</v>
      </c>
      <c r="P2" s="14" t="s">
        <v>14</v>
      </c>
      <c r="Q2" s="15"/>
      <c r="R2" s="15"/>
      <c r="S2" s="15"/>
      <c r="T2" s="15"/>
      <c r="U2" s="18" t="s">
        <v>15</v>
      </c>
      <c r="V2" s="5"/>
    </row>
    <row r="3" spans="1:22" ht="25.5" customHeight="1" x14ac:dyDescent="0.2">
      <c r="A3" s="155"/>
      <c r="B3" s="155"/>
      <c r="C3" s="155"/>
      <c r="D3" s="49"/>
      <c r="E3" s="49"/>
      <c r="F3" s="49"/>
      <c r="G3" s="49"/>
      <c r="H3" s="49"/>
      <c r="I3" s="202"/>
      <c r="J3" s="202"/>
      <c r="K3" s="49"/>
      <c r="L3" s="49"/>
      <c r="M3" s="22"/>
    </row>
    <row r="4" spans="1:22" ht="17.45" customHeight="1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25">
      <c r="A5" s="147" t="s">
        <v>65</v>
      </c>
      <c r="B5" s="148"/>
      <c r="C5" s="156" t="s">
        <v>130</v>
      </c>
      <c r="D5" s="157"/>
      <c r="E5" s="157"/>
      <c r="F5" s="157"/>
      <c r="G5" s="158"/>
      <c r="H5" s="156" t="s">
        <v>131</v>
      </c>
      <c r="I5" s="157"/>
      <c r="J5" s="157"/>
      <c r="K5" s="157"/>
      <c r="L5" s="158"/>
      <c r="M5" s="22"/>
    </row>
    <row r="6" spans="1:22" ht="20.25" customHeight="1" thickBot="1" x14ac:dyDescent="0.25">
      <c r="A6" s="149"/>
      <c r="B6" s="150"/>
      <c r="C6" s="159" t="s">
        <v>132</v>
      </c>
      <c r="D6" s="159" t="s">
        <v>133</v>
      </c>
      <c r="E6" s="159" t="s">
        <v>134</v>
      </c>
      <c r="F6" s="159" t="s">
        <v>135</v>
      </c>
      <c r="G6" s="159" t="s">
        <v>163</v>
      </c>
      <c r="H6" s="69" t="s">
        <v>22</v>
      </c>
      <c r="I6" s="69" t="s">
        <v>23</v>
      </c>
      <c r="J6" s="69" t="s">
        <v>24</v>
      </c>
      <c r="K6" s="21" t="s">
        <v>20</v>
      </c>
      <c r="L6" s="21" t="s">
        <v>21</v>
      </c>
      <c r="M6" s="22"/>
    </row>
    <row r="7" spans="1:22" ht="112.5" x14ac:dyDescent="0.2">
      <c r="A7" s="149"/>
      <c r="B7" s="150"/>
      <c r="C7" s="160"/>
      <c r="D7" s="160"/>
      <c r="E7" s="160"/>
      <c r="F7" s="160"/>
      <c r="G7" s="160"/>
      <c r="H7" s="70" t="s">
        <v>136</v>
      </c>
      <c r="I7" s="70" t="s">
        <v>137</v>
      </c>
      <c r="J7" s="70" t="s">
        <v>138</v>
      </c>
      <c r="K7" s="23" t="s">
        <v>40</v>
      </c>
      <c r="L7" s="23" t="s">
        <v>41</v>
      </c>
      <c r="M7" s="22"/>
    </row>
    <row r="8" spans="1:22" ht="12.75" customHeight="1" x14ac:dyDescent="0.2">
      <c r="A8" s="149"/>
      <c r="B8" s="150"/>
      <c r="C8" s="160"/>
      <c r="D8" s="160"/>
      <c r="E8" s="160"/>
      <c r="F8" s="160"/>
      <c r="G8" s="160"/>
      <c r="H8" s="153" t="s">
        <v>164</v>
      </c>
      <c r="I8" s="153" t="s">
        <v>139</v>
      </c>
      <c r="J8" s="153" t="s">
        <v>140</v>
      </c>
      <c r="K8" s="153" t="s">
        <v>42</v>
      </c>
      <c r="L8" s="153" t="s">
        <v>43</v>
      </c>
      <c r="M8" s="22"/>
    </row>
    <row r="9" spans="1:22" ht="40.5" customHeight="1" thickBot="1" x14ac:dyDescent="0.25">
      <c r="A9" s="151"/>
      <c r="B9" s="152"/>
      <c r="C9" s="161"/>
      <c r="D9" s="161"/>
      <c r="E9" s="161"/>
      <c r="F9" s="161"/>
      <c r="G9" s="161"/>
      <c r="H9" s="154"/>
      <c r="I9" s="154"/>
      <c r="J9" s="154"/>
      <c r="K9" s="154"/>
      <c r="L9" s="154"/>
      <c r="M9" s="22"/>
    </row>
    <row r="10" spans="1:22" ht="49.5" customHeight="1" x14ac:dyDescent="0.2">
      <c r="A10" s="143">
        <v>1</v>
      </c>
      <c r="B10" s="144"/>
      <c r="C10" s="38" t="s">
        <v>141</v>
      </c>
      <c r="D10" s="38" t="s">
        <v>142</v>
      </c>
      <c r="E10" s="38" t="s">
        <v>165</v>
      </c>
      <c r="F10" s="38" t="s">
        <v>143</v>
      </c>
      <c r="G10" s="39" t="s">
        <v>144</v>
      </c>
      <c r="H10" s="30" t="s">
        <v>25</v>
      </c>
      <c r="I10" s="31" t="s">
        <v>26</v>
      </c>
      <c r="J10" s="31" t="s">
        <v>27</v>
      </c>
      <c r="K10" s="40" t="s">
        <v>44</v>
      </c>
      <c r="L10" s="32" t="s">
        <v>45</v>
      </c>
      <c r="M10" s="22"/>
    </row>
    <row r="11" spans="1:22" ht="64.5" customHeight="1" x14ac:dyDescent="0.2">
      <c r="A11" s="145">
        <v>2</v>
      </c>
      <c r="B11" s="146"/>
      <c r="C11" s="24" t="s">
        <v>145</v>
      </c>
      <c r="D11" s="24" t="s">
        <v>146</v>
      </c>
      <c r="E11" s="38" t="s">
        <v>147</v>
      </c>
      <c r="F11" s="24" t="s">
        <v>148</v>
      </c>
      <c r="G11" s="28" t="s">
        <v>149</v>
      </c>
      <c r="H11" s="33" t="s">
        <v>28</v>
      </c>
      <c r="I11" s="34" t="s">
        <v>29</v>
      </c>
      <c r="J11" s="34" t="s">
        <v>30</v>
      </c>
      <c r="K11" s="35" t="s">
        <v>46</v>
      </c>
      <c r="L11" s="36" t="s">
        <v>47</v>
      </c>
      <c r="M11" s="22"/>
    </row>
    <row r="12" spans="1:22" ht="69" customHeight="1" x14ac:dyDescent="0.2">
      <c r="A12" s="145">
        <v>3</v>
      </c>
      <c r="B12" s="146"/>
      <c r="C12" s="24" t="s">
        <v>166</v>
      </c>
      <c r="D12" s="24" t="s">
        <v>167</v>
      </c>
      <c r="E12" s="38" t="s">
        <v>168</v>
      </c>
      <c r="F12" s="24" t="s">
        <v>150</v>
      </c>
      <c r="G12" s="28" t="s">
        <v>169</v>
      </c>
      <c r="H12" s="33" t="s">
        <v>31</v>
      </c>
      <c r="I12" s="34" t="s">
        <v>32</v>
      </c>
      <c r="J12" s="35" t="s">
        <v>33</v>
      </c>
      <c r="K12" s="35" t="s">
        <v>48</v>
      </c>
      <c r="L12" s="41" t="s">
        <v>49</v>
      </c>
      <c r="M12" s="22"/>
    </row>
    <row r="13" spans="1:22" ht="78.75" customHeight="1" x14ac:dyDescent="0.2">
      <c r="A13" s="145">
        <v>4</v>
      </c>
      <c r="B13" s="146"/>
      <c r="C13" s="24" t="s">
        <v>151</v>
      </c>
      <c r="D13" s="24" t="s">
        <v>170</v>
      </c>
      <c r="E13" s="38" t="s">
        <v>152</v>
      </c>
      <c r="F13" s="24" t="s">
        <v>153</v>
      </c>
      <c r="G13" s="28" t="s">
        <v>171</v>
      </c>
      <c r="H13" s="33" t="s">
        <v>34</v>
      </c>
      <c r="I13" s="35" t="s">
        <v>35</v>
      </c>
      <c r="J13" s="35" t="s">
        <v>36</v>
      </c>
      <c r="K13" s="42" t="s">
        <v>50</v>
      </c>
      <c r="L13" s="41" t="s">
        <v>51</v>
      </c>
      <c r="M13" s="22"/>
    </row>
    <row r="14" spans="1:22" ht="75" customHeight="1" thickBot="1" x14ac:dyDescent="0.25">
      <c r="A14" s="141">
        <v>5</v>
      </c>
      <c r="B14" s="142"/>
      <c r="C14" s="25" t="s">
        <v>154</v>
      </c>
      <c r="D14" s="25" t="s">
        <v>172</v>
      </c>
      <c r="E14" s="25" t="s">
        <v>173</v>
      </c>
      <c r="F14" s="25" t="s">
        <v>155</v>
      </c>
      <c r="G14" s="29" t="s">
        <v>156</v>
      </c>
      <c r="H14" s="45" t="s">
        <v>37</v>
      </c>
      <c r="I14" s="37" t="s">
        <v>38</v>
      </c>
      <c r="J14" s="43" t="s">
        <v>39</v>
      </c>
      <c r="K14" s="43" t="s">
        <v>52</v>
      </c>
      <c r="L14" s="44" t="s">
        <v>53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1:C3"/>
    <mergeCell ref="I1:J1"/>
    <mergeCell ref="D2:H2"/>
    <mergeCell ref="I2:J2"/>
    <mergeCell ref="I3:J3"/>
    <mergeCell ref="A5:B9"/>
    <mergeCell ref="C5:G5"/>
    <mergeCell ref="H5:L5"/>
    <mergeCell ref="C6:C9"/>
    <mergeCell ref="D6:D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5DBCF-E2DA-4D23-9549-E8E78AF171AB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faa5c77d-98fa-4e50-863f-182fb51ee117"/>
    <ds:schemaRef ds:uri="5470fdc2-d5b4-45ba-ae4a-b04105b307e7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2014-11-10T14:56:30Z</cp:lastPrinted>
  <dcterms:created xsi:type="dcterms:W3CDTF">2011-02-21T14:14:41Z</dcterms:created>
  <dcterms:modified xsi:type="dcterms:W3CDTF">2025-02-26T14:17:06Z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