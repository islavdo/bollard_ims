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АСОР!$O$46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62913" concurrentCalc="0"/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<sst xmlns="http://schemas.openxmlformats.org/spreadsheetml/2006/main" count="178" uniqueCount="172">
  <si>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</si>
  <si>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</si>
  <si>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</si>
  <si>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</si>
  <si>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</si>
  <si>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</si>
  <si>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</si>
  <si>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</si>
  <si>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</si>
  <si>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</si>
  <si>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</si>
  <si>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</si>
  <si>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</si>
  <si>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</si>
  <si>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</si>
  <si>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</si>
  <si>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</si>
  <si>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</si>
  <si>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</si>
  <si>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</si>
  <si>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</si>
  <si>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</si>
  <si>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</si>
  <si>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</si>
  <si>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</si>
  <si>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</si>
  <si>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</si>
  <si>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</si>
  <si>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</si>
  <si>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</si>
  <si>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</si>
  <si>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</si>
  <si>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</si>
  <si>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</si>
  <si>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</si>
  <si>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</si>
  <si>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</si>
  <si>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</si>
  <si>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</si>
  <si>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</si>
  <si>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</si>
  <si>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</si>
  <si>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</si>
  <si>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</si>
  <si>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</si>
  <si>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</si>
  <si>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</si>
  <si>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</si>
  <si>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</si>
  <si>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</si>
  <si>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</si>
  <si>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</si>
  <si>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</si>
  <si>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</si>
  <si>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</si>
  <si>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</si>
  <si>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</si>
  <si>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</si>
  <si>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</si>
  <si>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</si>
  <si>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</si>
  <si>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</si>
  <si>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</si>
  <si>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</si>
  <si>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</si>
  <si>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</si>
  <si>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</si>
  <si>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</si>
  <si>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</si>
  <si>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FRM-VSL-09-1301-001</t>
  </si>
  <si>
    <t>Файл 09</t>
  </si>
  <si>
    <t>Срок хранения 3 года</t>
  </si>
  <si>
    <t>Номер оценки рисков</t>
  </si>
  <si>
    <t>FRM-VSL-014</t>
  </si>
  <si>
    <t>Работы на высоте</t>
  </si>
  <si>
    <t>Описание работ</t>
  </si>
  <si>
    <t>Название судна</t>
  </si>
  <si>
    <t>Дата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</si>
  <si>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</si>
  <si>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</si>
  <si>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</si>
  <si>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</si>
  <si>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</si>
  <si>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>Исходный риск</t>
  </si>
  <si>
    <t>Оборудование</t>
  </si>
  <si>
    <t>Меры контроля для снижения риска</t>
  </si>
  <si>
    <t>СИЗ, оборудование и инструменты</t>
  </si>
  <si>
    <t xml:space="preserve"> Остаточный риск</t>
  </si>
  <si>
    <t xml:space="preserve"> Степень тяжести</t>
  </si>
  <si>
    <t>Риск</t>
  </si>
  <si>
    <t>1)  Назначение выделенного наблюдателя (при необходимости).
2)  Согласованная связь между рабочими и наблюдателем, наблюдателем и экипажем на мостике.
3)  Пригодные точки закрепления для работы над уровнем пола.  (рассмотрите надежность и устойчивость)
4)  Необходимо использовать полную страховочную систему с надлежащей регулировкой. Максимальная высота падения менее 1.3м.
5)  Достаточное освещение на участке.
6)  Скорость ветра в приемлемых пределах (с учетом порывов).
7)  Оценка движения судна, которое должно быть в безопасных пределах
8)  При использовании переносной лестницы, она должна быть закреплена, исключая движение.
9)  При работах на высоте над рулевой рубкой судна - маркировка РЛС и судового гудка.
10) Согласованные аварийные/эвакуационные процедуры.
11) Надлежащие СИЗ, включая спецобувь и каску с креплением подбородочным ремнем.
12) Исключение риска столкновения рабочих с поворотным оборудованием.</t>
  </si>
  <si>
    <t>Работы свыше 1.3м - опасность падения - физическая травма/смерть</t>
  </si>
  <si>
    <t>Работы вблизи РЛС/сирен</t>
  </si>
  <si>
    <t>Работы вблизи РЛС - потенциальный риск падения или проникновения радиации</t>
  </si>
  <si>
    <t>1)  Маркировка сканеров РЛС, информирование вахтенного офицера на мостике</t>
  </si>
  <si>
    <t>Работа возле судовой сирены - опасность повреждения органов слуха/испуг (в результате - падение.</t>
  </si>
  <si>
    <t>1)  Маркировка сирен, информирование вахтенного офицера на мостике</t>
  </si>
  <si>
    <t>Работа возле выхлопа двигателя</t>
  </si>
  <si>
    <t>Опасность от воздействия выхлопных газов.</t>
  </si>
  <si>
    <t>1)  Если выхлопные пары явно воздействуют на участок - не выполняйте работы
2)  Могут потребоваться герметичные очки и маска от паров..</t>
  </si>
  <si>
    <t xml:space="preserve"> 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</si>
  <si>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</si>
  <si>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</si>
  <si>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</rPr>
      <t xml:space="preserve">В рамках процедур ООО "Боллард"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</si>
  <si>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</si>
  <si>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</si>
  <si>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</si>
  <si>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</si>
  <si>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</si>
  <si>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</si>
  <si>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</si>
  <si>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</si>
  <si>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</si>
  <si>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</si>
  <si>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</si>
  <si>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</si>
  <si>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</si>
  <si>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</si>
  <si>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</si>
  <si>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</si>
  <si>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</si>
  <si>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</si>
  <si>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</si>
  <si>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</si>
  <si>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</si>
  <si>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</si>
  <si>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ФИО</t>
  </si>
  <si>
    <t>Должность</t>
  </si>
  <si>
    <t>Подпись</t>
  </si>
  <si>
    <t xml:space="preserve"> Замечания, если имеются «БЕЗОПАСНОСТЬ - МОЯ ЛИЧНАЯ ЦЕННОСТЬ»</t>
  </si>
  <si>
    <t>МАТРИЦА ОЦЕНКИ РИСКОВ</t>
  </si>
  <si>
    <t>ФАЙЛ 09</t>
  </si>
  <si>
    <t>Последствия</t>
  </si>
  <si>
    <t>Возрастающая вероятность</t>
  </si>
  <si>
    <t>Severity / Степень тяжести</t>
  </si>
  <si>
    <t>People / Люди</t>
  </si>
  <si>
    <t>Environment / Окружающая среда</t>
  </si>
  <si>
    <t>Assets / Имущество</t>
  </si>
  <si>
    <t>Reputation / Репутация</t>
  </si>
  <si>
    <t>Schedule / График</t>
  </si>
  <si>
    <t xml:space="preserve"> 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</si>
  <si>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</si>
  <si>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</si>
  <si>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</si>
  <si>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Маловероятно</t>
  </si>
  <si>
    <t xml:space="preserve"> Возможно</t>
  </si>
  <si>
    <t xml:space="preserve"> Травмы с оказанием доврачебной помощи</t>
  </si>
  <si>
    <t xml:space="preserve"> 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</si>
  <si>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</si>
  <si>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</si>
  <si>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</si>
  <si>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</si>
  <si>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</si>
  <si>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</si>
  <si>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</si>
  <si>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</si>
  <si>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</si>
  <si>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 литров - 1 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</si>
  <si>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</si>
  <si>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</si>
  <si>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</si>
  <si>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</si>
  <si>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воздействие
1-10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</si>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</sst>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1"/>
      <name val="Arial"/>
      <family val="2"/>
    </font>
    <font>
      <sz val="7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4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0" fillId="2" borderId="0" xfId="0" applyFont="1" applyFill="1"/>
    <xf numFmtId="0" fontId="13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2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 shrinkToFi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4" fillId="0" borderId="6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3" fillId="4" borderId="10" xfId="0" applyFont="1" applyFill="1" applyBorder="1" applyAlignment="1">
      <alignment horizontal="center" vertical="center" wrapText="1"/>
    </xf>
    <xf numFmtId="0" fontId="23" fillId="4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4" fillId="4" borderId="11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2" fillId="2" borderId="18" xfId="0" applyFont="1" applyFill="1" applyBorder="1" applyAlignment="1">
      <alignment horizontal="center"/>
    </xf>
    <xf numFmtId="0" fontId="22" fillId="2" borderId="19" xfId="0" applyFont="1" applyFill="1" applyBorder="1" applyAlignment="1">
      <alignment horizontal="center"/>
    </xf>
    <xf numFmtId="0" fontId="10" fillId="2" borderId="19" xfId="0" applyFont="1" applyFill="1" applyBorder="1"/>
    <xf numFmtId="0" fontId="10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2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0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8" fillId="8" borderId="19" xfId="0" applyFont="1" applyFill="1" applyBorder="1" applyAlignment="1">
      <alignment horizontal="center"/>
    </xf>
    <xf numFmtId="0" fontId="29" fillId="8" borderId="19" xfId="0" applyFont="1" applyFill="1" applyBorder="1" applyAlignment="1">
      <alignment horizontal="left" vertical="center" indent="1"/>
    </xf>
    <xf numFmtId="0" fontId="25" fillId="8" borderId="19" xfId="0" applyFont="1" applyFill="1" applyBorder="1" applyAlignment="1">
      <alignment vertical="center"/>
    </xf>
    <xf numFmtId="0" fontId="25" fillId="8" borderId="19" xfId="0" applyFont="1" applyFill="1" applyBorder="1" applyAlignment="1">
      <alignment horizontal="left" vertical="center"/>
    </xf>
    <xf numFmtId="0" fontId="25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textRotation="90" wrapText="1"/>
    </xf>
    <xf numFmtId="0" fontId="21" fillId="8" borderId="1" xfId="0" applyFont="1" applyFill="1" applyBorder="1" applyAlignment="1">
      <alignment horizontal="righ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6" fillId="3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1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1" fillId="8" borderId="1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3" xfId="0" applyFont="1" applyBorder="1" applyAlignment="1" applyProtection="1">
      <alignment horizontal="left" vertical="center"/>
      <protection locked="0"/>
    </xf>
    <xf numFmtId="0" fontId="27" fillId="8" borderId="18" xfId="0" applyFont="1" applyFill="1" applyBorder="1" applyAlignment="1">
      <alignment vertical="center"/>
    </xf>
    <xf numFmtId="0" fontId="27" fillId="8" borderId="19" xfId="0" applyFont="1" applyFill="1" applyBorder="1" applyAlignment="1">
      <alignment vertical="center"/>
    </xf>
    <xf numFmtId="0" fontId="35" fillId="2" borderId="18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/>
    </xf>
    <xf numFmtId="0" fontId="36" fillId="2" borderId="29" xfId="0" applyFont="1" applyFill="1" applyBorder="1" applyAlignment="1" applyProtection="1">
      <alignment horizontal="center" vertical="center"/>
    </xf>
    <xf numFmtId="0" fontId="36" fillId="2" borderId="30" xfId="0" applyFont="1" applyFill="1" applyBorder="1" applyAlignment="1" applyProtection="1">
      <alignment horizontal="center" vertical="center"/>
    </xf>
    <xf numFmtId="0" fontId="36" fillId="2" borderId="14" xfId="0" applyFont="1" applyFill="1" applyBorder="1" applyAlignment="1" applyProtection="1">
      <alignment horizontal="center" vertical="center"/>
    </xf>
    <xf numFmtId="0" fontId="36" fillId="2" borderId="23" xfId="0" applyFont="1" applyFill="1" applyBorder="1" applyAlignment="1" applyProtection="1">
      <alignment horizontal="center" vertical="center"/>
    </xf>
    <xf numFmtId="0" fontId="9" fillId="2" borderId="29" xfId="0" applyFont="1" applyFill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2" borderId="8" xfId="0" applyFont="1" applyFill="1" applyBorder="1" applyAlignment="1" applyProtection="1">
      <alignment horizontal="center" vertical="center" wrapText="1" shrinkToFit="1"/>
      <protection locked="0"/>
    </xf>
    <xf numFmtId="0" fontId="3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7" fillId="0" borderId="1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25" fillId="8" borderId="8" xfId="0" applyFont="1" applyFill="1" applyBorder="1" applyAlignment="1">
      <alignment horizontal="center" vertical="center" wrapText="1"/>
    </xf>
    <xf numFmtId="0" fontId="25" fillId="8" borderId="17" xfId="0" applyFont="1" applyFill="1" applyBorder="1" applyAlignment="1">
      <alignment horizontal="center" vertical="center" wrapText="1"/>
    </xf>
    <xf numFmtId="0" fontId="20" fillId="8" borderId="17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 applyProtection="1">
      <alignment horizontal="left" vertical="center" wrapText="1" shrinkToFit="1"/>
      <protection locked="0"/>
    </xf>
    <xf numFmtId="0" fontId="33" fillId="2" borderId="17" xfId="0" applyFont="1" applyFill="1" applyBorder="1" applyAlignment="1" applyProtection="1">
      <alignment horizontal="left" vertical="center" wrapText="1" shrinkToFit="1"/>
      <protection locked="0"/>
    </xf>
    <xf numFmtId="0" fontId="33" fillId="0" borderId="17" xfId="0" applyFont="1" applyBorder="1" applyAlignment="1">
      <alignment horizontal="left" vertical="center" wrapText="1" shrinkToFit="1"/>
    </xf>
    <xf numFmtId="0" fontId="33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7" fillId="8" borderId="19" xfId="0" applyFont="1" applyFill="1" applyBorder="1" applyAlignment="1">
      <alignment horizontal="left" vertical="center" wrapText="1"/>
    </xf>
    <xf numFmtId="0" fontId="26" fillId="8" borderId="19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2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0" fillId="8" borderId="8" xfId="0" applyFont="1" applyFill="1" applyBorder="1" applyAlignment="1">
      <alignment horizontal="left" vertical="center" wrapText="1"/>
    </xf>
    <xf numFmtId="0" fontId="20" fillId="8" borderId="17" xfId="0" applyFont="1" applyFill="1" applyBorder="1" applyAlignment="1">
      <alignment horizontal="left" vertical="center" wrapText="1"/>
    </xf>
    <xf numFmtId="0" fontId="20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1" fillId="2" borderId="8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20" fillId="8" borderId="18" xfId="0" applyFont="1" applyFill="1" applyBorder="1" applyAlignment="1">
      <alignment horizontal="center" vertical="center" wrapText="1"/>
    </xf>
    <xf numFmtId="0" fontId="20" fillId="8" borderId="19" xfId="0" applyFont="1" applyFill="1" applyBorder="1" applyAlignment="1">
      <alignment horizontal="center" vertical="center" wrapText="1"/>
    </xf>
    <xf numFmtId="0" fontId="20" fillId="8" borderId="21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22" xfId="0" applyFont="1" applyFill="1" applyBorder="1" applyAlignment="1">
      <alignment horizontal="center" vertical="center" wrapText="1"/>
    </xf>
    <xf numFmtId="0" fontId="20" fillId="8" borderId="23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1" fillId="8" borderId="1" xfId="0" applyFont="1" applyFill="1" applyBorder="1" applyAlignment="1">
      <alignment horizontal="right" vertical="center" wrapText="1"/>
    </xf>
    <xf numFmtId="0" fontId="7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1" fillId="8" borderId="8" xfId="0" applyFont="1" applyFill="1" applyBorder="1" applyAlignment="1">
      <alignment horizontal="right" vertical="center" wrapText="1"/>
    </xf>
    <xf numFmtId="0" fontId="21" fillId="8" borderId="4" xfId="0" applyFont="1" applyFill="1" applyBorder="1" applyAlignment="1">
      <alignment horizontal="right" vertical="center" wrapText="1"/>
    </xf>
    <xf numFmtId="0" fontId="9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21" fillId="8" borderId="8" xfId="0" applyNumberFormat="1" applyFont="1" applyFill="1" applyBorder="1" applyAlignment="1">
      <alignment horizontal="center" vertical="center" wrapText="1"/>
    </xf>
    <xf numFmtId="14" fontId="21" fillId="8" borderId="17" xfId="0" applyNumberFormat="1" applyFont="1" applyFill="1" applyBorder="1" applyAlignment="1">
      <alignment horizontal="center" vertical="center" wrapText="1"/>
    </xf>
    <xf numFmtId="14" fontId="21" fillId="8" borderId="4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2" borderId="29" xfId="0" applyFont="1" applyFill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8" fillId="7" borderId="31" xfId="0" applyFont="1" applyFill="1" applyBorder="1" applyAlignment="1">
      <alignment horizontal="center" textRotation="90" wrapText="1"/>
    </xf>
    <xf numFmtId="0" fontId="39" fillId="0" borderId="33" xfId="0" applyFont="1" applyBorder="1" applyAlignment="1">
      <alignment horizontal="center" textRotation="90" wrapText="1"/>
    </xf>
    <xf numFmtId="0" fontId="38" fillId="7" borderId="34" xfId="0" applyFont="1" applyFill="1" applyBorder="1" applyAlignment="1">
      <alignment horizontal="center" textRotation="90" wrapText="1"/>
    </xf>
    <xf numFmtId="0" fontId="39" fillId="0" borderId="35" xfId="0" applyFont="1" applyBorder="1" applyAlignment="1">
      <alignment horizontal="center" textRotation="90" wrapText="1"/>
    </xf>
    <xf numFmtId="0" fontId="38" fillId="7" borderId="36" xfId="0" applyFont="1" applyFill="1" applyBorder="1" applyAlignment="1">
      <alignment horizontal="center" textRotation="90" wrapText="1"/>
    </xf>
    <xf numFmtId="0" fontId="39" fillId="0" borderId="5" xfId="0" applyFont="1" applyBorder="1" applyAlignment="1">
      <alignment horizontal="center" textRotation="90" wrapText="1"/>
    </xf>
    <xf numFmtId="0" fontId="17" fillId="0" borderId="24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34" fillId="2" borderId="18" xfId="0" applyFont="1" applyFill="1" applyBorder="1" applyAlignment="1" applyProtection="1">
      <alignment horizontal="center" vertical="center" wrapText="1"/>
    </xf>
    <xf numFmtId="0" fontId="34" fillId="2" borderId="19" xfId="0" applyFont="1" applyFill="1" applyBorder="1" applyAlignment="1" applyProtection="1">
      <alignment horizontal="center" vertical="center" wrapText="1"/>
    </xf>
    <xf numFmtId="0" fontId="34" fillId="2" borderId="21" xfId="0" applyFont="1" applyFill="1" applyBorder="1" applyAlignment="1" applyProtection="1">
      <alignment horizontal="center" vertical="center" wrapText="1"/>
    </xf>
    <xf numFmtId="0" fontId="34" fillId="2" borderId="29" xfId="0" applyFont="1" applyFill="1" applyBorder="1" applyAlignment="1" applyProtection="1">
      <alignment horizontal="center" vertical="center" wrapText="1"/>
    </xf>
    <xf numFmtId="0" fontId="34" fillId="2" borderId="0" xfId="0" applyFont="1" applyFill="1" applyBorder="1" applyAlignment="1" applyProtection="1">
      <alignment horizontal="center" vertical="center" wrapText="1"/>
    </xf>
    <xf numFmtId="0" fontId="34" fillId="2" borderId="30" xfId="0" applyFont="1" applyFill="1" applyBorder="1" applyAlignment="1" applyProtection="1">
      <alignment horizontal="center" vertical="center" wrapText="1"/>
    </xf>
    <xf numFmtId="0" fontId="34" fillId="2" borderId="14" xfId="0" applyFont="1" applyFill="1" applyBorder="1" applyAlignment="1" applyProtection="1">
      <alignment horizontal="center" vertical="center" wrapText="1"/>
    </xf>
    <xf numFmtId="0" fontId="34" fillId="2" borderId="22" xfId="0" applyFont="1" applyFill="1" applyBorder="1" applyAlignment="1" applyProtection="1">
      <alignment horizontal="center" vertical="center" wrapText="1"/>
    </xf>
    <xf numFmtId="0" fontId="34" fillId="2" borderId="23" xfId="0" applyFont="1" applyFill="1" applyBorder="1" applyAlignment="1" applyProtection="1">
      <alignment horizontal="center" vertical="center" wrapText="1"/>
    </xf>
    <xf numFmtId="0" fontId="40" fillId="7" borderId="26" xfId="0" applyFont="1" applyFill="1" applyBorder="1" applyAlignment="1">
      <alignment horizontal="justify" wrapText="1"/>
    </xf>
    <xf numFmtId="0" fontId="40" fillId="7" borderId="27" xfId="0" applyFont="1" applyFill="1" applyBorder="1" applyAlignment="1">
      <alignment horizontal="justify" wrapText="1"/>
    </xf>
    <xf numFmtId="0" fontId="40" fillId="7" borderId="28" xfId="0" applyFont="1" applyFill="1" applyBorder="1" applyAlignment="1">
      <alignment horizontal="justify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5457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15</xdr:row>
      <xdr:rowOff>44451</xdr:rowOff>
    </xdr:from>
    <xdr:to>
      <xdr:col>4</xdr:col>
      <xdr:colOff>2117</xdr:colOff>
      <xdr:row>18</xdr:row>
      <xdr:rowOff>63501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19050" y="8553451"/>
          <a:ext cx="2878667" cy="495300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19</xdr:row>
      <xdr:rowOff>184151</xdr:rowOff>
    </xdr:from>
    <xdr:to>
      <xdr:col>4</xdr:col>
      <xdr:colOff>2117</xdr:colOff>
      <xdr:row>23</xdr:row>
      <xdr:rowOff>50800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9328151"/>
          <a:ext cx="2869142" cy="800099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23</xdr:row>
      <xdr:rowOff>228600</xdr:rowOff>
    </xdr:from>
    <xdr:to>
      <xdr:col>4</xdr:col>
      <xdr:colOff>2117</xdr:colOff>
      <xdr:row>27</xdr:row>
      <xdr:rowOff>44450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10306050"/>
          <a:ext cx="2895600" cy="958850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2116</xdr:colOff>
      <xdr:row>14</xdr:row>
      <xdr:rowOff>133351</xdr:rowOff>
    </xdr:from>
    <xdr:to>
      <xdr:col>10</xdr:col>
      <xdr:colOff>0</xdr:colOff>
      <xdr:row>18</xdr:row>
      <xdr:rowOff>107951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7716" y="8483601"/>
          <a:ext cx="5681134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19</xdr:row>
      <xdr:rowOff>120651</xdr:rowOff>
    </xdr:from>
    <xdr:to>
      <xdr:col>10</xdr:col>
      <xdr:colOff>0</xdr:colOff>
      <xdr:row>23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897717" y="9264651"/>
          <a:ext cx="5681133" cy="952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US"/>
        </a:p>
        <a:p>
          <a:endParaRPr lang="en-GB" sz="1100"/>
        </a:p>
      </xdr:txBody>
    </xdr:sp>
    <xdr:clientData/>
  </xdr:twoCellAnchor>
  <xdr:twoCellAnchor>
    <xdr:from>
      <xdr:col>4</xdr:col>
      <xdr:colOff>2117</xdr:colOff>
      <xdr:row>23</xdr:row>
      <xdr:rowOff>146051</xdr:rowOff>
    </xdr:from>
    <xdr:to>
      <xdr:col>10</xdr:col>
      <xdr:colOff>0</xdr:colOff>
      <xdr:row>27</xdr:row>
      <xdr:rowOff>120650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7717" y="10223501"/>
          <a:ext cx="5681133" cy="1117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4</xdr:col>
      <xdr:colOff>57151</xdr:colOff>
      <xdr:row>28</xdr:row>
      <xdr:rowOff>12700</xdr:rowOff>
    </xdr:from>
    <xdr:to>
      <xdr:col>9</xdr:col>
      <xdr:colOff>838200</xdr:colOff>
      <xdr:row>30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952751" y="11391900"/>
          <a:ext cx="5549899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7"/>
  <sheetViews>
    <sheetView tabSelected="1" zoomScale="80" zoomScaleNormal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99" t="s">
        <v>67</v>
      </c>
      <c r="B1" s="100"/>
      <c r="C1" s="53"/>
      <c r="D1" s="54"/>
      <c r="E1" s="54"/>
      <c r="F1" s="54"/>
      <c r="G1" s="55"/>
      <c r="H1" s="56"/>
      <c r="I1" s="1"/>
      <c r="J1" s="61"/>
      <c r="K1" s="55"/>
      <c r="L1" s="55"/>
      <c r="M1" s="62"/>
      <c r="Q1" s="15" t="s">
        <v>8</v>
      </c>
      <c r="R1" s="15" t="s">
        <v>9</v>
      </c>
      <c r="S1" s="15" t="s">
        <v>10</v>
      </c>
      <c r="T1" s="15" t="s">
        <v>11</v>
      </c>
      <c r="U1" s="15" t="s">
        <v>12</v>
      </c>
      <c r="V1" s="15" t="s">
        <v>13</v>
      </c>
      <c r="W1" s="19" t="s">
        <v>14</v>
      </c>
    </row>
    <row r="2" spans="1:23" ht="25.5" customHeight="1" x14ac:dyDescent="0.2">
      <c r="A2" s="101"/>
      <c r="B2" s="102"/>
      <c r="C2" s="57"/>
      <c r="D2" s="51"/>
      <c r="E2" s="51"/>
      <c r="F2" s="51"/>
      <c r="G2" s="51"/>
      <c r="H2" s="58"/>
      <c r="I2" s="4"/>
      <c r="J2" s="105" t="s">
        <v>69</v>
      </c>
      <c r="K2" s="106"/>
      <c r="L2" s="106"/>
      <c r="M2" s="107"/>
      <c r="P2" s="7"/>
      <c r="Q2" s="15">
        <v>1</v>
      </c>
      <c r="R2" s="15" t="s">
        <v>15</v>
      </c>
      <c r="S2" s="16"/>
      <c r="T2" s="16"/>
      <c r="U2" s="16"/>
      <c r="V2" s="16"/>
      <c r="W2" s="19" t="s">
        <v>16</v>
      </c>
    </row>
    <row r="3" spans="1:23" ht="25.5" customHeight="1" x14ac:dyDescent="0.2">
      <c r="A3" s="101"/>
      <c r="B3" s="102"/>
      <c r="C3" s="112" t="s">
        <v>68</v>
      </c>
      <c r="D3" s="113"/>
      <c r="E3" s="113"/>
      <c r="F3" s="113"/>
      <c r="G3" s="113"/>
      <c r="H3" s="114"/>
      <c r="J3" s="108" t="s">
        <v>70</v>
      </c>
      <c r="K3" s="106"/>
      <c r="L3" s="106"/>
      <c r="M3" s="107"/>
      <c r="P3" s="7"/>
      <c r="Q3" s="15">
        <v>2</v>
      </c>
      <c r="R3" s="15" t="s">
        <v>17</v>
      </c>
      <c r="S3" s="16"/>
      <c r="T3" s="16"/>
      <c r="U3" s="16"/>
      <c r="V3" s="16"/>
      <c r="W3" s="19" t="s">
        <v>18</v>
      </c>
    </row>
    <row r="4" spans="1:23" ht="31.5" customHeight="1" x14ac:dyDescent="0.2">
      <c r="A4" s="103"/>
      <c r="B4" s="104"/>
      <c r="C4" s="60"/>
      <c r="D4" s="52"/>
      <c r="E4" s="52"/>
      <c r="F4" s="52"/>
      <c r="G4" s="52"/>
      <c r="H4" s="59"/>
      <c r="J4" s="109" t="s">
        <v>71</v>
      </c>
      <c r="K4" s="110"/>
      <c r="L4" s="110"/>
      <c r="M4" s="111"/>
      <c r="P4" s="7"/>
      <c r="Q4" s="15"/>
      <c r="R4" s="15"/>
      <c r="S4" s="16"/>
      <c r="T4" s="16"/>
      <c r="U4" s="16"/>
      <c r="V4" s="16"/>
      <c r="W4" s="19"/>
    </row>
    <row r="5" spans="1:23" ht="8.4499999999999993" customHeight="1" x14ac:dyDescent="0.2">
      <c r="A5" s="63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P5" s="7"/>
      <c r="Q5" s="15">
        <v>3</v>
      </c>
      <c r="R5" s="15" t="s">
        <v>19</v>
      </c>
      <c r="S5" s="16"/>
      <c r="T5" s="16"/>
      <c r="U5" s="16"/>
      <c r="V5" s="16"/>
      <c r="W5" s="19" t="s">
        <v>20</v>
      </c>
    </row>
    <row r="6" spans="1:23" s="7" customFormat="1" ht="36" customHeight="1" x14ac:dyDescent="0.2">
      <c r="A6" s="174" t="s">
        <v>76</v>
      </c>
      <c r="B6" s="174"/>
      <c r="C6" s="88"/>
      <c r="D6" s="64"/>
      <c r="E6" s="64"/>
      <c r="F6" s="65"/>
      <c r="G6" s="79" t="s">
        <v>75</v>
      </c>
      <c r="H6" s="92" t="s">
        <v>74</v>
      </c>
      <c r="I6" s="64"/>
      <c r="J6" s="91" t="s">
        <v>72</v>
      </c>
      <c r="K6" s="119" t="s">
        <v>73</v>
      </c>
      <c r="L6" s="119"/>
      <c r="M6" s="120"/>
      <c r="Q6" s="15">
        <v>4</v>
      </c>
      <c r="R6" s="15" t="s">
        <v>21</v>
      </c>
      <c r="S6" s="15"/>
      <c r="T6" s="15"/>
      <c r="U6" s="15"/>
      <c r="V6" s="15"/>
    </row>
    <row r="7" spans="1:23" s="7" customFormat="1" ht="36" customHeight="1" x14ac:dyDescent="0.2">
      <c r="A7" s="178" t="s">
        <v>77</v>
      </c>
      <c r="B7" s="179"/>
      <c r="C7" s="87"/>
      <c r="D7" s="183" t="s">
        <v>83</v>
      </c>
      <c r="E7" s="184"/>
      <c r="F7" s="184"/>
      <c r="G7" s="79" t="s">
        <v>84</v>
      </c>
      <c r="H7" s="175" t="s">
        <v>86</v>
      </c>
      <c r="I7" s="176"/>
      <c r="J7" s="177"/>
      <c r="K7" s="183" t="s">
        <v>87</v>
      </c>
      <c r="L7" s="184"/>
      <c r="M7" s="185"/>
      <c r="Q7" s="15">
        <v>5</v>
      </c>
      <c r="R7" s="15" t="s">
        <v>22</v>
      </c>
      <c r="S7" s="15"/>
      <c r="T7" s="15"/>
      <c r="U7" s="15"/>
      <c r="V7" s="15"/>
    </row>
    <row r="8" spans="1:23" ht="107.25" customHeight="1" x14ac:dyDescent="0.2">
      <c r="A8" s="77" t="s">
        <v>78</v>
      </c>
      <c r="B8" s="77" t="s">
        <v>79</v>
      </c>
      <c r="C8" s="77" t="s">
        <v>80</v>
      </c>
      <c r="D8" s="78" t="s">
        <v>81</v>
      </c>
      <c r="E8" s="78" t="s">
        <v>82</v>
      </c>
      <c r="F8" s="78" t="s">
        <v>83</v>
      </c>
      <c r="G8" s="121" t="s">
        <v>85</v>
      </c>
      <c r="H8" s="122"/>
      <c r="I8" s="123"/>
      <c r="J8" s="124"/>
      <c r="K8" s="78" t="s">
        <v>88</v>
      </c>
      <c r="L8" s="78" t="s">
        <v>82</v>
      </c>
      <c r="M8" s="78" t="s">
        <v>89</v>
      </c>
      <c r="Q8" s="15"/>
      <c r="R8" s="16"/>
      <c r="S8" s="16"/>
      <c r="T8" s="16"/>
      <c r="U8" s="16" t="str">
        <f>IF(L11="","",IF(N11="","",IF(M11+O11&lt;=5,$W$12,IF(M11+O11=6,$W$13,IF(M11+O11=7,$W$13,IF(M11+O11&gt;=8,#REF!,""))))))</f>
        <v/>
      </c>
      <c r="V8" s="16"/>
    </row>
    <row r="9" spans="1:23" ht="282" customHeight="1" x14ac:dyDescent="0.2">
      <c r="A9" s="89">
        <v>1</v>
      </c>
      <c r="B9" s="93" t="s">
        <v>74</v>
      </c>
      <c r="C9" s="95" t="s">
        <v>91</v>
      </c>
      <c r="D9" s="21">
        <v>4</v>
      </c>
      <c r="E9" s="13" t="s">
        <v>0</v>
      </c>
      <c r="F9" s="76" t="str">
        <f t="shared" ref="F9:F13" si="0">IF(D9="","",(IF(E9="","",IF(U9&lt;=1,"",IF(U9&lt;=5,$W$2,IF(U9=6,$W$3,IF(U9=7,$W$3,IF(U9&gt;=8,$W$5,""))))))))</f>
        <v>H</v>
      </c>
      <c r="G9" s="125" t="s">
        <v>90</v>
      </c>
      <c r="H9" s="126"/>
      <c r="I9" s="127"/>
      <c r="J9" s="128"/>
      <c r="K9" s="21">
        <v>1</v>
      </c>
      <c r="L9" s="13" t="s">
        <v>1</v>
      </c>
      <c r="M9" s="66" t="str">
        <f t="shared" ref="M9:M13" si="1">IF(K9="","",(IF(L9="","",IF(V9&lt;=1,"",IF(V9&lt;=5,$W$2,IF(V9=6,$W$3,IF(V9=7,$W$3,IF(V9&gt;=8,$W$5,""))))))))</f>
        <v>L</v>
      </c>
      <c r="Q9" s="15"/>
      <c r="R9" s="16"/>
      <c r="S9" s="20">
        <f t="shared" ref="S9:S13" si="2">IF(E9="A",1,IF(E9="B",2,IF(E9="C",3,IF(E9="D",4,IF(E9="E",5,"")))))</f>
        <v>4</v>
      </c>
      <c r="T9" s="20">
        <f t="shared" ref="T9:T13" si="3">IF(L9="A",1,IF(L9="B",2,IF(L9="C",3,IF(L9="D",4,IF(L9="E",5,"")))))</f>
        <v>4</v>
      </c>
      <c r="U9" s="16">
        <f t="shared" ref="U9:U13" si="4">D9+S9</f>
        <v>8</v>
      </c>
      <c r="V9" s="16">
        <f t="shared" ref="V9:V13" si="5">K9+T9</f>
        <v>5</v>
      </c>
    </row>
    <row r="10" spans="1:23" ht="57" customHeight="1" x14ac:dyDescent="0.2">
      <c r="A10" s="89">
        <v>2</v>
      </c>
      <c r="B10" s="94" t="s">
        <v>92</v>
      </c>
      <c r="C10" s="95" t="s">
        <v>93</v>
      </c>
      <c r="D10" s="21">
        <v>4</v>
      </c>
      <c r="E10" s="13" t="s">
        <v>2</v>
      </c>
      <c r="F10" s="76" t="str">
        <f t="shared" si="0"/>
        <v>H</v>
      </c>
      <c r="G10" s="129" t="s">
        <v>94</v>
      </c>
      <c r="H10" s="130"/>
      <c r="I10" s="131"/>
      <c r="J10" s="132"/>
      <c r="K10" s="21">
        <v>1</v>
      </c>
      <c r="L10" s="13" t="s">
        <v>3</v>
      </c>
      <c r="M10" s="66" t="str">
        <f t="shared" si="1"/>
        <v>L</v>
      </c>
      <c r="Q10" s="15"/>
      <c r="R10" s="16"/>
      <c r="S10" s="20">
        <f t="shared" si="2"/>
        <v>4</v>
      </c>
      <c r="T10" s="20">
        <f t="shared" si="3"/>
        <v>4</v>
      </c>
      <c r="U10" s="16">
        <f t="shared" si="4"/>
        <v>8</v>
      </c>
      <c r="V10" s="16">
        <f t="shared" si="5"/>
        <v>5</v>
      </c>
    </row>
    <row r="11" spans="1:23" ht="70.5" customHeight="1" x14ac:dyDescent="0.2">
      <c r="A11" s="89">
        <v>3</v>
      </c>
      <c r="B11" s="94" t="s">
        <v>92</v>
      </c>
      <c r="C11" s="95" t="s">
        <v>95</v>
      </c>
      <c r="D11" s="21">
        <v>3</v>
      </c>
      <c r="E11" s="13" t="s">
        <v>4</v>
      </c>
      <c r="F11" s="76" t="str">
        <f t="shared" si="0"/>
        <v>M</v>
      </c>
      <c r="G11" s="129" t="s">
        <v>96</v>
      </c>
      <c r="H11" s="130"/>
      <c r="I11" s="131"/>
      <c r="J11" s="132"/>
      <c r="K11" s="21">
        <v>1</v>
      </c>
      <c r="L11" s="13" t="s">
        <v>5</v>
      </c>
      <c r="M11" s="66" t="str">
        <f t="shared" si="1"/>
        <v>L</v>
      </c>
      <c r="Q11" s="15"/>
      <c r="R11" s="16"/>
      <c r="S11" s="20">
        <f t="shared" si="2"/>
        <v>4</v>
      </c>
      <c r="T11" s="20">
        <f t="shared" si="3"/>
        <v>4</v>
      </c>
      <c r="U11" s="16">
        <f t="shared" si="4"/>
        <v>7</v>
      </c>
      <c r="V11" s="16">
        <f t="shared" si="5"/>
        <v>5</v>
      </c>
    </row>
    <row r="12" spans="1:23" ht="80.25" customHeight="1" x14ac:dyDescent="0.2">
      <c r="A12" s="89">
        <v>4</v>
      </c>
      <c r="B12" s="94" t="s">
        <v>97</v>
      </c>
      <c r="C12" s="96" t="s">
        <v>98</v>
      </c>
      <c r="D12" s="21">
        <v>4</v>
      </c>
      <c r="E12" s="13" t="s">
        <v>6</v>
      </c>
      <c r="F12" s="76" t="str">
        <f t="shared" si="0"/>
        <v>M</v>
      </c>
      <c r="G12" s="129" t="s">
        <v>99</v>
      </c>
      <c r="H12" s="130"/>
      <c r="I12" s="131"/>
      <c r="J12" s="132"/>
      <c r="K12" s="21">
        <v>1</v>
      </c>
      <c r="L12" s="13" t="s">
        <v>7</v>
      </c>
      <c r="M12" s="66" t="str">
        <f t="shared" si="1"/>
        <v>L</v>
      </c>
      <c r="Q12" s="15"/>
      <c r="R12" s="16"/>
      <c r="S12" s="20">
        <f t="shared" si="2"/>
        <v>3</v>
      </c>
      <c r="T12" s="20">
        <f t="shared" si="3"/>
        <v>3</v>
      </c>
      <c r="U12" s="16">
        <f t="shared" si="4"/>
        <v>7</v>
      </c>
      <c r="V12" s="16">
        <f t="shared" si="5"/>
        <v>4</v>
      </c>
    </row>
    <row r="13" spans="1:23" ht="15" x14ac:dyDescent="0.2">
      <c r="A13" s="89">
        <v>5</v>
      </c>
      <c r="B13" s="90"/>
      <c r="C13" s="14"/>
      <c r="D13" s="21"/>
      <c r="E13" s="13"/>
      <c r="F13" s="76" t="str">
        <f t="shared" si="0"/>
        <v/>
      </c>
      <c r="G13" s="115"/>
      <c r="H13" s="116"/>
      <c r="I13" s="117"/>
      <c r="J13" s="118"/>
      <c r="K13" s="21"/>
      <c r="L13" s="13"/>
      <c r="M13" s="66" t="str">
        <f t="shared" si="1"/>
        <v/>
      </c>
      <c r="Q13" s="15"/>
      <c r="R13" s="16"/>
      <c r="S13" s="20" t="str">
        <f t="shared" si="2"/>
        <v/>
      </c>
      <c r="T13" s="20" t="str">
        <f t="shared" si="3"/>
        <v/>
      </c>
      <c r="U13" s="16" t="e">
        <f t="shared" si="4"/>
        <v>#VALUE!</v>
      </c>
      <c r="V13" s="16" t="e">
        <f t="shared" si="5"/>
        <v>#VALUE!</v>
      </c>
    </row>
    <row r="14" spans="1:23" x14ac:dyDescent="0.2">
      <c r="A14" s="60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9"/>
    </row>
    <row r="15" spans="1:23" ht="46.5" customHeight="1" x14ac:dyDescent="0.2">
      <c r="A15" s="180" t="s">
        <v>100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2"/>
    </row>
    <row r="16" spans="1:23" ht="32.1" customHeight="1" x14ac:dyDescent="0.2">
      <c r="A16" s="133" t="s">
        <v>101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</row>
    <row r="17" spans="1:17" ht="25.5" customHeight="1" x14ac:dyDescent="0.35">
      <c r="A17" s="97" t="s">
        <v>102</v>
      </c>
      <c r="B17" s="98"/>
      <c r="C17" s="98"/>
      <c r="D17" s="71"/>
      <c r="E17" s="71"/>
      <c r="F17" s="71"/>
      <c r="G17" s="72"/>
      <c r="H17" s="73"/>
      <c r="I17" s="73"/>
      <c r="J17" s="73"/>
      <c r="K17" s="73"/>
      <c r="L17" s="74"/>
      <c r="M17" s="75"/>
    </row>
    <row r="18" spans="1:17" ht="42.6" customHeight="1" x14ac:dyDescent="0.2">
      <c r="A18" s="156" t="s">
        <v>103</v>
      </c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8"/>
    </row>
    <row r="19" spans="1:17" s="9" customFormat="1" ht="24" customHeight="1" x14ac:dyDescent="0.2">
      <c r="A19" s="156" t="s">
        <v>171</v>
      </c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8"/>
      <c r="N19" s="8"/>
      <c r="O19" s="8"/>
      <c r="P19" s="8"/>
      <c r="Q19" s="17"/>
    </row>
    <row r="20" spans="1:17" s="9" customFormat="1" ht="45" customHeight="1" x14ac:dyDescent="0.2">
      <c r="A20" s="67">
        <v>1</v>
      </c>
      <c r="B20" s="135" t="s">
        <v>104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8"/>
      <c r="O20" s="8"/>
      <c r="P20" s="8"/>
      <c r="Q20" s="17"/>
    </row>
    <row r="21" spans="1:17" s="9" customFormat="1" ht="45" customHeight="1" x14ac:dyDescent="0.2">
      <c r="A21" s="67">
        <v>2</v>
      </c>
      <c r="B21" s="135" t="s">
        <v>105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8"/>
      <c r="O21" s="8"/>
      <c r="P21" s="8"/>
      <c r="Q21" s="17"/>
    </row>
    <row r="22" spans="1:17" s="9" customFormat="1" ht="45" customHeight="1" x14ac:dyDescent="0.2">
      <c r="A22" s="67">
        <v>3</v>
      </c>
      <c r="B22" s="137" t="s">
        <v>106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8"/>
      <c r="P22" s="8"/>
      <c r="Q22" s="17"/>
    </row>
    <row r="23" spans="1:17" s="9" customFormat="1" ht="45" customHeight="1" x14ac:dyDescent="0.2">
      <c r="A23" s="67">
        <v>4</v>
      </c>
      <c r="B23" s="135" t="s">
        <v>107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8"/>
      <c r="P23" s="8"/>
      <c r="Q23" s="17"/>
    </row>
    <row r="24" spans="1:17" s="9" customFormat="1" ht="45" customHeight="1" x14ac:dyDescent="0.2">
      <c r="A24" s="67">
        <v>5</v>
      </c>
      <c r="B24" s="137" t="s">
        <v>108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8"/>
      <c r="P24" s="8"/>
      <c r="Q24" s="17"/>
    </row>
    <row r="25" spans="1:17" s="9" customFormat="1" ht="45" customHeight="1" x14ac:dyDescent="0.2">
      <c r="A25" s="67">
        <v>6</v>
      </c>
      <c r="B25" s="135" t="s">
        <v>109</v>
      </c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8"/>
      <c r="P25" s="8"/>
      <c r="Q25" s="17"/>
    </row>
    <row r="26" spans="1:17" s="9" customFormat="1" ht="45" customHeight="1" x14ac:dyDescent="0.2">
      <c r="A26" s="67">
        <v>7</v>
      </c>
      <c r="B26" s="137" t="s">
        <v>110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8"/>
      <c r="P26" s="8"/>
      <c r="Q26" s="17"/>
    </row>
    <row r="27" spans="1:17" s="9" customFormat="1" ht="45" customHeight="1" x14ac:dyDescent="0.2">
      <c r="A27" s="67">
        <v>8</v>
      </c>
      <c r="B27" s="137" t="s">
        <v>111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8"/>
      <c r="P27" s="8"/>
      <c r="Q27" s="17"/>
    </row>
    <row r="28" spans="1:17" s="9" customFormat="1" ht="45" customHeight="1" x14ac:dyDescent="0.2">
      <c r="A28" s="67">
        <v>9</v>
      </c>
      <c r="B28" s="137" t="s">
        <v>112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8"/>
      <c r="P28" s="8"/>
      <c r="Q28" s="17"/>
    </row>
    <row r="29" spans="1:17" s="9" customFormat="1" ht="45" customHeight="1" x14ac:dyDescent="0.2">
      <c r="A29" s="67">
        <v>10</v>
      </c>
      <c r="B29" s="139" t="s">
        <v>113</v>
      </c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8"/>
      <c r="P29" s="8"/>
      <c r="Q29" s="17"/>
    </row>
    <row r="30" spans="1:17" s="9" customFormat="1" ht="45" customHeight="1" x14ac:dyDescent="0.2">
      <c r="A30" s="67">
        <v>11</v>
      </c>
      <c r="B30" s="137" t="s">
        <v>114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8"/>
      <c r="P30" s="8"/>
      <c r="Q30" s="17"/>
    </row>
    <row r="31" spans="1:17" s="9" customFormat="1" ht="45" customHeight="1" x14ac:dyDescent="0.2">
      <c r="A31" s="67">
        <v>12</v>
      </c>
      <c r="B31" s="137" t="s">
        <v>115</v>
      </c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8"/>
      <c r="P31" s="8"/>
      <c r="Q31" s="17"/>
    </row>
    <row r="32" spans="1:17" s="9" customFormat="1" ht="45" customHeight="1" x14ac:dyDescent="0.2">
      <c r="A32" s="67">
        <v>13</v>
      </c>
      <c r="B32" s="137" t="s">
        <v>116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8"/>
      <c r="P32" s="8"/>
      <c r="Q32" s="17"/>
    </row>
    <row r="33" spans="1:17" s="9" customFormat="1" ht="45" customHeight="1" x14ac:dyDescent="0.2">
      <c r="A33" s="67">
        <v>14</v>
      </c>
      <c r="B33" s="137" t="s">
        <v>117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8"/>
      <c r="P33" s="8"/>
      <c r="Q33" s="17"/>
    </row>
    <row r="34" spans="1:17" s="9" customFormat="1" ht="45" customHeight="1" x14ac:dyDescent="0.2">
      <c r="A34" s="67">
        <v>15</v>
      </c>
      <c r="B34" s="137" t="s">
        <v>118</v>
      </c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Q34" s="18"/>
    </row>
    <row r="35" spans="1:17" ht="41.45" customHeight="1" x14ac:dyDescent="0.2">
      <c r="A35" s="159" t="s">
        <v>119</v>
      </c>
      <c r="B35" s="159"/>
      <c r="C35" s="159"/>
      <c r="D35" s="159"/>
      <c r="E35" s="159"/>
      <c r="F35" s="159"/>
      <c r="G35" s="159"/>
      <c r="H35" s="160"/>
      <c r="I35" s="160"/>
      <c r="J35" s="160"/>
      <c r="K35" s="160"/>
      <c r="L35" s="160"/>
      <c r="M35" s="160"/>
    </row>
    <row r="36" spans="1:17" ht="25.5" customHeight="1" x14ac:dyDescent="0.2">
      <c r="A36" s="143" t="s">
        <v>126</v>
      </c>
      <c r="B36" s="145"/>
      <c r="C36" s="80" t="s">
        <v>127</v>
      </c>
      <c r="D36" s="143" t="s">
        <v>128</v>
      </c>
      <c r="E36" s="144"/>
      <c r="F36" s="144"/>
      <c r="G36" s="145"/>
      <c r="H36" s="143" t="s">
        <v>129</v>
      </c>
      <c r="I36" s="144"/>
      <c r="J36" s="144"/>
      <c r="K36" s="144"/>
      <c r="L36" s="144"/>
      <c r="M36" s="145"/>
    </row>
    <row r="37" spans="1:17" ht="18" customHeight="1" x14ac:dyDescent="0.2">
      <c r="A37" s="141"/>
      <c r="B37" s="142"/>
      <c r="C37" s="6"/>
      <c r="D37" s="141"/>
      <c r="E37" s="149"/>
      <c r="F37" s="149"/>
      <c r="G37" s="142"/>
      <c r="H37" s="146"/>
      <c r="I37" s="147"/>
      <c r="J37" s="147"/>
      <c r="K37" s="147"/>
      <c r="L37" s="147"/>
      <c r="M37" s="148"/>
    </row>
    <row r="38" spans="1:17" ht="18" customHeight="1" x14ac:dyDescent="0.2">
      <c r="A38" s="141"/>
      <c r="B38" s="142"/>
      <c r="C38" s="6"/>
      <c r="D38" s="141"/>
      <c r="E38" s="149"/>
      <c r="F38" s="149"/>
      <c r="G38" s="142"/>
      <c r="H38" s="146"/>
      <c r="I38" s="147"/>
      <c r="J38" s="147"/>
      <c r="K38" s="147"/>
      <c r="L38" s="147"/>
      <c r="M38" s="148"/>
    </row>
    <row r="39" spans="1:17" ht="18" customHeight="1" x14ac:dyDescent="0.2">
      <c r="A39" s="141"/>
      <c r="B39" s="142"/>
      <c r="C39" s="6"/>
      <c r="D39" s="141"/>
      <c r="E39" s="149"/>
      <c r="F39" s="149"/>
      <c r="G39" s="142"/>
      <c r="H39" s="146"/>
      <c r="I39" s="147"/>
      <c r="J39" s="147"/>
      <c r="K39" s="147"/>
      <c r="L39" s="147"/>
      <c r="M39" s="148"/>
    </row>
    <row r="40" spans="1:17" ht="18" customHeight="1" x14ac:dyDescent="0.2">
      <c r="A40" s="141"/>
      <c r="B40" s="142"/>
      <c r="C40" s="6"/>
      <c r="D40" s="141"/>
      <c r="E40" s="149"/>
      <c r="F40" s="149"/>
      <c r="G40" s="142"/>
      <c r="H40" s="141"/>
      <c r="I40" s="149"/>
      <c r="J40" s="149"/>
      <c r="K40" s="149"/>
      <c r="L40" s="149"/>
      <c r="M40" s="142"/>
    </row>
    <row r="41" spans="1:17" ht="18" customHeight="1" x14ac:dyDescent="0.2">
      <c r="A41" s="141"/>
      <c r="B41" s="142"/>
      <c r="C41" s="6"/>
      <c r="D41" s="141"/>
      <c r="E41" s="149"/>
      <c r="F41" s="149"/>
      <c r="G41" s="148"/>
      <c r="H41" s="141"/>
      <c r="I41" s="149"/>
      <c r="J41" s="149"/>
      <c r="K41" s="149"/>
      <c r="L41" s="149"/>
      <c r="M41" s="142"/>
    </row>
    <row r="42" spans="1:17" ht="28.5" customHeight="1" x14ac:dyDescent="0.2">
      <c r="A42" s="153" t="s">
        <v>120</v>
      </c>
      <c r="B42" s="154"/>
      <c r="C42" s="154"/>
      <c r="D42" s="154"/>
      <c r="E42" s="154"/>
      <c r="F42" s="154"/>
      <c r="G42" s="154"/>
      <c r="H42" s="154"/>
      <c r="I42" s="154"/>
      <c r="J42" s="154"/>
      <c r="K42" s="154"/>
      <c r="L42" s="154"/>
      <c r="M42" s="155"/>
    </row>
    <row r="43" spans="1:17" ht="20.25" customHeight="1" x14ac:dyDescent="0.2">
      <c r="A43" s="161" t="s">
        <v>121</v>
      </c>
      <c r="B43" s="161"/>
      <c r="C43" s="81" t="s">
        <v>122</v>
      </c>
      <c r="D43" s="162" t="s">
        <v>123</v>
      </c>
      <c r="E43" s="163"/>
      <c r="F43" s="164"/>
      <c r="G43" s="168"/>
      <c r="H43" s="169"/>
      <c r="I43" s="169"/>
      <c r="J43" s="169"/>
      <c r="K43" s="169"/>
      <c r="L43" s="169"/>
      <c r="M43" s="170"/>
    </row>
    <row r="44" spans="1:17" ht="42.6" customHeight="1" x14ac:dyDescent="0.2">
      <c r="A44" s="150"/>
      <c r="B44" s="152"/>
      <c r="C44" s="10"/>
      <c r="D44" s="165"/>
      <c r="E44" s="166"/>
      <c r="F44" s="167"/>
      <c r="G44" s="171"/>
      <c r="H44" s="172"/>
      <c r="I44" s="172"/>
      <c r="J44" s="172"/>
      <c r="K44" s="172"/>
      <c r="L44" s="172"/>
      <c r="M44" s="173"/>
    </row>
    <row r="45" spans="1:17" s="11" customFormat="1" ht="15" customHeight="1" x14ac:dyDescent="0.2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70"/>
    </row>
    <row r="46" spans="1:17" ht="81.95" customHeight="1" x14ac:dyDescent="0.2">
      <c r="A46" s="186" t="s">
        <v>124</v>
      </c>
      <c r="B46" s="124"/>
      <c r="C46" s="150"/>
      <c r="D46" s="151"/>
      <c r="E46" s="151"/>
      <c r="F46" s="151"/>
      <c r="G46" s="151"/>
      <c r="H46" s="151"/>
      <c r="I46" s="151"/>
      <c r="J46" s="151"/>
      <c r="K46" s="151"/>
      <c r="L46" s="151"/>
      <c r="M46" s="152"/>
    </row>
    <row r="47" spans="1:17" s="12" customFormat="1" ht="24" customHeight="1" x14ac:dyDescent="0.2">
      <c r="A47" s="159" t="s">
        <v>125</v>
      </c>
      <c r="B47" s="159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</row>
  </sheetData>
  <sheetProtection formatCells="0" formatColumns="0" formatRows="0" insertColumns="0" insertRows="0" insertHyperlinks="0" deleteColumns="0" deleteRows="0" sort="0" autoFilter="0" pivotTables="0"/>
  <mergeCells count="63"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6:B46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41:B41"/>
    <mergeCell ref="A40:B40"/>
    <mergeCell ref="A39:B39"/>
    <mergeCell ref="D39:G39"/>
    <mergeCell ref="H38:M38"/>
    <mergeCell ref="H39:M39"/>
    <mergeCell ref="H40:M40"/>
    <mergeCell ref="D38:G38"/>
    <mergeCell ref="B29:M29"/>
    <mergeCell ref="B34:M34"/>
    <mergeCell ref="A38:B38"/>
    <mergeCell ref="H36:M36"/>
    <mergeCell ref="H37:M37"/>
    <mergeCell ref="A36:B36"/>
    <mergeCell ref="A37:B37"/>
    <mergeCell ref="A16:M16"/>
    <mergeCell ref="B23:M23"/>
    <mergeCell ref="B24:M24"/>
    <mergeCell ref="B27:M27"/>
    <mergeCell ref="B26:M26"/>
    <mergeCell ref="G13:J13"/>
    <mergeCell ref="K6:M6"/>
    <mergeCell ref="G8:J8"/>
    <mergeCell ref="G9:J9"/>
    <mergeCell ref="G10:J10"/>
    <mergeCell ref="G11:J11"/>
    <mergeCell ref="G12:J12"/>
    <mergeCell ref="A1:B4"/>
    <mergeCell ref="J2:M2"/>
    <mergeCell ref="J3:M3"/>
    <mergeCell ref="J4:M4"/>
    <mergeCell ref="C3:H3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>
      <formula1>$Q$2:$Q$7</formula1>
    </dataValidation>
    <dataValidation type="list" allowBlank="1" showInputMessage="1" showErrorMessage="1" sqref="L9:L13 E9:E13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90" zoomScaleNormal="90" zoomScalePageLayoutView="80" workbookViewId="0">
      <selection activeCell="G32" sqref="G32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8" t="s">
        <v>67</v>
      </c>
      <c r="B1" s="209"/>
      <c r="C1" s="210"/>
      <c r="D1" s="53"/>
      <c r="E1" s="54"/>
      <c r="F1" s="54"/>
      <c r="G1" s="55"/>
      <c r="H1" s="56"/>
      <c r="I1" s="189" t="s">
        <v>23</v>
      </c>
      <c r="J1" s="190"/>
      <c r="O1" s="15" t="s">
        <v>42</v>
      </c>
      <c r="P1" s="15" t="s">
        <v>43</v>
      </c>
      <c r="Q1" s="15" t="s">
        <v>44</v>
      </c>
      <c r="R1" s="15" t="s">
        <v>45</v>
      </c>
      <c r="S1" s="15" t="s">
        <v>46</v>
      </c>
      <c r="T1" s="15" t="s">
        <v>47</v>
      </c>
      <c r="U1" s="19" t="s">
        <v>48</v>
      </c>
      <c r="V1" s="2"/>
    </row>
    <row r="2" spans="1:22" ht="25.5" customHeight="1" x14ac:dyDescent="0.2">
      <c r="A2" s="211"/>
      <c r="B2" s="212"/>
      <c r="C2" s="213"/>
      <c r="D2" s="195" t="s">
        <v>130</v>
      </c>
      <c r="E2" s="113"/>
      <c r="F2" s="113"/>
      <c r="G2" s="113"/>
      <c r="H2" s="114"/>
      <c r="I2" s="191" t="s">
        <v>131</v>
      </c>
      <c r="J2" s="192"/>
      <c r="N2" s="7"/>
      <c r="O2" s="15">
        <v>1</v>
      </c>
      <c r="P2" s="15" t="s">
        <v>49</v>
      </c>
      <c r="Q2" s="16"/>
      <c r="R2" s="16"/>
      <c r="S2" s="16"/>
      <c r="T2" s="16"/>
      <c r="U2" s="19" t="s">
        <v>50</v>
      </c>
      <c r="V2" s="5"/>
    </row>
    <row r="3" spans="1:22" ht="25.5" customHeight="1" x14ac:dyDescent="0.2">
      <c r="A3" s="214"/>
      <c r="B3" s="215"/>
      <c r="C3" s="216"/>
      <c r="D3" s="82"/>
      <c r="E3" s="83"/>
      <c r="F3" s="83"/>
      <c r="G3" s="83"/>
      <c r="H3" s="84"/>
      <c r="I3" s="193" t="s">
        <v>71</v>
      </c>
      <c r="J3" s="194"/>
      <c r="K3" s="50"/>
      <c r="L3" s="50"/>
      <c r="M3" s="23"/>
    </row>
    <row r="4" spans="1:22" ht="18.75" thickBo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23"/>
    </row>
    <row r="5" spans="1:22" ht="29.25" customHeight="1" thickBot="1" x14ac:dyDescent="0.3">
      <c r="A5" s="200" t="s">
        <v>134</v>
      </c>
      <c r="B5" s="201"/>
      <c r="C5" s="217" t="s">
        <v>132</v>
      </c>
      <c r="D5" s="218"/>
      <c r="E5" s="218"/>
      <c r="F5" s="218"/>
      <c r="G5" s="219"/>
      <c r="H5" s="220" t="s">
        <v>133</v>
      </c>
      <c r="I5" s="221"/>
      <c r="J5" s="221"/>
      <c r="K5" s="221"/>
      <c r="L5" s="222"/>
      <c r="M5" s="23"/>
    </row>
    <row r="6" spans="1:22" ht="20.25" customHeight="1" thickBot="1" x14ac:dyDescent="0.25">
      <c r="A6" s="202"/>
      <c r="B6" s="203"/>
      <c r="C6" s="223" t="s">
        <v>135</v>
      </c>
      <c r="D6" s="223" t="s">
        <v>136</v>
      </c>
      <c r="E6" s="223" t="s">
        <v>137</v>
      </c>
      <c r="F6" s="223" t="s">
        <v>138</v>
      </c>
      <c r="G6" s="223" t="s">
        <v>139</v>
      </c>
      <c r="H6" s="85" t="s">
        <v>24</v>
      </c>
      <c r="I6" s="85" t="s">
        <v>25</v>
      </c>
      <c r="J6" s="85" t="s">
        <v>26</v>
      </c>
      <c r="K6" s="22" t="s">
        <v>51</v>
      </c>
      <c r="L6" s="22" t="s">
        <v>52</v>
      </c>
      <c r="M6" s="23"/>
    </row>
    <row r="7" spans="1:22" ht="146.44999999999999" customHeight="1" x14ac:dyDescent="0.2">
      <c r="A7" s="202"/>
      <c r="B7" s="203"/>
      <c r="C7" s="224"/>
      <c r="D7" s="224"/>
      <c r="E7" s="224"/>
      <c r="F7" s="224"/>
      <c r="G7" s="224"/>
      <c r="H7" s="86" t="s">
        <v>140</v>
      </c>
      <c r="I7" s="86" t="s">
        <v>141</v>
      </c>
      <c r="J7" s="86" t="s">
        <v>142</v>
      </c>
      <c r="K7" s="24" t="s">
        <v>53</v>
      </c>
      <c r="L7" s="24" t="s">
        <v>54</v>
      </c>
      <c r="M7" s="23"/>
    </row>
    <row r="8" spans="1:22" ht="12.75" customHeight="1" x14ac:dyDescent="0.2">
      <c r="A8" s="202"/>
      <c r="B8" s="203"/>
      <c r="C8" s="224"/>
      <c r="D8" s="224"/>
      <c r="E8" s="224"/>
      <c r="F8" s="224"/>
      <c r="G8" s="224"/>
      <c r="H8" s="206" t="s">
        <v>143</v>
      </c>
      <c r="I8" s="206" t="s">
        <v>144</v>
      </c>
      <c r="J8" s="206" t="s">
        <v>145</v>
      </c>
      <c r="K8" s="206" t="s">
        <v>55</v>
      </c>
      <c r="L8" s="206" t="s">
        <v>56</v>
      </c>
      <c r="M8" s="23"/>
    </row>
    <row r="9" spans="1:22" ht="29.45" customHeight="1" thickBot="1" x14ac:dyDescent="0.25">
      <c r="A9" s="204"/>
      <c r="B9" s="205"/>
      <c r="C9" s="225"/>
      <c r="D9" s="225"/>
      <c r="E9" s="225"/>
      <c r="F9" s="225"/>
      <c r="G9" s="225"/>
      <c r="H9" s="207"/>
      <c r="I9" s="207"/>
      <c r="J9" s="207"/>
      <c r="K9" s="207"/>
      <c r="L9" s="207"/>
      <c r="M9" s="23"/>
    </row>
    <row r="10" spans="1:22" ht="65.099999999999994" customHeight="1" x14ac:dyDescent="0.2">
      <c r="A10" s="196">
        <v>1</v>
      </c>
      <c r="B10" s="197"/>
      <c r="C10" s="39" t="s">
        <v>146</v>
      </c>
      <c r="D10" s="39" t="s">
        <v>147</v>
      </c>
      <c r="E10" s="39" t="s">
        <v>148</v>
      </c>
      <c r="F10" s="39" t="s">
        <v>149</v>
      </c>
      <c r="G10" s="40" t="s">
        <v>150</v>
      </c>
      <c r="H10" s="31" t="s">
        <v>27</v>
      </c>
      <c r="I10" s="32" t="s">
        <v>28</v>
      </c>
      <c r="J10" s="32" t="s">
        <v>29</v>
      </c>
      <c r="K10" s="41" t="s">
        <v>57</v>
      </c>
      <c r="L10" s="33" t="s">
        <v>58</v>
      </c>
      <c r="M10" s="23"/>
    </row>
    <row r="11" spans="1:22" ht="65.099999999999994" customHeight="1" x14ac:dyDescent="0.2">
      <c r="A11" s="198">
        <v>2</v>
      </c>
      <c r="B11" s="199"/>
      <c r="C11" s="25" t="s">
        <v>151</v>
      </c>
      <c r="D11" s="25" t="s">
        <v>152</v>
      </c>
      <c r="E11" s="39" t="s">
        <v>153</v>
      </c>
      <c r="F11" s="25" t="s">
        <v>154</v>
      </c>
      <c r="G11" s="29" t="s">
        <v>155</v>
      </c>
      <c r="H11" s="34" t="s">
        <v>30</v>
      </c>
      <c r="I11" s="35" t="s">
        <v>31</v>
      </c>
      <c r="J11" s="35" t="s">
        <v>32</v>
      </c>
      <c r="K11" s="36" t="s">
        <v>59</v>
      </c>
      <c r="L11" s="37" t="s">
        <v>60</v>
      </c>
      <c r="M11" s="23"/>
    </row>
    <row r="12" spans="1:22" ht="65.099999999999994" customHeight="1" x14ac:dyDescent="0.2">
      <c r="A12" s="198">
        <v>3</v>
      </c>
      <c r="B12" s="199"/>
      <c r="C12" s="25" t="s">
        <v>156</v>
      </c>
      <c r="D12" s="25" t="s">
        <v>157</v>
      </c>
      <c r="E12" s="39" t="s">
        <v>158</v>
      </c>
      <c r="F12" s="25" t="s">
        <v>159</v>
      </c>
      <c r="G12" s="29" t="s">
        <v>160</v>
      </c>
      <c r="H12" s="34" t="s">
        <v>33</v>
      </c>
      <c r="I12" s="35" t="s">
        <v>34</v>
      </c>
      <c r="J12" s="36" t="s">
        <v>35</v>
      </c>
      <c r="K12" s="36" t="s">
        <v>61</v>
      </c>
      <c r="L12" s="42" t="s">
        <v>62</v>
      </c>
      <c r="M12" s="23"/>
    </row>
    <row r="13" spans="1:22" ht="65.099999999999994" customHeight="1" x14ac:dyDescent="0.2">
      <c r="A13" s="198">
        <v>4</v>
      </c>
      <c r="B13" s="199"/>
      <c r="C13" s="25" t="s">
        <v>161</v>
      </c>
      <c r="D13" s="25" t="s">
        <v>162</v>
      </c>
      <c r="E13" s="39" t="s">
        <v>163</v>
      </c>
      <c r="F13" s="25" t="s">
        <v>164</v>
      </c>
      <c r="G13" s="29" t="s">
        <v>165</v>
      </c>
      <c r="H13" s="34" t="s">
        <v>36</v>
      </c>
      <c r="I13" s="36" t="s">
        <v>37</v>
      </c>
      <c r="J13" s="36" t="s">
        <v>38</v>
      </c>
      <c r="K13" s="43" t="s">
        <v>63</v>
      </c>
      <c r="L13" s="42" t="s">
        <v>64</v>
      </c>
      <c r="M13" s="23"/>
    </row>
    <row r="14" spans="1:22" ht="65.099999999999994" customHeight="1" thickBot="1" x14ac:dyDescent="0.25">
      <c r="A14" s="187">
        <v>5</v>
      </c>
      <c r="B14" s="188"/>
      <c r="C14" s="26" t="s">
        <v>166</v>
      </c>
      <c r="D14" s="26" t="s">
        <v>167</v>
      </c>
      <c r="E14" s="26" t="s">
        <v>168</v>
      </c>
      <c r="F14" s="26" t="s">
        <v>169</v>
      </c>
      <c r="G14" s="30" t="s">
        <v>170</v>
      </c>
      <c r="H14" s="46" t="s">
        <v>39</v>
      </c>
      <c r="I14" s="38" t="s">
        <v>40</v>
      </c>
      <c r="J14" s="44" t="s">
        <v>41</v>
      </c>
      <c r="K14" s="44" t="s">
        <v>65</v>
      </c>
      <c r="L14" s="45" t="s">
        <v>66</v>
      </c>
      <c r="M14" s="23"/>
    </row>
    <row r="15" spans="1:22" x14ac:dyDescent="0.2">
      <c r="A15" s="48"/>
      <c r="B15" s="48"/>
      <c r="C15" s="49"/>
      <c r="D15" s="49"/>
      <c r="E15" s="49"/>
      <c r="F15" s="49"/>
      <c r="G15" s="49"/>
      <c r="H15" s="27"/>
      <c r="I15" s="27"/>
      <c r="J15" s="27"/>
      <c r="K15" s="28"/>
      <c r="L15" s="28"/>
      <c r="M15" s="23"/>
    </row>
    <row r="16" spans="1:22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x14ac:dyDescent="0.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x14ac:dyDescent="0.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36" customHeight="1" x14ac:dyDescent="0.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x14ac:dyDescent="0.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x14ac:dyDescent="0.2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52.5" customHeight="1" x14ac:dyDescent="0.2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x14ac:dyDescent="0.2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x14ac:dyDescent="0.2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x14ac:dyDescent="0.2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x14ac:dyDescent="0.2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x14ac:dyDescent="0.2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x14ac:dyDescent="0.2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92.25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0.5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idden="1" x14ac:dyDescent="0.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faa5c77d-98fa-4e50-863f-182fb51ee117"/>
    <ds:schemaRef ds:uri="http://purl.org/dc/elements/1.1/"/>
    <ds:schemaRef ds:uri="http://schemas.microsoft.com/office/2006/metadata/properties"/>
    <ds:schemaRef ds:uri="5470fdc2-d5b4-45ba-ae4a-b04105b307e7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2014-11-10T08:23:35Z</cp:lastPrinted>
  <dcterms:created xsi:type="dcterms:W3CDTF">2011-02-21T14:14:41Z</dcterms:created>
  <dcterms:modified xsi:type="dcterms:W3CDTF">2024-07-21T12:49:25Z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