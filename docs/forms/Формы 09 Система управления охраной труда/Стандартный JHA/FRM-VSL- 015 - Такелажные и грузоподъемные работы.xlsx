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040" windowHeight="8625" tabRatio="307"/>
  </bookViews>
  <sheets>
    <sheet name="АСОР" sheetId="1" r:id="rId1"/>
    <sheet name="МОР" sheetId="3" r:id="rId2"/>
  </sheets>
  <definedNames>
    <definedName name="Strongly_emphasise_each_individual_s__71" localSheetId="0">АСОР!$O$47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АСОР!$A$1:$M$48</definedName>
    <definedName name="_xlnm.Print_Area" localSheetId="1">МОР!$A$1:$V$34</definedName>
  </definedNames>
  <calcPr calcId="162913" concurrentCalc="0"/>
</workbook>
</file>

<file path=xl/calcChain.xml><?xml version="1.0" encoding="utf-8"?>
<calcChain xmlns="http://schemas.openxmlformats.org/spreadsheetml/2006/main">
  <c r="F14" i="1" l="1"/>
  <c r="M14" i="1"/>
  <c r="S14" i="1"/>
  <c r="T14" i="1"/>
  <c r="U14" i="1"/>
  <c r="V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<sst xmlns="http://schemas.openxmlformats.org/spreadsheetml/2006/main" count="183" uniqueCount="176">
  <si>
    <r>
      <rPr>
        <sz val="10"/>
        <rFont val="Arial"/>
        <family val="2"/>
      </rPr>
      <t>Likelihood</t>
    </r>
  </si>
  <si>
    <r>
      <rPr>
        <sz val="10"/>
        <rFont val="Arial"/>
        <family val="2"/>
      </rPr>
      <t>Severity</t>
    </r>
  </si>
  <si>
    <r>
      <rPr>
        <sz val="10"/>
        <rFont val="Arial"/>
        <family val="2"/>
      </rPr>
      <t>H</t>
    </r>
  </si>
  <si>
    <r>
      <rPr>
        <sz val="10"/>
        <rFont val="Arial"/>
        <family val="2"/>
      </rPr>
      <t>M</t>
    </r>
  </si>
  <si>
    <r>
      <rPr>
        <sz val="10"/>
        <rFont val="Arial"/>
        <family val="2"/>
      </rPr>
      <t>L</t>
    </r>
  </si>
  <si>
    <r>
      <rPr>
        <sz val="10"/>
        <rFont val="Arial"/>
        <family val="2"/>
      </rPr>
      <t>Likelihood tranf initial</t>
    </r>
  </si>
  <si>
    <r>
      <rPr>
        <sz val="10"/>
        <rFont val="Arial"/>
        <family val="2"/>
      </rPr>
      <t>Likelihood tranf residual</t>
    </r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</si>
  <si>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</si>
  <si>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B</t>
    </r>
  </si>
  <si>
    <r>
      <rPr>
        <sz val="10"/>
        <rFont val="Arial"/>
        <family val="2"/>
      </rPr>
      <t>C</t>
    </r>
  </si>
  <si>
    <r>
      <rPr>
        <sz val="10"/>
        <rFont val="Arial"/>
        <family val="2"/>
      </rPr>
      <t>D</t>
    </r>
  </si>
  <si>
    <r>
      <rPr>
        <sz val="10"/>
        <rFont val="Arial"/>
        <family val="2"/>
      </rPr>
      <t>E</t>
    </r>
  </si>
  <si>
    <r>
      <rPr>
        <sz val="10"/>
        <rFont val="Arial"/>
        <family val="2"/>
      </rPr>
      <t xml:space="preserve">Risk </t>
    </r>
  </si>
  <si>
    <r>
      <rPr>
        <sz val="10"/>
        <rFont val="Arial"/>
        <family val="2"/>
      </rPr>
      <t>Initial</t>
    </r>
  </si>
  <si>
    <r>
      <rPr>
        <sz val="10"/>
        <rFont val="Arial"/>
        <family val="2"/>
      </rPr>
      <t>residual</t>
    </r>
  </si>
  <si>
    <r>
      <rPr>
        <b/>
        <u/>
        <sz val="8"/>
        <rFont val="Arial"/>
        <family val="2"/>
      </rPr>
      <t>Likely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</si>
  <si>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</si>
  <si>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</si>
  <si>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</si>
  <si>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theme="0"/>
        <rFont val="Arial"/>
        <family val="2"/>
      </rPr>
      <t>1D</t>
    </r>
  </si>
  <si>
    <r>
      <rPr>
        <b/>
        <i/>
        <sz val="8.5"/>
        <rFont val="Arial"/>
        <family val="2"/>
      </rPr>
      <t>1E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</si>
  <si>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</si>
  <si>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</si>
  <si>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</si>
  <si>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rFont val="Arial"/>
        <family val="2"/>
      </rPr>
      <t>2D</t>
    </r>
  </si>
  <si>
    <r>
      <rPr>
        <b/>
        <i/>
        <sz val="8.5"/>
        <rFont val="Arial"/>
        <family val="2"/>
      </rPr>
      <t>2E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</si>
  <si>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</si>
  <si>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</si>
  <si>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</si>
  <si>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rFont val="Arial"/>
        <family val="2"/>
      </rPr>
      <t>3D</t>
    </r>
  </si>
  <si>
    <r>
      <rPr>
        <b/>
        <i/>
        <sz val="8.5"/>
        <color theme="0"/>
        <rFont val="Arial"/>
        <family val="2"/>
      </rPr>
      <t>3E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</si>
  <si>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</si>
  <si>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</si>
  <si>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</si>
  <si>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color theme="0"/>
        <rFont val="Arial"/>
        <family val="2"/>
      </rPr>
      <t>4D</t>
    </r>
  </si>
  <si>
    <r>
      <rPr>
        <b/>
        <i/>
        <sz val="8.5"/>
        <color theme="0"/>
        <rFont val="Arial"/>
        <family val="2"/>
      </rPr>
      <t>4E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</si>
  <si>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</si>
  <si>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</si>
  <si>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</si>
  <si>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r>
      <rPr>
        <b/>
        <i/>
        <sz val="8.5"/>
        <color theme="0"/>
        <rFont val="Arial"/>
        <family val="2"/>
      </rPr>
      <t>5D</t>
    </r>
  </si>
  <si>
    <r>
      <rPr>
        <b/>
        <i/>
        <sz val="8.5"/>
        <color theme="0"/>
        <rFont val="Arial"/>
        <family val="2"/>
      </rPr>
      <t>5E</t>
    </r>
  </si>
  <si>
    <r>
      <rPr>
        <sz val="8"/>
        <rFont val="Arial"/>
        <family val="2"/>
      </rPr>
      <t>Occurred in the Company more than once in the last year (ashore or afloat)</t>
    </r>
  </si>
  <si>
    <r>
      <rPr>
        <sz val="8"/>
        <rFont val="Arial"/>
        <family val="2"/>
      </rPr>
      <t>Occurred in the Company repeatedly in the last year (ashore or afloat)</t>
    </r>
  </si>
  <si>
    <r>
      <rPr>
        <b/>
        <u/>
        <sz val="8"/>
        <rFont val="Arial"/>
        <family val="2"/>
      </rPr>
      <t>Very Likely</t>
    </r>
  </si>
  <si>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</si>
  <si>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</si>
  <si>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</si>
  <si>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</si>
  <si>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</si>
  <si>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</si>
  <si>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</si>
  <si>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</si>
  <si>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</si>
  <si>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</si>
  <si>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</si>
  <si>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b/>
        <sz val="11"/>
        <rFont val="Arial"/>
        <family val="2"/>
      </rPr>
      <t>FRM-VSL-09-1301-001</t>
    </r>
  </si>
  <si>
    <r>
      <rPr>
        <sz val="10"/>
        <rFont val="Arial"/>
        <family val="2"/>
      </rPr>
      <t>Severity</t>
    </r>
  </si>
  <si>
    <r>
      <rPr>
        <sz val="10"/>
        <rFont val="Arial"/>
        <family val="2"/>
      </rPr>
      <t>Likelihood</t>
    </r>
  </si>
  <si>
    <r>
      <rPr>
        <sz val="10"/>
        <rFont val="Arial"/>
        <family val="2"/>
      </rPr>
      <t>Likelihood tranf initial</t>
    </r>
  </si>
  <si>
    <r>
      <rPr>
        <sz val="10"/>
        <rFont val="Arial"/>
        <family val="2"/>
      </rPr>
      <t>Likelihood tranf residual</t>
    </r>
  </si>
  <si>
    <r>
      <rPr>
        <sz val="10"/>
        <rFont val="Arial"/>
        <family val="2"/>
      </rPr>
      <t>Initial</t>
    </r>
  </si>
  <si>
    <r>
      <rPr>
        <sz val="10"/>
        <rFont val="Arial"/>
        <family val="2"/>
      </rPr>
      <t>residual</t>
    </r>
  </si>
  <si>
    <r>
      <rPr>
        <sz val="10"/>
        <rFont val="Arial"/>
        <family val="2"/>
      </rPr>
      <t xml:space="preserve">Risk </t>
    </r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</si>
  <si>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</si>
  <si>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L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</si>
  <si>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</si>
  <si>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</si>
  <si>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</si>
  <si>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sz val="10.5"/>
        <rFont val="Arial"/>
        <family val="2"/>
      </rPr>
      <t>D</t>
    </r>
  </si>
  <si>
    <r>
      <rPr>
        <b/>
        <sz val="10.5"/>
        <rFont val="Arial"/>
        <family val="2"/>
      </rPr>
      <t>E</t>
    </r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</si>
  <si>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</si>
  <si>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</si>
  <si>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Файл 09</t>
  </si>
  <si>
    <t>Срок хранения 3 года</t>
  </si>
  <si>
    <t>Такелажные и грузоподъемные работы</t>
  </si>
  <si>
    <t>Номер оценки рисков</t>
  </si>
  <si>
    <t>FRM-VSL-015</t>
  </si>
  <si>
    <t xml:space="preserve"> Описание работ</t>
  </si>
  <si>
    <t xml:space="preserve"> Название судна</t>
  </si>
  <si>
    <t>Дата</t>
  </si>
  <si>
    <t xml:space="preserve"> Исходный риск</t>
  </si>
  <si>
    <t xml:space="preserve"> Оборудование</t>
  </si>
  <si>
    <t xml:space="preserve"> Остаточный риск</t>
  </si>
  <si>
    <t xml:space="preserve"> 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</si>
  <si>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</si>
  <si>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</si>
  <si>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</si>
  <si>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</si>
  <si>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</si>
  <si>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</si>
  <si>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</si>
  <si>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 xml:space="preserve"> Подготовительные работы</t>
  </si>
  <si>
    <t xml:space="preserve"> Незапланированные подъемные операции или спланированные ненадлежащим образом</t>
  </si>
  <si>
    <t>1) Все подъемные операции должны быть спланированы и скоординированы в полном объеме.
2) Траектория подъема и участок разгрузки должны быть свободны от препятствий, потенциальных угроз и персонала.
3) Необходимо установить связь между такелажной бригадой и оператором крана.
4) Весь персонал должен знать план подъемных операций, включая свои функции и обязанности.
5) При планировании подъема следует воспользоваться такелажным справочником.</t>
  </si>
  <si>
    <t>Подготовительные работы</t>
  </si>
  <si>
    <t>Несоответствующее подъемное оборудование</t>
  </si>
  <si>
    <t>1) До выполнения подъема следует установить вес (БРН) и центр тяжести поднимаемого груза.
2) Используйте только сертифицированные стропы и скобы соответствующей классификации (с цветовой кодировкой).
3) До выполнения подъемной операции, во время и после нее следует контролировать все подъемное оборудование. Сообщайте обо всех повреждениях оборудования, дефектное оборудование должно быть удалено с рабочей площадки.</t>
  </si>
  <si>
    <t xml:space="preserve"> Подъемная операция</t>
  </si>
  <si>
    <t>Неконтролируемые подъемы.</t>
  </si>
  <si>
    <t>1) Рекомендуется выполнять подъем с четырех точек. Избегайте подъем с одной точки и подъем с использованием цепей.
2) Для большего контроля груза во время подъема используйте оттяжки.
3) Защищайте оборудование, которое потенциально может быть повреждено.
4) Между оператором крана и руководителем (сигнальщиком), контролирующим подъемную операцию, всегда должна поддерживаться связь. Руководитель работ, контролирующий подъемную операцию, всегда должен держать поднимаемый объект в поле зрения.</t>
  </si>
  <si>
    <t>Падение предметов.</t>
  </si>
  <si>
    <t>1) Убедитесь, что траектория подъема и участок разгрузки свободны от незадействованного персонала и препятствий.
2) Убедитесь в надлежащей установке и креплении такелажной оснастки к грузу.
3) Удалите или закрепите любой незакрепенный предмет на грузе.
4) Запрещается находиться под подвешенными грузами.
5) Для захвата оттяжек воспользуйтесь крюком или захватом.
6) Запрещается оставлять без внимания подвешенные грузы.</t>
  </si>
  <si>
    <t>Раздавливание</t>
  </si>
  <si>
    <t>1) Такелажники должны следить за тем, где они находятся во время выполнения подъема, чтобы обеспечить себе путь отхода для предотвращения раздавливания при попадании между грузом и каким-либо препятствием (поручни, контейнеры, переборки, и проч.).</t>
  </si>
  <si>
    <t>Анализ степени опасности работ подлежит обсуждению на инструктаже в начале каждой смены как минимум.</t>
  </si>
  <si>
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</si>
  <si>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</si>
  <si>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r>
      <rPr>
        <b/>
        <sz val="1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rFont val="Arial"/>
      </rPr>
      <t>необходимо</t>
    </r>
    <r>
      <rPr>
        <b/>
        <sz val="10"/>
        <rFont val="Arial"/>
      </rPr>
      <t xml:space="preserve"> провести задокументированный инструктаж на рабочем месте. Все рабочие, участвующие в выполнении работ, </t>
    </r>
    <r>
      <rPr>
        <b/>
        <i/>
        <sz val="10"/>
        <rFont val="Arial"/>
      </rPr>
      <t>должны</t>
    </r>
    <r>
      <rPr>
        <b/>
        <sz val="10"/>
        <rFont val="Arial"/>
      </rPr>
      <t xml:space="preserve"> присутствовать на инструктаже на рабочем месте.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</si>
  <si>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</si>
  <si>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</si>
  <si>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</si>
  <si>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</si>
  <si>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</si>
  <si>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</si>
  <si>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</si>
  <si>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</si>
  <si>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 xml:space="preserve"> 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</si>
  <si>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</si>
  <si>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</si>
  <si>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</si>
  <si>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</si>
  <si>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 xml:space="preserve"> 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</si>
  <si>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If not, make the entry in the bridge/engineering dept logbook and commence the task /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</si>
  <si>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</si>
  <si>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</si>
  <si>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</si>
  <si>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</si>
  <si>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</si>
  <si>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</si>
  <si>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</si>
  <si>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</si>
  <si>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</si>
  <si>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</si>
  <si>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</si>
  <si>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ФАЙЛ 09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</si>
  <si>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</si>
  <si>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</si>
  <si>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</si>
  <si>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</si>
  <si>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</si>
  <si>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</si>
  <si>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Репутация</t>
  </si>
  <si>
    <t>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</si>
  <si>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</si>
  <si>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</si>
  <si>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 xml:space="preserve"> 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</si>
  <si>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</si>
  <si>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 xml:space="preserve"> Маловероятно</t>
  </si>
  <si>
    <t xml:space="preserve"> Возможно</t>
  </si>
  <si>
    <t xml:space="preserve"> Травмы с оказанием доврачебной помощи</t>
  </si>
  <si>
    <t xml:space="preserve"> Незначительное воздействие</t>
  </si>
  <si>
    <t xml:space="preserve"> Незначительное повреждение 
&lt; 500€ / евро</t>
  </si>
  <si>
    <t xml:space="preserve"> Незначительное негативное воздействие</t>
  </si>
  <si>
    <t xml:space="preserve"> Задержка 1 час</t>
  </si>
  <si>
    <t xml:space="preserve"> Медицинская помощь, травма с ограничением рабочих функций</t>
  </si>
  <si>
    <t xml:space="preserve"> Несущественное воздействие 
&lt; 10 litres / литров</t>
  </si>
  <si>
    <t xml:space="preserve"> Несущественное повреждение 
&lt; 5000€ / евро</t>
  </si>
  <si>
    <t xml:space="preserve"> Несущественное негативное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</si>
  <si>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</si>
  <si>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</si>
  <si>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Умеренное воздействие
10 литров - 1  баррель</t>
  </si>
  <si>
    <t xml:space="preserve"> Умеренное повреждение 
&lt;50.000€ / евро</t>
  </si>
  <si>
    <t xml:space="preserve"> 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</si>
  <si>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</si>
  <si>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</si>
  <si>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воздействие
1-10 баррелей</t>
  </si>
  <si>
    <t xml:space="preserve"> Значительное повреждение 
&lt;500.000€ / евро</t>
  </si>
  <si>
    <t xml:space="preserve"> Значительное негативное воздействие</t>
  </si>
  <si>
    <t>Задержка 48 часов – 7 дней</t>
  </si>
  <si>
    <t>Более 1 смертельного случая</t>
  </si>
  <si>
    <t xml:space="preserve"> Сильное воздействие
&gt; 10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</si>
  <si>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</si>
  <si>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</si>
  <si>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</si>
  <si>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t>Инструменты, СИЗ, связь</t>
  </si>
  <si>
    <r>
      <rPr>
        <b/>
        <i/>
        <sz val="10"/>
        <color indexed="8"/>
        <rFont val="Arial"/>
        <family val="2"/>
      </rPr>
      <t>Необходимо</t>
    </r>
    <r>
      <rPr>
        <b/>
        <sz val="10"/>
        <color indexed="8"/>
        <rFont val="Arial"/>
        <family val="2"/>
      </rPr>
      <t xml:space="preserve"> проверить следующие пункты: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</si>
</sst>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0"/>
      <name val="Arial"/>
    </font>
    <font>
      <sz val="10"/>
      <color indexed="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b/>
      <i/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sz val="12"/>
      <name val="Verdana"/>
      <family val="2"/>
    </font>
    <font>
      <b/>
      <sz val="10"/>
      <name val="Arial"/>
    </font>
    <font>
      <b/>
      <i/>
      <sz val="10"/>
      <name val="Arial"/>
    </font>
    <font>
      <b/>
      <sz val="12"/>
      <name val="Arial"/>
      <family val="2"/>
      <charset val="204"/>
    </font>
    <font>
      <sz val="8"/>
      <color rgb="FF333399"/>
      <name val="Arial Black"/>
      <family val="2"/>
      <charset val="204"/>
    </font>
    <font>
      <sz val="7"/>
      <color rgb="FF333399"/>
      <name val="Arial Black"/>
      <family val="2"/>
      <charset val="204"/>
    </font>
    <font>
      <sz val="11"/>
      <color theme="0"/>
      <name val="Arial"/>
      <family val="2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2" fillId="2" borderId="0" xfId="0" applyFont="1" applyFill="1"/>
    <xf numFmtId="0" fontId="15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4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left" vertical="center" wrapText="1" shrinkToFit="1"/>
      <protection locked="0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6" fillId="0" borderId="6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7" xfId="0" applyFont="1" applyFill="1" applyBorder="1" applyAlignment="1">
      <alignment horizontal="center" vertical="center" wrapText="1"/>
    </xf>
    <xf numFmtId="0" fontId="27" fillId="6" borderId="15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7" fillId="2" borderId="0" xfId="0" applyFont="1" applyFill="1" applyBorder="1" applyAlignment="1">
      <alignment horizontal="center" wrapText="1"/>
    </xf>
    <xf numFmtId="0" fontId="20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5" fillId="2" borderId="18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/>
    </xf>
    <xf numFmtId="0" fontId="12" fillId="2" borderId="19" xfId="0" applyFont="1" applyFill="1" applyBorder="1"/>
    <xf numFmtId="0" fontId="12" fillId="2" borderId="21" xfId="0" applyFont="1" applyFill="1" applyBorder="1"/>
    <xf numFmtId="0" fontId="3" fillId="2" borderId="29" xfId="0" applyFont="1" applyFill="1" applyBorder="1" applyAlignment="1">
      <alignment horizontal="left" vertical="center" indent="1"/>
    </xf>
    <xf numFmtId="0" fontId="14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2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6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6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5" fillId="2" borderId="30" xfId="0" applyFont="1" applyFill="1" applyBorder="1" applyAlignment="1">
      <alignment wrapText="1"/>
    </xf>
    <xf numFmtId="0" fontId="28" fillId="8" borderId="19" xfId="0" applyFont="1" applyFill="1" applyBorder="1" applyAlignment="1">
      <alignment vertical="center"/>
    </xf>
    <xf numFmtId="0" fontId="28" fillId="8" borderId="19" xfId="0" applyFont="1" applyFill="1" applyBorder="1" applyAlignment="1">
      <alignment horizontal="left" vertical="center"/>
    </xf>
    <xf numFmtId="0" fontId="28" fillId="8" borderId="21" xfId="0" applyFont="1" applyFill="1" applyBorder="1" applyAlignment="1" applyProtection="1">
      <alignment horizontal="right" vertical="center"/>
    </xf>
    <xf numFmtId="0" fontId="4" fillId="2" borderId="8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righ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4" fillId="8" borderId="1" xfId="0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31" fillId="0" borderId="21" xfId="0" applyFont="1" applyBorder="1" applyAlignment="1" applyProtection="1">
      <alignment horizontal="left" vertical="center" wrapText="1"/>
      <protection locked="0"/>
    </xf>
    <xf numFmtId="0" fontId="31" fillId="0" borderId="1" xfId="0" applyFont="1" applyBorder="1" applyAlignment="1" applyProtection="1">
      <alignment horizontal="left" vertical="center" wrapText="1"/>
      <protection locked="0"/>
    </xf>
    <xf numFmtId="0" fontId="29" fillId="8" borderId="1" xfId="0" applyFont="1" applyFill="1" applyBorder="1" applyAlignment="1">
      <alignment horizontal="center" vertical="center" textRotation="90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3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8" xfId="0" applyFont="1" applyFill="1" applyBorder="1" applyAlignment="1" applyProtection="1">
      <alignment horizontal="left" vertical="center" wrapText="1"/>
      <protection locked="0"/>
    </xf>
    <xf numFmtId="0" fontId="5" fillId="2" borderId="19" xfId="0" applyFont="1" applyFill="1" applyBorder="1" applyAlignment="1" applyProtection="1">
      <alignment horizontal="left" vertical="center" wrapText="1"/>
      <protection locked="0"/>
    </xf>
    <xf numFmtId="0" fontId="5" fillId="2" borderId="21" xfId="0" applyFont="1" applyFill="1" applyBorder="1" applyAlignment="1" applyProtection="1">
      <alignment horizontal="left" vertical="center" wrapText="1"/>
      <protection locked="0"/>
    </xf>
    <xf numFmtId="0" fontId="5" fillId="2" borderId="14" xfId="0" applyFont="1" applyFill="1" applyBorder="1" applyAlignment="1" applyProtection="1">
      <alignment horizontal="left" vertical="center" wrapText="1"/>
      <protection locked="0"/>
    </xf>
    <xf numFmtId="0" fontId="5" fillId="2" borderId="22" xfId="0" applyFont="1" applyFill="1" applyBorder="1" applyAlignment="1" applyProtection="1">
      <alignment horizontal="left" vertical="center" wrapText="1"/>
      <protection locked="0"/>
    </xf>
    <xf numFmtId="0" fontId="5" fillId="2" borderId="23" xfId="0" applyFont="1" applyFill="1" applyBorder="1" applyAlignment="1" applyProtection="1">
      <alignment horizontal="left" vertical="center" wrapText="1"/>
      <protection locked="0"/>
    </xf>
    <xf numFmtId="0" fontId="24" fillId="8" borderId="1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4" fillId="0" borderId="1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4" fillId="8" borderId="8" xfId="0" applyFont="1" applyFill="1" applyBorder="1" applyAlignment="1">
      <alignment horizontal="right" vertical="center" wrapText="1"/>
    </xf>
    <xf numFmtId="0" fontId="24" fillId="8" borderId="4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14" fontId="24" fillId="8" borderId="8" xfId="0" applyNumberFormat="1" applyFont="1" applyFill="1" applyBorder="1" applyAlignment="1">
      <alignment horizontal="center" vertical="center" wrapText="1"/>
    </xf>
    <xf numFmtId="14" fontId="24" fillId="8" borderId="17" xfId="0" applyNumberFormat="1" applyFont="1" applyFill="1" applyBorder="1" applyAlignment="1">
      <alignment horizontal="center" vertical="center" wrapText="1"/>
    </xf>
    <xf numFmtId="14" fontId="24" fillId="8" borderId="4" xfId="0" applyNumberFormat="1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left" vertical="center" wrapText="1"/>
    </xf>
    <xf numFmtId="0" fontId="23" fillId="8" borderId="17" xfId="0" applyFont="1" applyFill="1" applyBorder="1" applyAlignment="1">
      <alignment horizontal="left" vertical="center" wrapText="1"/>
    </xf>
    <xf numFmtId="0" fontId="23" fillId="8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3" fillId="8" borderId="8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8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vertical="center" wrapText="1"/>
    </xf>
    <xf numFmtId="0" fontId="23" fillId="8" borderId="1" xfId="0" applyFont="1" applyFill="1" applyBorder="1" applyAlignment="1">
      <alignment vertical="center" wrapText="1"/>
    </xf>
    <xf numFmtId="0" fontId="34" fillId="2" borderId="8" xfId="0" applyFont="1" applyFill="1" applyBorder="1" applyAlignment="1" applyProtection="1">
      <alignment horizontal="left" vertical="center" wrapText="1"/>
      <protection locked="0"/>
    </xf>
    <xf numFmtId="0" fontId="9" fillId="2" borderId="8" xfId="0" applyFont="1" applyFill="1" applyBorder="1" applyAlignment="1">
      <alignment horizontal="left" vertical="center" wrapText="1"/>
    </xf>
    <xf numFmtId="0" fontId="23" fillId="8" borderId="18" xfId="0" applyFont="1" applyFill="1" applyBorder="1" applyAlignment="1">
      <alignment horizontal="center" vertical="center" wrapText="1"/>
    </xf>
    <xf numFmtId="0" fontId="23" fillId="8" borderId="19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23" fillId="8" borderId="14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37" fillId="8" borderId="19" xfId="0" applyFont="1" applyFill="1" applyBorder="1" applyAlignment="1">
      <alignment horizontal="left" vertical="center" wrapText="1"/>
    </xf>
    <xf numFmtId="0" fontId="30" fillId="8" borderId="8" xfId="0" applyFont="1" applyFill="1" applyBorder="1" applyAlignment="1">
      <alignment horizontal="left" vertical="center" wrapText="1"/>
    </xf>
    <xf numFmtId="0" fontId="30" fillId="8" borderId="17" xfId="0" applyFont="1" applyFill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4" fillId="2" borderId="8" xfId="0" applyFont="1" applyFill="1" applyBorder="1" applyAlignment="1" applyProtection="1">
      <alignment horizontal="center" vertical="center" wrapText="1" shrinkToFit="1"/>
      <protection locked="0"/>
    </xf>
    <xf numFmtId="0" fontId="4" fillId="2" borderId="17" xfId="0" applyFont="1" applyFill="1" applyBorder="1" applyAlignment="1" applyProtection="1">
      <alignment horizontal="center" vertical="center" wrapText="1" shrinkToFit="1"/>
      <protection locked="0"/>
    </xf>
    <xf numFmtId="0" fontId="4" fillId="2" borderId="4" xfId="0" applyFont="1" applyFill="1" applyBorder="1" applyAlignment="1" applyProtection="1">
      <alignment horizontal="center" vertical="center" wrapText="1" shrinkToFit="1"/>
      <protection locked="0"/>
    </xf>
    <xf numFmtId="0" fontId="4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8" fillId="8" borderId="8" xfId="0" applyFont="1" applyFill="1" applyBorder="1" applyAlignment="1">
      <alignment horizontal="center" vertical="center" wrapText="1"/>
    </xf>
    <xf numFmtId="0" fontId="28" fillId="8" borderId="17" xfId="0" applyFont="1" applyFill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/>
    </xf>
    <xf numFmtId="0" fontId="11" fillId="2" borderId="29" xfId="0" applyFont="1" applyFill="1" applyBorder="1" applyAlignment="1" applyProtection="1">
      <alignment horizontal="center" vertical="center"/>
    </xf>
    <xf numFmtId="0" fontId="11" fillId="2" borderId="30" xfId="0" applyFont="1" applyFill="1" applyBorder="1" applyAlignment="1" applyProtection="1">
      <alignment horizontal="center" vertical="center"/>
    </xf>
    <xf numFmtId="0" fontId="11" fillId="2" borderId="14" xfId="0" applyFont="1" applyFill="1" applyBorder="1" applyAlignment="1" applyProtection="1">
      <alignment horizontal="center" vertical="center"/>
    </xf>
    <xf numFmtId="0" fontId="11" fillId="2" borderId="23" xfId="0" applyFont="1" applyFill="1" applyBorder="1" applyAlignment="1" applyProtection="1">
      <alignment horizontal="center" vertical="center"/>
    </xf>
    <xf numFmtId="0" fontId="10" fillId="2" borderId="29" xfId="0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justify" wrapText="1"/>
    </xf>
    <xf numFmtId="0" fontId="6" fillId="7" borderId="27" xfId="0" applyFont="1" applyFill="1" applyBorder="1" applyAlignment="1">
      <alignment horizontal="justify" wrapText="1"/>
    </xf>
    <xf numFmtId="0" fontId="6" fillId="7" borderId="28" xfId="0" applyFont="1" applyFill="1" applyBorder="1" applyAlignment="1">
      <alignment horizontal="justify" wrapText="1"/>
    </xf>
    <xf numFmtId="0" fontId="13" fillId="3" borderId="6" xfId="0" applyFont="1" applyFill="1" applyBorder="1" applyAlignment="1">
      <alignment horizontal="center" textRotation="90" wrapText="1"/>
    </xf>
    <xf numFmtId="0" fontId="13" fillId="3" borderId="24" xfId="0" applyFont="1" applyFill="1" applyBorder="1" applyAlignment="1">
      <alignment horizontal="center" textRotation="90" wrapText="1"/>
    </xf>
    <xf numFmtId="0" fontId="13" fillId="3" borderId="25" xfId="0" applyFont="1" applyFill="1" applyBorder="1" applyAlignment="1">
      <alignment horizontal="center" textRotation="90" wrapText="1"/>
    </xf>
    <xf numFmtId="0" fontId="17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2" borderId="29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4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4" fillId="0" borderId="5" xfId="0" applyFont="1" applyBorder="1" applyAlignment="1">
      <alignment horizontal="center" textRotation="90" wrapText="1"/>
    </xf>
    <xf numFmtId="0" fontId="36" fillId="2" borderId="18" xfId="0" applyFont="1" applyFill="1" applyBorder="1" applyAlignment="1" applyProtection="1">
      <alignment horizontal="center" vertical="center" wrapText="1"/>
    </xf>
    <xf numFmtId="0" fontId="36" fillId="2" borderId="19" xfId="0" applyFont="1" applyFill="1" applyBorder="1" applyAlignment="1" applyProtection="1">
      <alignment horizontal="center" vertical="center" wrapText="1"/>
    </xf>
    <xf numFmtId="0" fontId="36" fillId="2" borderId="21" xfId="0" applyFont="1" applyFill="1" applyBorder="1" applyAlignment="1" applyProtection="1">
      <alignment horizontal="center" vertical="center" wrapText="1"/>
    </xf>
    <xf numFmtId="0" fontId="36" fillId="2" borderId="29" xfId="0" applyFont="1" applyFill="1" applyBorder="1" applyAlignment="1" applyProtection="1">
      <alignment horizontal="center" vertical="center" wrapText="1"/>
    </xf>
    <xf numFmtId="0" fontId="36" fillId="2" borderId="0" xfId="0" applyFont="1" applyFill="1" applyBorder="1" applyAlignment="1" applyProtection="1">
      <alignment horizontal="center" vertical="center" wrapText="1"/>
    </xf>
    <xf numFmtId="0" fontId="36" fillId="2" borderId="30" xfId="0" applyFont="1" applyFill="1" applyBorder="1" applyAlignment="1" applyProtection="1">
      <alignment horizontal="center" vertical="center" wrapText="1"/>
    </xf>
    <xf numFmtId="0" fontId="36" fillId="2" borderId="14" xfId="0" applyFont="1" applyFill="1" applyBorder="1" applyAlignment="1" applyProtection="1">
      <alignment horizontal="center" vertical="center" wrapText="1"/>
    </xf>
    <xf numFmtId="0" fontId="36" fillId="2" borderId="22" xfId="0" applyFont="1" applyFill="1" applyBorder="1" applyAlignment="1" applyProtection="1">
      <alignment horizontal="center" vertical="center" wrapText="1"/>
    </xf>
    <xf numFmtId="0" fontId="36" fillId="2" borderId="23" xfId="0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173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nl-B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15</xdr:row>
      <xdr:rowOff>34194</xdr:rowOff>
    </xdr:from>
    <xdr:to>
      <xdr:col>4</xdr:col>
      <xdr:colOff>2117</xdr:colOff>
      <xdr:row>18</xdr:row>
      <xdr:rowOff>43963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9050" y="8308732"/>
          <a:ext cx="2879644" cy="493346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ru" sz="1100" b="1" strike="noStrike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  <a:defRPr sz="1000"/>
          </a:pPr>
          <a:endParaRPr lang="en-GB" sz="1100" b="1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28575</xdr:colOff>
      <xdr:row>19</xdr:row>
      <xdr:rowOff>58615</xdr:rowOff>
    </xdr:from>
    <xdr:to>
      <xdr:col>4</xdr:col>
      <xdr:colOff>2117</xdr:colOff>
      <xdr:row>21</xdr:row>
      <xdr:rowOff>151423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8977923"/>
          <a:ext cx="2870119" cy="810846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ru" sz="1100" b="1" strike="noStrike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  <a:defRPr sz="1000"/>
          </a:pPr>
          <a:endParaRPr lang="en-GB" sz="11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2117</xdr:colOff>
      <xdr:row>23</xdr:row>
      <xdr:rowOff>29308</xdr:rowOff>
    </xdr:from>
    <xdr:to>
      <xdr:col>4</xdr:col>
      <xdr:colOff>2117</xdr:colOff>
      <xdr:row>25</xdr:row>
      <xdr:rowOff>254000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9989039"/>
          <a:ext cx="2896577" cy="962269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ru" sz="1100" b="1" strike="noStrike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  <a:defRPr sz="1000"/>
          </a:pPr>
          <a:endParaRPr lang="en-GB" sz="1100" b="1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2116</xdr:colOff>
      <xdr:row>14</xdr:row>
      <xdr:rowOff>112346</xdr:rowOff>
    </xdr:from>
    <xdr:to>
      <xdr:col>10</xdr:col>
      <xdr:colOff>0</xdr:colOff>
      <xdr:row>18</xdr:row>
      <xdr:rowOff>122116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898693" y="8225692"/>
          <a:ext cx="5683576" cy="6545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" sz="1100">
              <a:solidFill>
                <a:schemeClr val="dk1"/>
              </a:solidFill>
              <a:latin typeface="+mn-lt"/>
              <a:ea typeface="+mn-ea"/>
              <a:cs typeface="+mn-cs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18</xdr:row>
      <xdr:rowOff>156309</xdr:rowOff>
    </xdr:from>
    <xdr:to>
      <xdr:col>10</xdr:col>
      <xdr:colOff>0</xdr:colOff>
      <xdr:row>22</xdr:row>
      <xdr:rowOff>107462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898694" y="8914424"/>
          <a:ext cx="5683575" cy="9915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"/>
            <a:t>Опасные факторы, уровень риска которых находится в желтой зоне матрицы, требуют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lang="ru" b="1"/>
            <a:t>капитана/менеджера базового подразделения</a:t>
          </a:r>
          <a:r>
            <a:rPr lang="ru"/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22</xdr:row>
      <xdr:rowOff>107461</xdr:rowOff>
    </xdr:from>
    <xdr:to>
      <xdr:col>10</xdr:col>
      <xdr:colOff>0</xdr:colOff>
      <xdr:row>26</xdr:row>
      <xdr:rowOff>112345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898694" y="9905999"/>
          <a:ext cx="5683575" cy="12162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"/>
            <a:t>При наличии опасных факторов с уровнем риска в красной зоне приступать к выполнению задания </a:t>
          </a:r>
          <a:r>
            <a:rPr lang="ru" b="1" i="1"/>
            <a:t>запрещено</a:t>
          </a:r>
          <a:r>
            <a:rPr lang="ru"/>
            <a:t>. Необходимо уведомить </a:t>
          </a:r>
          <a:r>
            <a:rPr lang="ru" b="1"/>
            <a:t>капитана/менеджера базового подразделения</a:t>
          </a:r>
          <a:r>
            <a:rPr lang="ru"/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endParaRPr lang="en-GB" sz="1100"/>
        </a:p>
      </xdr:txBody>
    </xdr:sp>
    <xdr:clientData/>
  </xdr:twoCellAnchor>
  <xdr:twoCellAnchor>
    <xdr:from>
      <xdr:col>3</xdr:col>
      <xdr:colOff>829236</xdr:colOff>
      <xdr:row>26</xdr:row>
      <xdr:rowOff>53732</xdr:rowOff>
    </xdr:from>
    <xdr:to>
      <xdr:col>9</xdr:col>
      <xdr:colOff>750796</xdr:colOff>
      <xdr:row>28</xdr:row>
      <xdr:rowOff>14654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748890" y="11063655"/>
          <a:ext cx="5670752" cy="2833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ru" sz="1100" b="1">
              <a:solidFill>
                <a:schemeClr val="dk1"/>
              </a:solidFill>
              <a:latin typeface="+mn-lt"/>
              <a:ea typeface="+mn-ea"/>
              <a:cs typeface="+mn-cs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48"/>
  <sheetViews>
    <sheetView tabSelected="1" view="pageBreakPreview" zoomScale="80" zoomScaleNormal="75" zoomScaleSheetLayoutView="80" zoomScalePageLayoutView="73" workbookViewId="0">
      <selection activeCell="C7" sqref="C7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68" t="s">
        <v>70</v>
      </c>
      <c r="B1" s="169"/>
      <c r="C1" s="53"/>
      <c r="D1" s="54"/>
      <c r="E1" s="54"/>
      <c r="F1" s="54"/>
      <c r="G1" s="55"/>
      <c r="H1" s="56"/>
      <c r="I1" s="1"/>
      <c r="J1" s="61"/>
      <c r="K1" s="55"/>
      <c r="L1" s="55"/>
      <c r="M1" s="62"/>
      <c r="Q1" s="15" t="s">
        <v>1</v>
      </c>
      <c r="R1" s="15" t="s">
        <v>0</v>
      </c>
      <c r="S1" s="15" t="s">
        <v>5</v>
      </c>
      <c r="T1" s="15" t="s">
        <v>6</v>
      </c>
      <c r="U1" s="15" t="s">
        <v>13</v>
      </c>
      <c r="V1" s="15" t="s">
        <v>14</v>
      </c>
      <c r="W1" s="19" t="s">
        <v>12</v>
      </c>
    </row>
    <row r="2" spans="1:23" ht="25.5" customHeight="1" x14ac:dyDescent="0.2">
      <c r="A2" s="170"/>
      <c r="B2" s="171"/>
      <c r="C2" s="57"/>
      <c r="D2" s="51"/>
      <c r="E2" s="51"/>
      <c r="F2" s="51"/>
      <c r="G2" s="51"/>
      <c r="H2" s="58"/>
      <c r="I2" s="4"/>
      <c r="J2" s="174" t="s">
        <v>44</v>
      </c>
      <c r="K2" s="175"/>
      <c r="L2" s="175"/>
      <c r="M2" s="176"/>
      <c r="P2" s="7"/>
      <c r="Q2" s="15">
        <v>1</v>
      </c>
      <c r="R2" s="15" t="s">
        <v>7</v>
      </c>
      <c r="S2" s="16"/>
      <c r="T2" s="16"/>
      <c r="U2" s="16"/>
      <c r="V2" s="16"/>
      <c r="W2" s="19" t="s">
        <v>4</v>
      </c>
    </row>
    <row r="3" spans="1:23" ht="25.5" customHeight="1" x14ac:dyDescent="0.2">
      <c r="A3" s="170"/>
      <c r="B3" s="171"/>
      <c r="C3" s="181" t="s">
        <v>71</v>
      </c>
      <c r="D3" s="182"/>
      <c r="E3" s="182"/>
      <c r="F3" s="182"/>
      <c r="G3" s="182"/>
      <c r="H3" s="183"/>
      <c r="J3" s="177" t="s">
        <v>72</v>
      </c>
      <c r="K3" s="175"/>
      <c r="L3" s="175"/>
      <c r="M3" s="176"/>
      <c r="P3" s="7"/>
      <c r="Q3" s="15">
        <v>2</v>
      </c>
      <c r="R3" s="15" t="s">
        <v>8</v>
      </c>
      <c r="S3" s="16"/>
      <c r="T3" s="16"/>
      <c r="U3" s="16"/>
      <c r="V3" s="16"/>
      <c r="W3" s="19" t="s">
        <v>3</v>
      </c>
    </row>
    <row r="4" spans="1:23" ht="37.35" customHeight="1" x14ac:dyDescent="0.2">
      <c r="A4" s="172"/>
      <c r="B4" s="173"/>
      <c r="C4" s="60"/>
      <c r="D4" s="52"/>
      <c r="E4" s="52"/>
      <c r="F4" s="52"/>
      <c r="G4" s="52"/>
      <c r="H4" s="59"/>
      <c r="J4" s="178" t="s">
        <v>73</v>
      </c>
      <c r="K4" s="179"/>
      <c r="L4" s="179"/>
      <c r="M4" s="180"/>
      <c r="P4" s="7"/>
      <c r="Q4" s="15"/>
      <c r="R4" s="15"/>
      <c r="S4" s="16"/>
      <c r="T4" s="16"/>
      <c r="U4" s="16"/>
      <c r="V4" s="16"/>
      <c r="W4" s="19"/>
    </row>
    <row r="5" spans="1:23" ht="8.4499999999999993" customHeight="1" x14ac:dyDescent="0.2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P5" s="7"/>
      <c r="Q5" s="15">
        <v>3</v>
      </c>
      <c r="R5" s="15" t="s">
        <v>9</v>
      </c>
      <c r="S5" s="16"/>
      <c r="T5" s="16"/>
      <c r="U5" s="16"/>
      <c r="V5" s="16"/>
      <c r="W5" s="19" t="s">
        <v>2</v>
      </c>
    </row>
    <row r="6" spans="1:23" s="7" customFormat="1" ht="51.75" customHeight="1" x14ac:dyDescent="0.2">
      <c r="A6" s="106" t="s">
        <v>78</v>
      </c>
      <c r="B6" s="106"/>
      <c r="C6" s="85"/>
      <c r="D6" s="64"/>
      <c r="E6" s="64"/>
      <c r="F6" s="65"/>
      <c r="G6" s="76" t="s">
        <v>77</v>
      </c>
      <c r="H6" s="89" t="s">
        <v>74</v>
      </c>
      <c r="I6" s="64"/>
      <c r="J6" s="88" t="s">
        <v>75</v>
      </c>
      <c r="K6" s="163" t="s">
        <v>76</v>
      </c>
      <c r="L6" s="163"/>
      <c r="M6" s="164"/>
      <c r="Q6" s="15">
        <v>4</v>
      </c>
      <c r="R6" s="15" t="s">
        <v>10</v>
      </c>
      <c r="S6" s="15"/>
      <c r="T6" s="15"/>
      <c r="U6" s="15"/>
      <c r="V6" s="15"/>
    </row>
    <row r="7" spans="1:23" s="7" customFormat="1" ht="40.35" customHeight="1" x14ac:dyDescent="0.2">
      <c r="A7" s="111" t="s">
        <v>79</v>
      </c>
      <c r="B7" s="112"/>
      <c r="C7" s="84"/>
      <c r="D7" s="119" t="s">
        <v>80</v>
      </c>
      <c r="E7" s="120"/>
      <c r="F7" s="120"/>
      <c r="G7" s="76" t="s">
        <v>81</v>
      </c>
      <c r="H7" s="107" t="s">
        <v>174</v>
      </c>
      <c r="I7" s="108"/>
      <c r="J7" s="109"/>
      <c r="K7" s="119" t="s">
        <v>82</v>
      </c>
      <c r="L7" s="120"/>
      <c r="M7" s="121"/>
      <c r="Q7" s="15">
        <v>5</v>
      </c>
      <c r="R7" s="15" t="s">
        <v>11</v>
      </c>
      <c r="S7" s="15"/>
      <c r="T7" s="15"/>
      <c r="U7" s="15"/>
      <c r="V7" s="15"/>
    </row>
    <row r="8" spans="1:23" ht="81" customHeight="1" x14ac:dyDescent="0.2">
      <c r="A8" s="75" t="s">
        <v>83</v>
      </c>
      <c r="B8" s="75" t="s">
        <v>84</v>
      </c>
      <c r="C8" s="75" t="s">
        <v>85</v>
      </c>
      <c r="D8" s="92" t="s">
        <v>86</v>
      </c>
      <c r="E8" s="92" t="s">
        <v>87</v>
      </c>
      <c r="F8" s="92" t="s">
        <v>88</v>
      </c>
      <c r="G8" s="165" t="s">
        <v>89</v>
      </c>
      <c r="H8" s="166"/>
      <c r="I8" s="167"/>
      <c r="J8" s="129"/>
      <c r="K8" s="92" t="s">
        <v>86</v>
      </c>
      <c r="L8" s="92" t="s">
        <v>87</v>
      </c>
      <c r="M8" s="92" t="s">
        <v>90</v>
      </c>
      <c r="Q8" s="15"/>
      <c r="R8" s="16"/>
      <c r="S8" s="16"/>
      <c r="T8" s="16"/>
      <c r="U8" s="16" t="str">
        <f>IF(L11="","",IF(N11="","",IF(M11+O11&lt;=5,$W$12,IF(M11+O11=6,$W$13,IF(M11+O11=7,$W$13,IF(M11+O11&gt;=8,$W$14,""))))))</f>
        <v/>
      </c>
      <c r="V8" s="16"/>
    </row>
    <row r="9" spans="1:23" ht="168" customHeight="1" x14ac:dyDescent="0.2">
      <c r="A9" s="86">
        <v>1</v>
      </c>
      <c r="B9" s="90" t="s">
        <v>94</v>
      </c>
      <c r="C9" s="91" t="s">
        <v>92</v>
      </c>
      <c r="D9" s="21">
        <v>3</v>
      </c>
      <c r="E9" s="13" t="s">
        <v>45</v>
      </c>
      <c r="F9" s="74" t="str">
        <f t="shared" ref="F9:F14" si="0">IF(D9="","",(IF(E9="","",IF(U9&lt;=1,"",IF(U9&lt;=5,$W$2,IF(U9=6,$W$3,IF(U9=7,$W$3,IF(U9&gt;=8,$W$5,""))))))))</f>
        <v>M</v>
      </c>
      <c r="G9" s="159" t="s">
        <v>93</v>
      </c>
      <c r="H9" s="160"/>
      <c r="I9" s="161"/>
      <c r="J9" s="162"/>
      <c r="K9" s="21">
        <v>1</v>
      </c>
      <c r="L9" s="13" t="s">
        <v>46</v>
      </c>
      <c r="M9" s="66" t="str">
        <f t="shared" ref="M9:M14" si="1">IF(K9="","",(IF(L9="","",IF(V9&lt;=1,"",IF(V9&lt;=5,$W$2,IF(V9=6,$W$3,IF(V9=7,$W$3,IF(V9&gt;=8,$W$5,""))))))))</f>
        <v>L</v>
      </c>
      <c r="Q9" s="15"/>
      <c r="R9" s="16"/>
      <c r="S9" s="20">
        <f t="shared" ref="S9:S14" si="2">IF(E9="A",1,IF(E9="B",2,IF(E9="C",3,IF(E9="D",4,IF(E9="E",5,"")))))</f>
        <v>4</v>
      </c>
      <c r="T9" s="20">
        <f t="shared" ref="T9:T14" si="3">IF(L9="A",1,IF(L9="B",2,IF(L9="C",3,IF(L9="D",4,IF(L9="E",5,"")))))</f>
        <v>4</v>
      </c>
      <c r="U9" s="16">
        <f t="shared" ref="U9:U14" si="4">D9+S9</f>
        <v>7</v>
      </c>
      <c r="V9" s="16">
        <f t="shared" ref="V9:V14" si="5">K9+T9</f>
        <v>5</v>
      </c>
    </row>
    <row r="10" spans="1:23" ht="140.1" customHeight="1" x14ac:dyDescent="0.2">
      <c r="A10" s="86">
        <v>2</v>
      </c>
      <c r="B10" s="90" t="s">
        <v>91</v>
      </c>
      <c r="C10" s="91" t="s">
        <v>95</v>
      </c>
      <c r="D10" s="21">
        <v>3</v>
      </c>
      <c r="E10" s="13" t="s">
        <v>47</v>
      </c>
      <c r="F10" s="74" t="str">
        <f t="shared" si="0"/>
        <v>M</v>
      </c>
      <c r="G10" s="159" t="s">
        <v>96</v>
      </c>
      <c r="H10" s="160"/>
      <c r="I10" s="161"/>
      <c r="J10" s="162"/>
      <c r="K10" s="21">
        <v>1</v>
      </c>
      <c r="L10" s="13" t="s">
        <v>48</v>
      </c>
      <c r="M10" s="66" t="str">
        <f t="shared" si="1"/>
        <v>L</v>
      </c>
      <c r="Q10" s="15"/>
      <c r="R10" s="16"/>
      <c r="S10" s="20">
        <f t="shared" si="2"/>
        <v>4</v>
      </c>
      <c r="T10" s="20">
        <f t="shared" si="3"/>
        <v>4</v>
      </c>
      <c r="U10" s="16">
        <f t="shared" si="4"/>
        <v>7</v>
      </c>
      <c r="V10" s="16">
        <f t="shared" si="5"/>
        <v>5</v>
      </c>
    </row>
    <row r="11" spans="1:23" ht="171.6" customHeight="1" x14ac:dyDescent="0.2">
      <c r="A11" s="86">
        <v>3</v>
      </c>
      <c r="B11" s="90" t="s">
        <v>97</v>
      </c>
      <c r="C11" s="91" t="s">
        <v>98</v>
      </c>
      <c r="D11" s="21">
        <v>3</v>
      </c>
      <c r="E11" s="13" t="s">
        <v>49</v>
      </c>
      <c r="F11" s="74" t="str">
        <f t="shared" si="0"/>
        <v>M</v>
      </c>
      <c r="G11" s="159" t="s">
        <v>99</v>
      </c>
      <c r="H11" s="160"/>
      <c r="I11" s="161"/>
      <c r="J11" s="162"/>
      <c r="K11" s="21">
        <v>2</v>
      </c>
      <c r="L11" s="13" t="s">
        <v>50</v>
      </c>
      <c r="M11" s="66" t="str">
        <f t="shared" si="1"/>
        <v>M</v>
      </c>
      <c r="Q11" s="15"/>
      <c r="R11" s="16"/>
      <c r="S11" s="20">
        <f t="shared" si="2"/>
        <v>4</v>
      </c>
      <c r="T11" s="20">
        <f t="shared" si="3"/>
        <v>4</v>
      </c>
      <c r="U11" s="16">
        <f t="shared" si="4"/>
        <v>7</v>
      </c>
      <c r="V11" s="16">
        <f t="shared" si="5"/>
        <v>6</v>
      </c>
    </row>
    <row r="12" spans="1:23" ht="135" customHeight="1" x14ac:dyDescent="0.2">
      <c r="A12" s="86">
        <v>4</v>
      </c>
      <c r="B12" s="90" t="s">
        <v>97</v>
      </c>
      <c r="C12" s="91" t="s">
        <v>100</v>
      </c>
      <c r="D12" s="21">
        <v>3</v>
      </c>
      <c r="E12" s="13" t="s">
        <v>51</v>
      </c>
      <c r="F12" s="74" t="str">
        <f t="shared" si="0"/>
        <v>M</v>
      </c>
      <c r="G12" s="159" t="s">
        <v>101</v>
      </c>
      <c r="H12" s="160"/>
      <c r="I12" s="161"/>
      <c r="J12" s="162"/>
      <c r="K12" s="21">
        <v>1</v>
      </c>
      <c r="L12" s="13" t="s">
        <v>52</v>
      </c>
      <c r="M12" s="66" t="str">
        <f t="shared" si="1"/>
        <v>L</v>
      </c>
      <c r="Q12" s="15"/>
      <c r="R12" s="16"/>
      <c r="S12" s="20">
        <f t="shared" si="2"/>
        <v>4</v>
      </c>
      <c r="T12" s="20">
        <f t="shared" si="3"/>
        <v>4</v>
      </c>
      <c r="U12" s="16">
        <f t="shared" si="4"/>
        <v>7</v>
      </c>
      <c r="V12" s="16">
        <f t="shared" si="5"/>
        <v>5</v>
      </c>
    </row>
    <row r="13" spans="1:23" ht="81.599999999999994" customHeight="1" x14ac:dyDescent="0.2">
      <c r="A13" s="86">
        <v>5</v>
      </c>
      <c r="B13" s="90" t="s">
        <v>97</v>
      </c>
      <c r="C13" s="91" t="s">
        <v>102</v>
      </c>
      <c r="D13" s="21">
        <v>3</v>
      </c>
      <c r="E13" s="13" t="s">
        <v>53</v>
      </c>
      <c r="F13" s="74" t="str">
        <f t="shared" si="0"/>
        <v>M</v>
      </c>
      <c r="G13" s="159" t="s">
        <v>103</v>
      </c>
      <c r="H13" s="160"/>
      <c r="I13" s="161"/>
      <c r="J13" s="162"/>
      <c r="K13" s="21">
        <v>1</v>
      </c>
      <c r="L13" s="13" t="s">
        <v>54</v>
      </c>
      <c r="M13" s="66" t="str">
        <f t="shared" si="1"/>
        <v>L</v>
      </c>
      <c r="Q13" s="15"/>
      <c r="R13" s="16"/>
      <c r="S13" s="20">
        <f t="shared" si="2"/>
        <v>4</v>
      </c>
      <c r="T13" s="20">
        <f t="shared" si="3"/>
        <v>4</v>
      </c>
      <c r="U13" s="16">
        <f t="shared" si="4"/>
        <v>7</v>
      </c>
      <c r="V13" s="16">
        <f t="shared" si="5"/>
        <v>5</v>
      </c>
    </row>
    <row r="14" spans="1:23" ht="15" x14ac:dyDescent="0.2">
      <c r="A14" s="86">
        <v>6</v>
      </c>
      <c r="B14" s="87"/>
      <c r="C14" s="14"/>
      <c r="D14" s="21"/>
      <c r="E14" s="13"/>
      <c r="F14" s="74" t="str">
        <f t="shared" si="0"/>
        <v/>
      </c>
      <c r="G14" s="156"/>
      <c r="H14" s="157"/>
      <c r="I14" s="157"/>
      <c r="J14" s="158"/>
      <c r="K14" s="21"/>
      <c r="L14" s="13"/>
      <c r="M14" s="66" t="str">
        <f t="shared" si="1"/>
        <v/>
      </c>
      <c r="Q14" s="15"/>
      <c r="R14" s="16"/>
      <c r="S14" s="20" t="str">
        <f t="shared" si="2"/>
        <v/>
      </c>
      <c r="T14" s="20" t="str">
        <f t="shared" si="3"/>
        <v/>
      </c>
      <c r="U14" s="16" t="e">
        <f t="shared" si="4"/>
        <v>#VALUE!</v>
      </c>
      <c r="V14" s="16" t="e">
        <f t="shared" si="5"/>
        <v>#VALUE!</v>
      </c>
    </row>
    <row r="15" spans="1:23" x14ac:dyDescent="0.2">
      <c r="A15" s="60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9"/>
    </row>
    <row r="16" spans="1:23" ht="32.450000000000003" customHeight="1" x14ac:dyDescent="0.2">
      <c r="A16" s="113" t="s">
        <v>104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5"/>
    </row>
    <row r="17" spans="1:17" ht="35.450000000000003" customHeight="1" x14ac:dyDescent="0.2">
      <c r="A17" s="152" t="s">
        <v>105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</row>
    <row r="18" spans="1:17" ht="22.5" customHeight="1" x14ac:dyDescent="0.2">
      <c r="A18" s="153" t="s">
        <v>106</v>
      </c>
      <c r="B18" s="154"/>
      <c r="C18" s="154"/>
      <c r="D18" s="155"/>
      <c r="E18" s="155"/>
      <c r="F18" s="155"/>
      <c r="G18" s="155"/>
      <c r="H18" s="71"/>
      <c r="I18" s="71"/>
      <c r="J18" s="71"/>
      <c r="K18" s="71"/>
      <c r="L18" s="72"/>
      <c r="M18" s="73"/>
    </row>
    <row r="19" spans="1:17" ht="47.1" customHeight="1" x14ac:dyDescent="0.2">
      <c r="A19" s="136" t="s">
        <v>107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8"/>
    </row>
    <row r="20" spans="1:17" s="9" customFormat="1" ht="21.95" customHeight="1" x14ac:dyDescent="0.2">
      <c r="A20" s="142" t="s">
        <v>175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8"/>
      <c r="N20" s="8"/>
      <c r="O20" s="8"/>
      <c r="P20" s="8"/>
      <c r="Q20" s="17"/>
    </row>
    <row r="21" spans="1:17" s="9" customFormat="1" ht="45" customHeight="1" x14ac:dyDescent="0.2">
      <c r="A21" s="67">
        <v>1</v>
      </c>
      <c r="B21" s="116" t="s">
        <v>108</v>
      </c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8"/>
      <c r="N21" s="8"/>
      <c r="O21" s="8"/>
      <c r="P21" s="8"/>
      <c r="Q21" s="17"/>
    </row>
    <row r="22" spans="1:17" s="9" customFormat="1" ht="45" customHeight="1" x14ac:dyDescent="0.2">
      <c r="A22" s="67">
        <v>2</v>
      </c>
      <c r="B22" s="116" t="s">
        <v>109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8"/>
      <c r="O22" s="8"/>
      <c r="P22" s="8"/>
      <c r="Q22" s="17"/>
    </row>
    <row r="23" spans="1:17" s="9" customFormat="1" ht="45" customHeight="1" x14ac:dyDescent="0.2">
      <c r="A23" s="67">
        <v>3</v>
      </c>
      <c r="B23" s="116" t="s">
        <v>110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8"/>
      <c r="N23" s="8"/>
      <c r="P23" s="8"/>
      <c r="Q23" s="17"/>
    </row>
    <row r="24" spans="1:17" s="9" customFormat="1" ht="45" customHeight="1" x14ac:dyDescent="0.2">
      <c r="A24" s="67">
        <v>4</v>
      </c>
      <c r="B24" s="116" t="s">
        <v>111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8"/>
      <c r="N24" s="8"/>
      <c r="P24" s="8"/>
      <c r="Q24" s="17"/>
    </row>
    <row r="25" spans="1:17" s="9" customFormat="1" ht="45" customHeight="1" x14ac:dyDescent="0.2">
      <c r="A25" s="67">
        <v>5</v>
      </c>
      <c r="B25" s="116" t="s">
        <v>112</v>
      </c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8"/>
      <c r="N25" s="8"/>
      <c r="P25" s="8"/>
      <c r="Q25" s="17"/>
    </row>
    <row r="26" spans="1:17" s="9" customFormat="1" ht="45" customHeight="1" x14ac:dyDescent="0.2">
      <c r="A26" s="67">
        <v>6</v>
      </c>
      <c r="B26" s="116" t="s">
        <v>113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8"/>
      <c r="N26" s="8"/>
      <c r="P26" s="8"/>
      <c r="Q26" s="17"/>
    </row>
    <row r="27" spans="1:17" s="9" customFormat="1" ht="45" customHeight="1" x14ac:dyDescent="0.2">
      <c r="A27" s="67">
        <v>7</v>
      </c>
      <c r="B27" s="116" t="s">
        <v>114</v>
      </c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8"/>
      <c r="N27" s="8"/>
      <c r="P27" s="8"/>
      <c r="Q27" s="17"/>
    </row>
    <row r="28" spans="1:17" s="9" customFormat="1" ht="45" customHeight="1" x14ac:dyDescent="0.2">
      <c r="A28" s="67">
        <v>8</v>
      </c>
      <c r="B28" s="116" t="s">
        <v>115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8"/>
      <c r="N28" s="8"/>
      <c r="P28" s="8"/>
      <c r="Q28" s="17"/>
    </row>
    <row r="29" spans="1:17" s="9" customFormat="1" ht="45" customHeight="1" x14ac:dyDescent="0.2">
      <c r="A29" s="67">
        <v>9</v>
      </c>
      <c r="B29" s="116" t="s">
        <v>116</v>
      </c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  <c r="N29" s="8"/>
      <c r="P29" s="8"/>
      <c r="Q29" s="17"/>
    </row>
    <row r="30" spans="1:17" s="9" customFormat="1" ht="45" customHeight="1" x14ac:dyDescent="0.2">
      <c r="A30" s="67">
        <v>10</v>
      </c>
      <c r="B30" s="133" t="s">
        <v>117</v>
      </c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/>
      <c r="N30" s="8"/>
      <c r="P30" s="8"/>
      <c r="Q30" s="17"/>
    </row>
    <row r="31" spans="1:17" s="9" customFormat="1" ht="45" customHeight="1" x14ac:dyDescent="0.2">
      <c r="A31" s="67">
        <v>11</v>
      </c>
      <c r="B31" s="116" t="s">
        <v>118</v>
      </c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  <c r="N31" s="8"/>
      <c r="P31" s="8"/>
      <c r="Q31" s="17"/>
    </row>
    <row r="32" spans="1:17" s="9" customFormat="1" ht="45" customHeight="1" x14ac:dyDescent="0.2">
      <c r="A32" s="67">
        <v>12</v>
      </c>
      <c r="B32" s="116" t="s">
        <v>119</v>
      </c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8"/>
      <c r="N32" s="8"/>
      <c r="P32" s="8"/>
      <c r="Q32" s="17"/>
    </row>
    <row r="33" spans="1:17" s="9" customFormat="1" ht="45" customHeight="1" x14ac:dyDescent="0.2">
      <c r="A33" s="67">
        <v>13</v>
      </c>
      <c r="B33" s="116" t="s">
        <v>120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8"/>
      <c r="N33" s="8"/>
      <c r="P33" s="8"/>
      <c r="Q33" s="17"/>
    </row>
    <row r="34" spans="1:17" s="9" customFormat="1" ht="45" customHeight="1" x14ac:dyDescent="0.2">
      <c r="A34" s="67">
        <v>14</v>
      </c>
      <c r="B34" s="116" t="s">
        <v>121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8"/>
      <c r="N34" s="8"/>
      <c r="P34" s="8"/>
      <c r="Q34" s="17"/>
    </row>
    <row r="35" spans="1:17" s="9" customFormat="1" ht="45" customHeight="1" x14ac:dyDescent="0.2">
      <c r="A35" s="67">
        <v>15</v>
      </c>
      <c r="B35" s="116" t="s">
        <v>122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8"/>
      <c r="Q35" s="18"/>
    </row>
    <row r="36" spans="1:17" ht="43.5" customHeight="1" x14ac:dyDescent="0.2">
      <c r="A36" s="110" t="s">
        <v>123</v>
      </c>
      <c r="B36" s="110"/>
      <c r="C36" s="110"/>
      <c r="D36" s="110"/>
      <c r="E36" s="110"/>
      <c r="F36" s="110"/>
      <c r="G36" s="110"/>
      <c r="H36" s="139"/>
      <c r="I36" s="139"/>
      <c r="J36" s="139"/>
      <c r="K36" s="139"/>
      <c r="L36" s="139"/>
      <c r="M36" s="139"/>
    </row>
    <row r="37" spans="1:17" ht="27.95" customHeight="1" x14ac:dyDescent="0.2">
      <c r="A37" s="122" t="s">
        <v>124</v>
      </c>
      <c r="B37" s="124"/>
      <c r="C37" s="77" t="s">
        <v>125</v>
      </c>
      <c r="D37" s="122" t="s">
        <v>126</v>
      </c>
      <c r="E37" s="123"/>
      <c r="F37" s="123"/>
      <c r="G37" s="124"/>
      <c r="H37" s="122" t="s">
        <v>127</v>
      </c>
      <c r="I37" s="123"/>
      <c r="J37" s="123"/>
      <c r="K37" s="123"/>
      <c r="L37" s="123"/>
      <c r="M37" s="124"/>
    </row>
    <row r="38" spans="1:17" ht="18" customHeight="1" x14ac:dyDescent="0.2">
      <c r="A38" s="141"/>
      <c r="B38" s="127"/>
      <c r="C38" s="99"/>
      <c r="D38" s="125"/>
      <c r="E38" s="126"/>
      <c r="F38" s="126"/>
      <c r="G38" s="127"/>
      <c r="H38" s="149"/>
      <c r="I38" s="150"/>
      <c r="J38" s="150"/>
      <c r="K38" s="150"/>
      <c r="L38" s="150"/>
      <c r="M38" s="151"/>
    </row>
    <row r="39" spans="1:17" ht="18" customHeight="1" x14ac:dyDescent="0.2">
      <c r="A39" s="141"/>
      <c r="B39" s="127"/>
      <c r="C39" s="99"/>
      <c r="D39" s="93"/>
      <c r="E39" s="94"/>
      <c r="F39" s="94"/>
      <c r="G39" s="95"/>
      <c r="H39" s="97"/>
      <c r="I39" s="98"/>
      <c r="J39" s="98"/>
      <c r="K39" s="98"/>
      <c r="L39" s="98"/>
      <c r="M39" s="96"/>
    </row>
    <row r="40" spans="1:17" ht="18" customHeight="1" x14ac:dyDescent="0.2">
      <c r="A40" s="93"/>
      <c r="B40" s="95"/>
      <c r="C40" s="6"/>
      <c r="D40" s="93"/>
      <c r="E40" s="94"/>
      <c r="F40" s="94"/>
      <c r="G40" s="95"/>
      <c r="H40" s="97"/>
      <c r="I40" s="98"/>
      <c r="J40" s="98"/>
      <c r="K40" s="98"/>
      <c r="L40" s="98"/>
      <c r="M40" s="96"/>
    </row>
    <row r="41" spans="1:17" ht="18" customHeight="1" x14ac:dyDescent="0.2">
      <c r="A41" s="93"/>
      <c r="B41" s="95"/>
      <c r="C41" s="6"/>
      <c r="D41" s="93"/>
      <c r="E41" s="94"/>
      <c r="F41" s="94"/>
      <c r="G41" s="95"/>
      <c r="H41" s="97"/>
      <c r="I41" s="98"/>
      <c r="J41" s="98"/>
      <c r="K41" s="98"/>
      <c r="L41" s="98"/>
      <c r="M41" s="96"/>
    </row>
    <row r="42" spans="1:17" ht="18" customHeight="1" x14ac:dyDescent="0.2">
      <c r="A42" s="93"/>
      <c r="B42" s="95"/>
      <c r="C42" s="6"/>
      <c r="D42" s="93"/>
      <c r="E42" s="94"/>
      <c r="F42" s="94"/>
      <c r="G42" s="95"/>
      <c r="H42" s="97"/>
      <c r="I42" s="98"/>
      <c r="J42" s="98"/>
      <c r="K42" s="98"/>
      <c r="L42" s="98"/>
      <c r="M42" s="96"/>
    </row>
    <row r="43" spans="1:17" ht="30.95" customHeight="1" x14ac:dyDescent="0.2">
      <c r="A43" s="133" t="s">
        <v>128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5"/>
    </row>
    <row r="44" spans="1:17" ht="33.6" customHeight="1" x14ac:dyDescent="0.2">
      <c r="A44" s="140" t="s">
        <v>129</v>
      </c>
      <c r="B44" s="140"/>
      <c r="C44" s="78" t="s">
        <v>130</v>
      </c>
      <c r="D44" s="143" t="s">
        <v>131</v>
      </c>
      <c r="E44" s="144"/>
      <c r="F44" s="145"/>
      <c r="G44" s="100"/>
      <c r="H44" s="101"/>
      <c r="I44" s="101"/>
      <c r="J44" s="101"/>
      <c r="K44" s="101"/>
      <c r="L44" s="101"/>
      <c r="M44" s="102"/>
    </row>
    <row r="45" spans="1:17" ht="24" customHeight="1" x14ac:dyDescent="0.2">
      <c r="A45" s="141"/>
      <c r="B45" s="132"/>
      <c r="C45" s="10"/>
      <c r="D45" s="146"/>
      <c r="E45" s="147"/>
      <c r="F45" s="148"/>
      <c r="G45" s="103"/>
      <c r="H45" s="104"/>
      <c r="I45" s="104"/>
      <c r="J45" s="104"/>
      <c r="K45" s="104"/>
      <c r="L45" s="104"/>
      <c r="M45" s="105"/>
    </row>
    <row r="46" spans="1:17" s="11" customFormat="1" ht="15" customHeight="1" x14ac:dyDescent="0.2">
      <c r="A46" s="6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70"/>
    </row>
    <row r="47" spans="1:17" ht="86.1" customHeight="1" x14ac:dyDescent="0.2">
      <c r="A47" s="128" t="s">
        <v>132</v>
      </c>
      <c r="B47" s="129"/>
      <c r="C47" s="130"/>
      <c r="D47" s="131"/>
      <c r="E47" s="131"/>
      <c r="F47" s="131"/>
      <c r="G47" s="131"/>
      <c r="H47" s="131"/>
      <c r="I47" s="131"/>
      <c r="J47" s="131"/>
      <c r="K47" s="131"/>
      <c r="L47" s="131"/>
      <c r="M47" s="132"/>
    </row>
    <row r="48" spans="1:17" s="12" customFormat="1" ht="24" customHeight="1" x14ac:dyDescent="0.2">
      <c r="A48" s="110" t="s">
        <v>133</v>
      </c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</row>
  </sheetData>
  <sheetProtection formatCells="0" formatColumns="0" formatRows="0" insertColumns="0" insertRows="0" insertHyperlinks="0" deleteColumns="0" deleteRows="0" sort="0" autoFilter="0" pivotTables="0"/>
  <mergeCells count="54">
    <mergeCell ref="A1:B4"/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  <mergeCell ref="A37:B37"/>
    <mergeCell ref="A38:B38"/>
    <mergeCell ref="A39:B39"/>
    <mergeCell ref="A17:M17"/>
    <mergeCell ref="B24:M24"/>
    <mergeCell ref="B25:M25"/>
    <mergeCell ref="B28:M28"/>
    <mergeCell ref="B27:M27"/>
    <mergeCell ref="A18:G18"/>
    <mergeCell ref="C47:M47"/>
    <mergeCell ref="A43:M43"/>
    <mergeCell ref="A19:M19"/>
    <mergeCell ref="B21:M21"/>
    <mergeCell ref="B22:M22"/>
    <mergeCell ref="B23:M23"/>
    <mergeCell ref="A36:M36"/>
    <mergeCell ref="A44:B44"/>
    <mergeCell ref="B26:M26"/>
    <mergeCell ref="A45:B45"/>
    <mergeCell ref="A20:M20"/>
    <mergeCell ref="D44:F45"/>
    <mergeCell ref="B30:M30"/>
    <mergeCell ref="B35:M35"/>
    <mergeCell ref="H37:M37"/>
    <mergeCell ref="H38:M38"/>
    <mergeCell ref="G44:M45"/>
    <mergeCell ref="A6:B6"/>
    <mergeCell ref="H7:J7"/>
    <mergeCell ref="A48:M48"/>
    <mergeCell ref="A7:B7"/>
    <mergeCell ref="A16:M16"/>
    <mergeCell ref="B29:M29"/>
    <mergeCell ref="B34:M34"/>
    <mergeCell ref="B31:M31"/>
    <mergeCell ref="B32:M32"/>
    <mergeCell ref="B33:M33"/>
    <mergeCell ref="K7:M7"/>
    <mergeCell ref="D7:F7"/>
    <mergeCell ref="D37:G37"/>
    <mergeCell ref="D38:G38"/>
    <mergeCell ref="A47:B47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4 D9:D14">
      <formula1>$Q$2:$Q$7</formula1>
    </dataValidation>
    <dataValidation type="list" allowBlank="1" showInputMessage="1" showErrorMessage="1" sqref="L9:L14 E9:E14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view="pageBreakPreview" zoomScaleSheetLayoutView="100" zoomScalePageLayoutView="80" workbookViewId="0">
      <selection activeCell="A10" sqref="A10:B10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5703125" style="3" hidden="1" customWidth="1"/>
    <col min="13" max="14" width="9.140625" style="3" hidden="1" customWidth="1"/>
    <col min="15" max="15" width="11.5703125" style="7" hidden="1" customWidth="1"/>
    <col min="16" max="16" width="13.425781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11" t="s">
        <v>70</v>
      </c>
      <c r="B1" s="212"/>
      <c r="C1" s="213"/>
      <c r="D1" s="53"/>
      <c r="E1" s="54"/>
      <c r="F1" s="54"/>
      <c r="G1" s="55"/>
      <c r="H1" s="56"/>
      <c r="I1" s="194" t="s">
        <v>55</v>
      </c>
      <c r="J1" s="195"/>
      <c r="O1" s="15" t="s">
        <v>56</v>
      </c>
      <c r="P1" s="15" t="s">
        <v>57</v>
      </c>
      <c r="Q1" s="15" t="s">
        <v>58</v>
      </c>
      <c r="R1" s="15" t="s">
        <v>59</v>
      </c>
      <c r="S1" s="15" t="s">
        <v>60</v>
      </c>
      <c r="T1" s="15" t="s">
        <v>61</v>
      </c>
      <c r="U1" s="19" t="s">
        <v>62</v>
      </c>
      <c r="V1" s="2"/>
    </row>
    <row r="2" spans="1:22" ht="25.5" customHeight="1" x14ac:dyDescent="0.2">
      <c r="A2" s="214"/>
      <c r="B2" s="215"/>
      <c r="C2" s="216"/>
      <c r="D2" s="200" t="s">
        <v>135</v>
      </c>
      <c r="E2" s="182"/>
      <c r="F2" s="182"/>
      <c r="G2" s="182"/>
      <c r="H2" s="183"/>
      <c r="I2" s="196" t="s">
        <v>134</v>
      </c>
      <c r="J2" s="197"/>
      <c r="N2" s="7"/>
      <c r="O2" s="15">
        <v>1</v>
      </c>
      <c r="P2" s="15" t="s">
        <v>63</v>
      </c>
      <c r="Q2" s="16"/>
      <c r="R2" s="16"/>
      <c r="S2" s="16"/>
      <c r="T2" s="16"/>
      <c r="U2" s="19" t="s">
        <v>64</v>
      </c>
      <c r="V2" s="5"/>
    </row>
    <row r="3" spans="1:22" ht="33" customHeight="1" x14ac:dyDescent="0.2">
      <c r="A3" s="217"/>
      <c r="B3" s="218"/>
      <c r="C3" s="219"/>
      <c r="D3" s="79"/>
      <c r="E3" s="80"/>
      <c r="F3" s="80"/>
      <c r="G3" s="80"/>
      <c r="H3" s="81"/>
      <c r="I3" s="198" t="s">
        <v>73</v>
      </c>
      <c r="J3" s="199"/>
      <c r="K3" s="50"/>
      <c r="L3" s="50"/>
      <c r="M3" s="23"/>
    </row>
    <row r="4" spans="1:22" ht="18.75" thickBo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23"/>
    </row>
    <row r="5" spans="1:22" ht="18" customHeight="1" thickBot="1" x14ac:dyDescent="0.25">
      <c r="A5" s="205" t="s">
        <v>86</v>
      </c>
      <c r="B5" s="206"/>
      <c r="C5" s="186" t="s">
        <v>136</v>
      </c>
      <c r="D5" s="187"/>
      <c r="E5" s="187"/>
      <c r="F5" s="187"/>
      <c r="G5" s="188"/>
      <c r="H5" s="186" t="s">
        <v>137</v>
      </c>
      <c r="I5" s="187"/>
      <c r="J5" s="187"/>
      <c r="K5" s="187"/>
      <c r="L5" s="188"/>
      <c r="M5" s="23"/>
    </row>
    <row r="6" spans="1:22" ht="20.25" customHeight="1" thickBot="1" x14ac:dyDescent="0.25">
      <c r="A6" s="207"/>
      <c r="B6" s="208"/>
      <c r="C6" s="189" t="s">
        <v>138</v>
      </c>
      <c r="D6" s="189" t="s">
        <v>139</v>
      </c>
      <c r="E6" s="189" t="s">
        <v>140</v>
      </c>
      <c r="F6" s="189" t="s">
        <v>141</v>
      </c>
      <c r="G6" s="189" t="s">
        <v>142</v>
      </c>
      <c r="H6" s="82" t="s">
        <v>65</v>
      </c>
      <c r="I6" s="82" t="s">
        <v>66</v>
      </c>
      <c r="J6" s="82" t="s">
        <v>67</v>
      </c>
      <c r="K6" s="22" t="s">
        <v>68</v>
      </c>
      <c r="L6" s="22" t="s">
        <v>69</v>
      </c>
      <c r="M6" s="23"/>
    </row>
    <row r="7" spans="1:22" ht="137.1" customHeight="1" x14ac:dyDescent="0.2">
      <c r="A7" s="207"/>
      <c r="B7" s="208"/>
      <c r="C7" s="190"/>
      <c r="D7" s="190"/>
      <c r="E7" s="190"/>
      <c r="F7" s="190"/>
      <c r="G7" s="190"/>
      <c r="H7" s="83" t="s">
        <v>143</v>
      </c>
      <c r="I7" s="83" t="s">
        <v>144</v>
      </c>
      <c r="J7" s="83" t="s">
        <v>145</v>
      </c>
      <c r="K7" s="24" t="s">
        <v>41</v>
      </c>
      <c r="L7" s="24" t="s">
        <v>42</v>
      </c>
      <c r="M7" s="23"/>
    </row>
    <row r="8" spans="1:22" ht="12.75" customHeight="1" x14ac:dyDescent="0.2">
      <c r="A8" s="207"/>
      <c r="B8" s="208"/>
      <c r="C8" s="190"/>
      <c r="D8" s="190"/>
      <c r="E8" s="190"/>
      <c r="F8" s="190"/>
      <c r="G8" s="190"/>
      <c r="H8" s="184" t="s">
        <v>146</v>
      </c>
      <c r="I8" s="184" t="s">
        <v>147</v>
      </c>
      <c r="J8" s="184" t="s">
        <v>148</v>
      </c>
      <c r="K8" s="184" t="s">
        <v>15</v>
      </c>
      <c r="L8" s="184" t="s">
        <v>43</v>
      </c>
      <c r="M8" s="23"/>
    </row>
    <row r="9" spans="1:22" ht="23.45" customHeight="1" thickBot="1" x14ac:dyDescent="0.25">
      <c r="A9" s="209"/>
      <c r="B9" s="210"/>
      <c r="C9" s="191"/>
      <c r="D9" s="191"/>
      <c r="E9" s="191"/>
      <c r="F9" s="191"/>
      <c r="G9" s="191"/>
      <c r="H9" s="185"/>
      <c r="I9" s="185"/>
      <c r="J9" s="185"/>
      <c r="K9" s="185"/>
      <c r="L9" s="185"/>
      <c r="M9" s="23"/>
    </row>
    <row r="10" spans="1:22" ht="65.099999999999994" customHeight="1" x14ac:dyDescent="0.2">
      <c r="A10" s="201">
        <v>1</v>
      </c>
      <c r="B10" s="202"/>
      <c r="C10" s="39" t="s">
        <v>149</v>
      </c>
      <c r="D10" s="39" t="s">
        <v>150</v>
      </c>
      <c r="E10" s="39" t="s">
        <v>151</v>
      </c>
      <c r="F10" s="39" t="s">
        <v>152</v>
      </c>
      <c r="G10" s="40" t="s">
        <v>153</v>
      </c>
      <c r="H10" s="31" t="s">
        <v>16</v>
      </c>
      <c r="I10" s="32" t="s">
        <v>17</v>
      </c>
      <c r="J10" s="32" t="s">
        <v>18</v>
      </c>
      <c r="K10" s="41" t="s">
        <v>19</v>
      </c>
      <c r="L10" s="33" t="s">
        <v>20</v>
      </c>
      <c r="M10" s="23"/>
    </row>
    <row r="11" spans="1:22" ht="65.45" customHeight="1" x14ac:dyDescent="0.2">
      <c r="A11" s="203">
        <v>2</v>
      </c>
      <c r="B11" s="204"/>
      <c r="C11" s="25" t="s">
        <v>154</v>
      </c>
      <c r="D11" s="25" t="s">
        <v>155</v>
      </c>
      <c r="E11" s="39" t="s">
        <v>156</v>
      </c>
      <c r="F11" s="25" t="s">
        <v>157</v>
      </c>
      <c r="G11" s="29" t="s">
        <v>158</v>
      </c>
      <c r="H11" s="34" t="s">
        <v>21</v>
      </c>
      <c r="I11" s="35" t="s">
        <v>22</v>
      </c>
      <c r="J11" s="35" t="s">
        <v>23</v>
      </c>
      <c r="K11" s="36" t="s">
        <v>24</v>
      </c>
      <c r="L11" s="37" t="s">
        <v>25</v>
      </c>
      <c r="M11" s="23"/>
    </row>
    <row r="12" spans="1:22" ht="65.099999999999994" customHeight="1" x14ac:dyDescent="0.2">
      <c r="A12" s="203">
        <v>3</v>
      </c>
      <c r="B12" s="204"/>
      <c r="C12" s="25" t="s">
        <v>159</v>
      </c>
      <c r="D12" s="25" t="s">
        <v>160</v>
      </c>
      <c r="E12" s="39" t="s">
        <v>161</v>
      </c>
      <c r="F12" s="25" t="s">
        <v>162</v>
      </c>
      <c r="G12" s="29" t="s">
        <v>163</v>
      </c>
      <c r="H12" s="34" t="s">
        <v>26</v>
      </c>
      <c r="I12" s="35" t="s">
        <v>27</v>
      </c>
      <c r="J12" s="36" t="s">
        <v>28</v>
      </c>
      <c r="K12" s="36" t="s">
        <v>29</v>
      </c>
      <c r="L12" s="42" t="s">
        <v>30</v>
      </c>
      <c r="M12" s="23"/>
    </row>
    <row r="13" spans="1:22" ht="65.099999999999994" customHeight="1" x14ac:dyDescent="0.2">
      <c r="A13" s="203">
        <v>4</v>
      </c>
      <c r="B13" s="204"/>
      <c r="C13" s="25" t="s">
        <v>164</v>
      </c>
      <c r="D13" s="25" t="s">
        <v>165</v>
      </c>
      <c r="E13" s="39" t="s">
        <v>166</v>
      </c>
      <c r="F13" s="25" t="s">
        <v>167</v>
      </c>
      <c r="G13" s="29" t="s">
        <v>168</v>
      </c>
      <c r="H13" s="34" t="s">
        <v>31</v>
      </c>
      <c r="I13" s="36" t="s">
        <v>32</v>
      </c>
      <c r="J13" s="36" t="s">
        <v>33</v>
      </c>
      <c r="K13" s="43" t="s">
        <v>34</v>
      </c>
      <c r="L13" s="42" t="s">
        <v>35</v>
      </c>
      <c r="M13" s="23"/>
    </row>
    <row r="14" spans="1:22" ht="65.099999999999994" customHeight="1" thickBot="1" x14ac:dyDescent="0.25">
      <c r="A14" s="192">
        <v>5</v>
      </c>
      <c r="B14" s="193"/>
      <c r="C14" s="26" t="s">
        <v>169</v>
      </c>
      <c r="D14" s="26" t="s">
        <v>170</v>
      </c>
      <c r="E14" s="26" t="s">
        <v>171</v>
      </c>
      <c r="F14" s="26" t="s">
        <v>172</v>
      </c>
      <c r="G14" s="30" t="s">
        <v>173</v>
      </c>
      <c r="H14" s="46" t="s">
        <v>36</v>
      </c>
      <c r="I14" s="38" t="s">
        <v>37</v>
      </c>
      <c r="J14" s="44" t="s">
        <v>38</v>
      </c>
      <c r="K14" s="44" t="s">
        <v>39</v>
      </c>
      <c r="L14" s="45" t="s">
        <v>40</v>
      </c>
      <c r="M14" s="23"/>
    </row>
    <row r="15" spans="1:22" x14ac:dyDescent="0.2">
      <c r="A15" s="48"/>
      <c r="B15" s="48"/>
      <c r="C15" s="49"/>
      <c r="D15" s="49"/>
      <c r="E15" s="49"/>
      <c r="F15" s="49"/>
      <c r="G15" s="49"/>
      <c r="H15" s="27"/>
      <c r="I15" s="27"/>
      <c r="J15" s="27"/>
      <c r="K15" s="28"/>
      <c r="L15" s="28"/>
      <c r="M15" s="23"/>
    </row>
    <row r="16" spans="1:22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44.2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45.6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24.75" customHeight="1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86.1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3.5" customHeigh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</sheetData>
  <sheetProtection selectLockedCells="1" selectUnlockedCells="1"/>
  <mergeCells count="23"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aa5c77d-98fa-4e50-863f-182fb51ee117"/>
    <ds:schemaRef ds:uri="5470fdc2-d5b4-45ba-ae4a-b04105b307e7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2018-09-20T07:18:42Z</cp:lastPrinted>
  <dcterms:created xsi:type="dcterms:W3CDTF">2011-02-21T14:14:41Z</dcterms:created>
  <dcterms:modified xsi:type="dcterms:W3CDTF">2024-07-21T12:50:59Z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