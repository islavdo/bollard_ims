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57B41FC9-D729-4815-896C-EDD3913B38D6}" xr6:coauthVersionLast="47" xr6:coauthVersionMax="47" xr10:uidLastSave="{00000000-0000-0000-0000-000000000000}"/>
  <bookViews>
    <workbookView xWindow="-120" yWindow="-120" windowWidth="29040" windowHeight="15720" tabRatio="307" activeTab="1" xr2:uid="{00000000-000D-0000-FFFF-FFFF00000000}"/>
  </bookViews>
  <sheets>
    <sheet name="АСОР" sheetId="1" r:id="rId1"/>
    <sheet name="МОР" sheetId="5" r:id="rId2"/>
  </sheets>
  <definedNames>
    <definedName name="Strongly_emphasise_each_individual_s__71" localSheetId="0">АСОР!$O$63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АСОР!$A$1:$M$44</definedName>
    <definedName name="_xlnm.Print_Area" localSheetId="1">МОР!$A$1:$V$34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" l="1"/>
  <c r="V18" i="1"/>
  <c r="S22" i="1"/>
  <c r="U22" i="1"/>
  <c r="S18" i="1"/>
  <c r="U18" i="1"/>
  <c r="T22" i="1"/>
  <c r="V22" i="1"/>
  <c r="T14" i="1"/>
  <c r="V14" i="1"/>
  <c r="S14" i="1"/>
  <c r="U14" i="1"/>
  <c r="T13" i="1"/>
  <c r="V13" i="1"/>
  <c r="S13" i="1"/>
  <c r="U13" i="1"/>
  <c r="T12" i="1"/>
  <c r="V12" i="1"/>
  <c r="S12" i="1"/>
  <c r="U12" i="1"/>
  <c r="T11" i="1"/>
  <c r="V11" i="1"/>
  <c r="S11" i="1"/>
  <c r="U11" i="1"/>
  <c r="M11" i="1"/>
  <c r="T10" i="1"/>
  <c r="V10" i="1"/>
  <c r="S10" i="1"/>
  <c r="U10" i="1"/>
  <c r="M10" i="1"/>
  <c r="F10" i="1"/>
  <c r="S17" i="1"/>
  <c r="U17" i="1"/>
  <c r="T17" i="1"/>
  <c r="V17" i="1"/>
  <c r="T16" i="1"/>
  <c r="V16" i="1"/>
  <c r="S16" i="1"/>
  <c r="U16" i="1"/>
  <c r="T30" i="1"/>
  <c r="V30" i="1"/>
  <c r="S30" i="1"/>
  <c r="U30" i="1"/>
  <c r="T29" i="1"/>
  <c r="V29" i="1"/>
  <c r="S29" i="1"/>
  <c r="U29" i="1"/>
  <c r="T28" i="1"/>
  <c r="V28" i="1"/>
  <c r="S28" i="1"/>
  <c r="U28" i="1"/>
  <c r="T27" i="1"/>
  <c r="V27" i="1"/>
  <c r="S27" i="1"/>
  <c r="U27" i="1"/>
  <c r="T26" i="1"/>
  <c r="V26" i="1"/>
  <c r="S26" i="1"/>
  <c r="U26" i="1"/>
  <c r="T25" i="1"/>
  <c r="V25" i="1"/>
  <c r="S25" i="1"/>
  <c r="U25" i="1"/>
  <c r="T24" i="1"/>
  <c r="V24" i="1"/>
  <c r="S24" i="1"/>
  <c r="U24" i="1"/>
  <c r="T23" i="1"/>
  <c r="V23" i="1"/>
  <c r="S23" i="1"/>
  <c r="U23" i="1"/>
  <c r="T15" i="1"/>
  <c r="V15" i="1"/>
  <c r="S15" i="1"/>
  <c r="U15" i="1"/>
  <c r="S9" i="1"/>
  <c r="U9" i="1"/>
  <c r="T9" i="1"/>
  <c r="V9" i="1"/>
  <c r="M9" i="1"/>
  <c r="U8" i="1"/>
</calcChain>
</file>

<file path=xl/sharedStrings.xml><?xml version="1.0" encoding="utf-8"?>
<sst xmlns="http://schemas.openxmlformats.org/spreadsheetml/2006/main" count="169" uniqueCount="146">
  <si>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</si>
  <si>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</si>
  <si>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</si>
  <si>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</si>
  <si>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</si>
  <si>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</si>
  <si>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</si>
  <si>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</si>
  <si>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</si>
  <si>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</si>
  <si>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</si>
  <si>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</si>
  <si>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</si>
  <si>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</si>
  <si>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</si>
  <si>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</si>
  <si>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</si>
  <si>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</si>
  <si>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</si>
  <si>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</si>
  <si>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</si>
  <si>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</si>
  <si>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</si>
  <si>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</si>
  <si>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</si>
  <si>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</si>
  <si>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</si>
  <si>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</si>
  <si>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</si>
  <si>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</si>
  <si>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</si>
  <si>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</si>
  <si>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</si>
  <si>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</si>
  <si>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</si>
  <si>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</si>
  <si>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</si>
  <si>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</si>
  <si>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</si>
  <si>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</si>
  <si>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</si>
  <si>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</si>
  <si>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</si>
  <si>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</si>
  <si>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</si>
  <si>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</si>
  <si>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</si>
  <si>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</si>
  <si>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</si>
  <si>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 xml:space="preserve">       Маневрирование
</t>
  </si>
  <si>
    <t>Основные работы в плохую погоду</t>
  </si>
  <si>
    <t xml:space="preserve">Маневрирование буксира
</t>
  </si>
  <si>
    <t xml:space="preserve">Работа при ограниченной видимости
</t>
  </si>
  <si>
    <t>Этапы работ</t>
  </si>
  <si>
    <t xml:space="preserve"> Этап</t>
  </si>
  <si>
    <t>Название судна</t>
  </si>
  <si>
    <t>Дата</t>
  </si>
  <si>
    <t xml:space="preserve"> Описание работ</t>
  </si>
  <si>
    <t>Оборудование</t>
  </si>
  <si>
    <t>R Остаточный риск</t>
  </si>
  <si>
    <t xml:space="preserve"> Номер оценки рисков</t>
  </si>
  <si>
    <t xml:space="preserve"> Источник опасности / Энергия / Сценарий потенциального несчастного случая</t>
  </si>
  <si>
    <t xml:space="preserve"> Меры контроля для снижения риска</t>
  </si>
  <si>
    <t xml:space="preserve"> Исходный риск</t>
  </si>
  <si>
    <t>Степень тяжести</t>
  </si>
  <si>
    <t>Вероятность</t>
  </si>
  <si>
    <t>Риск</t>
  </si>
  <si>
    <t xml:space="preserve">Необходимо установить погодные параметры для безопасной работы в море. Необходимо регулярно получать прогнозы погоды. Оборудование палубы и машинного отделения должно быть закреплено для предотвращения движения в море. Персонал должен использовать соответствующие СИЗ, каски, защитные ботинки, перчатки, защитные очки, комбинезоны и спасательные жилеты. Капитан и, по возможности, персонал не должны выходить на палубу в плохую погоду. 
Если члену экипажа необходимо выйти на палубу, он должен использовать спасательный жилет и сообщить об этом другому члену экипажа. Люки и водонепроницаемые двери/вентиляционные отверстия на главной палубе должны быть закрыты в плохую погоду. Необходимо регулярно проводить инструктаж по работе в плохую погоду. </t>
  </si>
  <si>
    <t xml:space="preserve">Система планового технического обслуживания действует и хорошо выполняется. Осмотр машинного отделения перед началом оказания помощи. Дальнейшее обучение экипажа машинного отделения и супервайзеров. Двойная силовая установка. Частые тренировки по аварийному маневрированию. Проверять наличие плавающих объектов при маневрировании. Проверка водонепроницаемости (водонепроницаемые двери закрыты) Обсуждение возможности составления контрольного чек-листа перед выходом в рейс. Регулярные медицинские осмотры. Соблюдение юридических требований к отдыху. Соблюдение политики в отношении алкоголя и наркотиков (тестирование на алкоголь и наркотики). Установить возможность открытой внутренней связи. Оценка рисков перед началом работы Должны быть разработаны аварийные процедуры на случай отказа силовой установки и/или рулевого управления. Необходимо иметь в штате квалифицированный и опытный персонал и регулярно проводить оценку его квалификации. Должны быть установлены погодные параметры для безопасной работы в море. Получите прогноз погоды до начала работ. Следите за погодными условиями. Персонал должен использовать соответствующие СИЗ, каски, защитные ботинки, перчатки, защитные очки, комбинезоны и спасательные жилеты. Необходимо регулярно проводить инструктаж по работе в плохую погоду. Четкая коммуникация между всеми участниками процесса. 
</t>
  </si>
  <si>
    <t>Во время нахождения судна в море необходимо нести вахту на мостике. В условиях ограниченной видимости необходимо выставить дополнительного впередсмотрящего. Судно должно маневрировать со скоростью, соответствующей видимости. Навигационные средства должны быть исправны и использоваться, например, радар, эхолот, поисковые огни. Должен быть разработан и использоваться план прохода. Необходимо поддерживать связь с диспетчером порта. Персонал, не участвующий в навигации судна, не должен находиться на мостике. При ограниченной видимости необходимо иметь и выполнять постоянные приказы капитана. Убедитесь, что используются правильные дневные и ночные сигналы. Хорошая связь со всеми заинтересованными сторонами должна быть обеспечена.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</si>
  <si>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</si>
  <si>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</si>
  <si>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</si>
  <si>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</si>
  <si>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проверить следующие пункты: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</si>
  <si>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</si>
  <si>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</si>
  <si>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</si>
  <si>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</si>
  <si>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</si>
  <si>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 xml:space="preserve"> 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</si>
  <si>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</si>
  <si>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</si>
  <si>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</si>
  <si>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</si>
  <si>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</si>
  <si>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</si>
  <si>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</si>
  <si>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</si>
  <si>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</si>
  <si>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</si>
  <si>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 xml:space="preserve"> ФИО</t>
  </si>
  <si>
    <t>Должность</t>
  </si>
  <si>
    <t xml:space="preserve"> Подпись</t>
  </si>
  <si>
    <t xml:space="preserve"> 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</si>
  <si>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</si>
  <si>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</si>
  <si>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</si>
  <si>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</si>
  <si>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</si>
  <si>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</si>
  <si>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</si>
  <si>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</si>
  <si>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</si>
  <si>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</si>
  <si>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Возрастающая вероятность</t>
  </si>
  <si>
    <t>Последствия</t>
  </si>
  <si>
    <t>Люди</t>
  </si>
  <si>
    <t>Окружающая среда</t>
  </si>
  <si>
    <t>Имущество</t>
  </si>
  <si>
    <t xml:space="preserve"> Репутация</t>
  </si>
  <si>
    <t>Возможно</t>
  </si>
  <si>
    <t>Маловероятно</t>
  </si>
  <si>
    <t xml:space="preserve"> Крайне маловероятно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</si>
  <si>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</si>
  <si>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</si>
  <si>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</si>
  <si>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</si>
  <si>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</si>
  <si>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 xml:space="preserve"> Задержка 1–12 часов</t>
  </si>
  <si>
    <t>Несущественное негативное воздействие</t>
  </si>
  <si>
    <t>Несущественное повреждение 
&lt; 5000€ / евро</t>
  </si>
  <si>
    <t>Медицинская помощь, травма с ограничением рабочих функций</t>
  </si>
  <si>
    <t>Умеренное негативное воздействие</t>
  </si>
  <si>
    <t>Постоянная утрата трудоспособности или летальный исход</t>
  </si>
  <si>
    <t>Значительное негативное воздействие</t>
  </si>
  <si>
    <t>Задержка 48 часов – 7 дней</t>
  </si>
  <si>
    <t>Более 1 смертельного случая</t>
  </si>
  <si>
    <t>Обширное повреждение
&gt; 500.000€ / евро</t>
  </si>
  <si>
    <t>Сильное негативное воздействие</t>
  </si>
  <si>
    <t>Задержка более 7 дней</t>
  </si>
  <si>
    <t xml:space="preserve">Травмы персонала в результате непредвиденного движения судна / спотыканий и падений / столкновений с движущимися предметами. Ущерб окружающей среде в результате разлива нефтепродуктов / химикатов из-за движения судна. Повреждение оборудования из-за движения судна и незакрепленных предметов. Травма с потерей рабочего времени. Постоянная нетрудоспособность не может быть исключена. Разлив нефтепродуктов &lt; 1 барреля. Воздействие на окружающую среду ограничено. </t>
  </si>
  <si>
    <t xml:space="preserve">Техническая неисправность рулевого управления или пропульсивной системы судна. Изменение погоды, шквал. Самоуспокоенность из-за рутины. Телесные повреждения членов экипажа на палубе. Контакт движителя с другими подводными объектами. Требуется медицинская помощь. Потери рабочего времени нельзя сбрасывать со счетов. Разлив нефти &lt; 100 баррелей. Локальное воздействие на окружающую среду, которое может быть локализовано с помощью ресурсов на месте. Повреждение буксира и судна, требующее вывода его из эксплуатации. </t>
  </si>
  <si>
    <t xml:space="preserve">Травмы персонала в результате столкновения с другим судном или объектом. Ущерб окружающей среде из-за просачивания нефтепродуктов с судна. Повреждение имущества в результате столкновения, посадки на мель или контакта с частями причала. Потеря рабочего времени. Разлив нефти &lt; 100 баррелей с локальным воздействием на окружающую среду, но не требующий внешней помощи. Повреждение судна или буксира, требующее вывода его из эксплуатации.
</t>
  </si>
  <si>
    <t>Retention 3 Year / Срок хранения документа 3 года</t>
  </si>
  <si>
    <t>File 09 / Папка 09</t>
  </si>
  <si>
    <t>BL_FRM-VSL-09-1312-001</t>
  </si>
  <si>
    <t>Сильное воздействие
&gt; 10  баррелей</t>
  </si>
  <si>
    <t xml:space="preserve"> Значительное повреждение 
&lt;500.000€ / евро</t>
  </si>
  <si>
    <t>Значительное воздействие
1-10 баррелей</t>
  </si>
  <si>
    <t xml:space="preserve"> Задержка 12–48 часов</t>
  </si>
  <si>
    <t>Умеренное повреждение 
&lt;50.000€ / евро</t>
  </si>
  <si>
    <t>Умеренное воздействие
 менее - 1 баррель</t>
  </si>
  <si>
    <t xml:space="preserve"> Травма, ведущая к потере трудоспособности или к частичной нетрудоспособности</t>
  </si>
  <si>
    <t>Несущественное воздействие 
&lt; 10 литров</t>
  </si>
  <si>
    <t xml:space="preserve"> График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</si>
</sst>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b/>
      <sz val="12"/>
      <color theme="0"/>
      <name val="Arial"/>
      <family val="2"/>
    </font>
    <font>
      <b/>
      <sz val="12"/>
      <color theme="0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1" fillId="2" borderId="0" xfId="0" applyFont="1" applyFill="1"/>
    <xf numFmtId="0" fontId="1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3" fillId="2" borderId="18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0" fillId="0" borderId="4" xfId="0" applyFont="1" applyBorder="1" applyAlignment="1" applyProtection="1">
      <alignment horizontal="left" vertical="center" wrapText="1"/>
      <protection locked="0"/>
    </xf>
    <xf numFmtId="0" fontId="30" fillId="0" borderId="1" xfId="0" applyFont="1" applyBorder="1" applyAlignment="1" applyProtection="1">
      <alignment horizontal="left" vertical="center" wrapText="1"/>
      <protection locked="0"/>
    </xf>
    <xf numFmtId="0" fontId="34" fillId="0" borderId="1" xfId="0" applyFont="1" applyBorder="1" applyAlignment="1" applyProtection="1">
      <alignment horizontal="left" vertical="center" wrapText="1"/>
      <protection locked="0"/>
    </xf>
    <xf numFmtId="0" fontId="35" fillId="2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textRotation="90" wrapText="1"/>
    </xf>
    <xf numFmtId="0" fontId="22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 applyProtection="1">
      <alignment horizontal="center" vertical="center" wrapText="1"/>
      <protection locked="0"/>
    </xf>
    <xf numFmtId="0" fontId="38" fillId="8" borderId="18" xfId="0" applyFont="1" applyFill="1" applyBorder="1" applyAlignment="1">
      <alignment vertical="center"/>
    </xf>
    <xf numFmtId="0" fontId="27" fillId="8" borderId="19" xfId="0" applyFont="1" applyFill="1" applyBorder="1" applyAlignment="1">
      <alignment vertical="center"/>
    </xf>
    <xf numFmtId="0" fontId="28" fillId="8" borderId="19" xfId="0" applyFont="1" applyFill="1" applyBorder="1" applyAlignment="1">
      <alignment horizontal="center"/>
    </xf>
    <xf numFmtId="0" fontId="29" fillId="8" borderId="19" xfId="0" applyFont="1" applyFill="1" applyBorder="1" applyAlignment="1">
      <alignment horizontal="left" vertical="center" indent="1"/>
    </xf>
    <xf numFmtId="0" fontId="26" fillId="8" borderId="19" xfId="0" applyFont="1" applyFill="1" applyBorder="1" applyAlignment="1">
      <alignment vertical="center"/>
    </xf>
    <xf numFmtId="0" fontId="26" fillId="8" borderId="19" xfId="0" applyFont="1" applyFill="1" applyBorder="1" applyAlignment="1">
      <alignment horizontal="left" vertical="center"/>
    </xf>
    <xf numFmtId="0" fontId="26" fillId="8" borderId="21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vertical="center" wrapText="1"/>
    </xf>
    <xf numFmtId="0" fontId="23" fillId="2" borderId="0" xfId="0" applyFont="1" applyFill="1" applyAlignment="1">
      <alignment horizontal="center"/>
    </xf>
    <xf numFmtId="0" fontId="36" fillId="2" borderId="18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6" fillId="8" borderId="8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40" fillId="8" borderId="19" xfId="0" applyFont="1" applyFill="1" applyBorder="1" applyAlignment="1">
      <alignment horizontal="left" vertical="center" wrapText="1"/>
    </xf>
    <xf numFmtId="0" fontId="39" fillId="8" borderId="19" xfId="0" applyFont="1" applyFill="1" applyBorder="1" applyAlignment="1">
      <alignment horizontal="left" vertical="center" wrapText="1"/>
    </xf>
    <xf numFmtId="0" fontId="33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3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1" fillId="8" borderId="8" xfId="0" applyFont="1" applyFill="1" applyBorder="1" applyAlignment="1">
      <alignment horizontal="left" vertical="center" wrapText="1"/>
    </xf>
    <xf numFmtId="0" fontId="21" fillId="8" borderId="17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2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2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2" fillId="8" borderId="8" xfId="0" applyFont="1" applyFill="1" applyBorder="1" applyAlignment="1">
      <alignment horizontal="right" vertical="center" wrapText="1"/>
    </xf>
    <xf numFmtId="0" fontId="22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2" fillId="8" borderId="8" xfId="0" applyNumberFormat="1" applyFont="1" applyFill="1" applyBorder="1" applyAlignment="1">
      <alignment horizontal="center" vertical="center" wrapText="1"/>
    </xf>
    <xf numFmtId="14" fontId="22" fillId="8" borderId="17" xfId="0" applyNumberFormat="1" applyFont="1" applyFill="1" applyBorder="1" applyAlignment="1">
      <alignment horizontal="center" vertical="center" wrapText="1"/>
    </xf>
    <xf numFmtId="14" fontId="22" fillId="8" borderId="4" xfId="0" applyNumberFormat="1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1" fillId="3" borderId="6" xfId="0" applyFont="1" applyFill="1" applyBorder="1" applyAlignment="1">
      <alignment horizontal="center" textRotation="90" wrapText="1"/>
    </xf>
    <xf numFmtId="0" fontId="41" fillId="3" borderId="24" xfId="0" applyFont="1" applyFill="1" applyBorder="1" applyAlignment="1">
      <alignment horizontal="center" textRotation="90" wrapText="1"/>
    </xf>
    <xf numFmtId="0" fontId="41" fillId="3" borderId="25" xfId="0" applyFont="1" applyFill="1" applyBorder="1" applyAlignment="1">
      <alignment horizontal="center" textRotation="90" wrapText="1"/>
    </xf>
    <xf numFmtId="0" fontId="3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E8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5" name="Tekstvak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6" name="Tekstvak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7" name="Tekstvak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8" name="Tekstvak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9" name="Tekstvak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10" name="Рисунок 9" descr="bollard">
          <a:extLst>
            <a:ext uri="{FF2B5EF4-FFF2-40B4-BE49-F238E27FC236}">
              <a16:creationId xmlns:a16="http://schemas.microsoft.com/office/drawing/2014/main" id="{4419C52A-CC69-417A-A318-3C7818881E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1970"/>
          <a:ext cx="2071687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481C967D-9FBE-4205-9010-4536331DC889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C16C16BF-15FF-4779-99C2-7C23F8904368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11A2AEEA-D672-493F-AECE-988E8925A461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A4EA45-999A-44DC-890A-E1C6477C1854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134031</xdr:rowOff>
    </xdr:from>
    <xdr:to>
      <xdr:col>21</xdr:col>
      <xdr:colOff>27215</xdr:colOff>
      <xdr:row>26</xdr:row>
      <xdr:rowOff>74841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143296-613B-4B3C-9689-BEE40E3A1586}"/>
            </a:ext>
          </a:extLst>
        </xdr:cNvPr>
        <xdr:cNvSpPr txBox="1"/>
      </xdr:nvSpPr>
      <xdr:spPr>
        <a:xfrm>
          <a:off x="2934457" y="94780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r>
            <a:rPr lang="ru-RU"/>
            <a:t>В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DDACD8-70B1-43FE-B439-067627E64DFA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6A8F34-B480-40ED-8DE2-13B338DCA076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E4F39CEA-1664-4A79-9005-F8E33D2F36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64"/>
  <sheetViews>
    <sheetView zoomScale="80" zoomScaleNormal="80" zoomScalePageLayoutView="70" workbookViewId="0">
      <selection activeCell="J2" sqref="J2:M4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92"/>
      <c r="B1" s="93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1</v>
      </c>
      <c r="R1" s="14" t="s">
        <v>2</v>
      </c>
      <c r="S1" s="14" t="s">
        <v>3</v>
      </c>
      <c r="T1" s="14" t="s">
        <v>4</v>
      </c>
      <c r="U1" s="14" t="s">
        <v>5</v>
      </c>
      <c r="V1" s="14" t="s">
        <v>6</v>
      </c>
      <c r="W1" s="18" t="s">
        <v>7</v>
      </c>
    </row>
    <row r="2" spans="1:23" ht="25.5" customHeight="1" x14ac:dyDescent="0.2">
      <c r="A2" s="94"/>
      <c r="B2" s="95"/>
      <c r="C2" s="55"/>
      <c r="D2" s="50"/>
      <c r="E2" s="50"/>
      <c r="F2" s="50"/>
      <c r="G2" s="50"/>
      <c r="H2" s="56"/>
      <c r="I2" s="4"/>
      <c r="J2" s="98" t="s">
        <v>136</v>
      </c>
      <c r="K2" s="99"/>
      <c r="L2" s="99"/>
      <c r="M2" s="100"/>
      <c r="P2" s="7"/>
      <c r="Q2" s="14">
        <v>1</v>
      </c>
      <c r="R2" s="14" t="s">
        <v>8</v>
      </c>
      <c r="S2" s="15"/>
      <c r="T2" s="15"/>
      <c r="U2" s="15"/>
      <c r="V2" s="15"/>
      <c r="W2" s="18" t="s">
        <v>9</v>
      </c>
    </row>
    <row r="3" spans="1:23" ht="25.5" customHeight="1" x14ac:dyDescent="0.2">
      <c r="A3" s="94"/>
      <c r="B3" s="95"/>
      <c r="C3" s="104" t="s">
        <v>48</v>
      </c>
      <c r="D3" s="105"/>
      <c r="E3" s="105"/>
      <c r="F3" s="105"/>
      <c r="G3" s="105"/>
      <c r="H3" s="106"/>
      <c r="J3" s="98" t="s">
        <v>135</v>
      </c>
      <c r="K3" s="99"/>
      <c r="L3" s="99"/>
      <c r="M3" s="100"/>
      <c r="P3" s="7"/>
      <c r="Q3" s="14">
        <v>2</v>
      </c>
      <c r="R3" s="14" t="s">
        <v>10</v>
      </c>
      <c r="S3" s="15"/>
      <c r="T3" s="15"/>
      <c r="U3" s="15"/>
      <c r="V3" s="15"/>
      <c r="W3" s="18" t="s">
        <v>11</v>
      </c>
    </row>
    <row r="4" spans="1:23" ht="33.75" customHeight="1" x14ac:dyDescent="0.2">
      <c r="A4" s="96"/>
      <c r="B4" s="97"/>
      <c r="C4" s="58"/>
      <c r="H4" s="57"/>
      <c r="J4" s="101" t="s">
        <v>134</v>
      </c>
      <c r="K4" s="102"/>
      <c r="L4" s="102"/>
      <c r="M4" s="103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12</v>
      </c>
      <c r="S5" s="15"/>
      <c r="T5" s="15"/>
      <c r="U5" s="15"/>
      <c r="V5" s="15"/>
      <c r="W5" s="18" t="s">
        <v>13</v>
      </c>
    </row>
    <row r="6" spans="1:23" s="7" customFormat="1" ht="48" customHeight="1" x14ac:dyDescent="0.2">
      <c r="A6" s="160" t="s">
        <v>55</v>
      </c>
      <c r="B6" s="160"/>
      <c r="C6" s="72"/>
      <c r="D6" s="62"/>
      <c r="E6" s="62"/>
      <c r="F6" s="63"/>
      <c r="G6" s="80" t="s">
        <v>57</v>
      </c>
      <c r="H6" s="73" t="s">
        <v>49</v>
      </c>
      <c r="I6" s="62"/>
      <c r="J6" s="81" t="s">
        <v>60</v>
      </c>
      <c r="K6" s="107" t="s">
        <v>136</v>
      </c>
      <c r="L6" s="107"/>
      <c r="M6" s="108"/>
      <c r="Q6" s="14">
        <v>4</v>
      </c>
      <c r="R6" s="14" t="s">
        <v>14</v>
      </c>
      <c r="S6" s="14"/>
      <c r="T6" s="14"/>
      <c r="U6" s="14"/>
      <c r="V6" s="14"/>
    </row>
    <row r="7" spans="1:23" s="7" customFormat="1" ht="36" customHeight="1" x14ac:dyDescent="0.2">
      <c r="A7" s="164" t="s">
        <v>56</v>
      </c>
      <c r="B7" s="165"/>
      <c r="C7" s="71"/>
      <c r="D7" s="169" t="s">
        <v>63</v>
      </c>
      <c r="E7" s="170"/>
      <c r="F7" s="170"/>
      <c r="G7" s="80" t="s">
        <v>58</v>
      </c>
      <c r="H7" s="161"/>
      <c r="I7" s="162"/>
      <c r="J7" s="163"/>
      <c r="K7" s="169" t="s">
        <v>59</v>
      </c>
      <c r="L7" s="170"/>
      <c r="M7" s="171"/>
      <c r="Q7" s="14">
        <v>5</v>
      </c>
      <c r="R7" s="14" t="s">
        <v>15</v>
      </c>
      <c r="S7" s="14"/>
      <c r="T7" s="14"/>
      <c r="U7" s="14"/>
      <c r="V7" s="14"/>
    </row>
    <row r="8" spans="1:23" ht="158.25" customHeight="1" x14ac:dyDescent="0.2">
      <c r="A8" s="78" t="s">
        <v>54</v>
      </c>
      <c r="B8" s="78" t="s">
        <v>53</v>
      </c>
      <c r="C8" s="78" t="s">
        <v>61</v>
      </c>
      <c r="D8" s="79" t="s">
        <v>64</v>
      </c>
      <c r="E8" s="79" t="s">
        <v>65</v>
      </c>
      <c r="F8" s="79" t="s">
        <v>63</v>
      </c>
      <c r="G8" s="109" t="s">
        <v>62</v>
      </c>
      <c r="H8" s="110"/>
      <c r="I8" s="111"/>
      <c r="J8" s="112"/>
      <c r="K8" s="79" t="s">
        <v>64</v>
      </c>
      <c r="L8" s="79" t="s">
        <v>65</v>
      </c>
      <c r="M8" s="79" t="s">
        <v>66</v>
      </c>
      <c r="Q8" s="14"/>
      <c r="R8" s="15"/>
      <c r="S8" s="15"/>
      <c r="T8" s="15"/>
      <c r="U8" s="15" t="e">
        <f>IF(#REF!="","",IF(N16="","",IF(#REF!+O16&lt;=5,$W$17,IF(#REF!+O16=6,$W$18,IF(#REF!+O16=7,$W$18,IF(#REF!+O16&gt;=8,$W$22,""))))))</f>
        <v>#REF!</v>
      </c>
      <c r="V8" s="15"/>
    </row>
    <row r="9" spans="1:23" ht="234" customHeight="1" x14ac:dyDescent="0.2">
      <c r="A9" s="77">
        <v>1</v>
      </c>
      <c r="B9" s="76" t="s">
        <v>50</v>
      </c>
      <c r="C9" s="74" t="s">
        <v>131</v>
      </c>
      <c r="D9" s="20">
        <v>4</v>
      </c>
      <c r="E9" s="13" t="s">
        <v>0</v>
      </c>
      <c r="F9" s="68" t="s">
        <v>13</v>
      </c>
      <c r="G9" s="113" t="s">
        <v>67</v>
      </c>
      <c r="H9" s="114"/>
      <c r="I9" s="115"/>
      <c r="J9" s="116"/>
      <c r="K9" s="20">
        <v>2</v>
      </c>
      <c r="L9" s="13" t="s">
        <v>10</v>
      </c>
      <c r="M9" s="64" t="str">
        <f t="shared" ref="M9" si="0">IF(K9="","",(IF(L9="","",IF(V9&lt;=1,"",IF(V9&lt;=5,$W$2,IF(V9=6,$W$3,IF(V9=7,$W$3,IF(V9&gt;=8,$W$5,""))))))))</f>
        <v>L</v>
      </c>
      <c r="Q9" s="14"/>
      <c r="R9" s="15"/>
      <c r="S9" s="19">
        <f t="shared" ref="S9" si="1">IF(E9="A",1,IF(E9="B",2,IF(E9="C",3,IF(E9="D",4,IF(E9="E",5,"")))))</f>
        <v>3</v>
      </c>
      <c r="T9" s="19">
        <f t="shared" ref="T9" si="2">IF(L9="A",1,IF(L9="B",2,IF(L9="C",3,IF(L9="D",4,IF(L9="E",5,"")))))</f>
        <v>2</v>
      </c>
      <c r="U9" s="15">
        <f t="shared" ref="U9" si="3">D9+S9</f>
        <v>7</v>
      </c>
      <c r="V9" s="15">
        <f t="shared" ref="V9" si="4">K9+T9</f>
        <v>4</v>
      </c>
    </row>
    <row r="10" spans="1:23" ht="371.45" customHeight="1" x14ac:dyDescent="0.2">
      <c r="A10" s="77">
        <v>2</v>
      </c>
      <c r="B10" s="76" t="s">
        <v>51</v>
      </c>
      <c r="C10" s="75" t="s">
        <v>132</v>
      </c>
      <c r="D10" s="20">
        <v>3</v>
      </c>
      <c r="E10" s="13" t="s">
        <v>0</v>
      </c>
      <c r="F10" s="68" t="str">
        <f t="shared" ref="F10" si="5">IF(D10="","",(IF(E10="","",IF(U10&lt;=1,"",IF(U10&lt;=5,$W$2,IF(U10=6,$W$3,IF(U10=7,$W$3,IF(U10&gt;=8,$W$5,""))))))))</f>
        <v>M</v>
      </c>
      <c r="G10" s="113" t="s">
        <v>68</v>
      </c>
      <c r="H10" s="114"/>
      <c r="I10" s="115"/>
      <c r="J10" s="116"/>
      <c r="K10" s="20">
        <v>1</v>
      </c>
      <c r="L10" s="13" t="s">
        <v>0</v>
      </c>
      <c r="M10" s="64" t="str">
        <f t="shared" ref="M10:M11" si="6">IF(K10="","",(IF(L10="","",IF(V10&lt;=1,"",IF(V10&lt;=5,$W$2,IF(V10=6,$W$3,IF(V10=7,$W$3,IF(V10&gt;=8,$W$5,""))))))))</f>
        <v>L</v>
      </c>
      <c r="Q10" s="14"/>
      <c r="R10" s="15"/>
      <c r="S10" s="19">
        <f t="shared" ref="S10:S11" si="7">IF(E10="A",1,IF(E10="B",2,IF(E10="C",3,IF(E10="D",4,IF(E10="E",5,"")))))</f>
        <v>3</v>
      </c>
      <c r="T10" s="19">
        <f t="shared" ref="T10:T11" si="8">IF(L10="A",1,IF(L10="B",2,IF(L10="C",3,IF(L10="D",4,IF(L10="E",5,"")))))</f>
        <v>3</v>
      </c>
      <c r="U10" s="15">
        <f t="shared" ref="U10:U11" si="9">D10+S10</f>
        <v>6</v>
      </c>
      <c r="V10" s="15">
        <f t="shared" ref="V10:V11" si="10">K10+T10</f>
        <v>4</v>
      </c>
    </row>
    <row r="11" spans="1:23" ht="217.5" customHeight="1" x14ac:dyDescent="0.2">
      <c r="A11" s="77">
        <v>3</v>
      </c>
      <c r="B11" s="76" t="s">
        <v>52</v>
      </c>
      <c r="C11" s="75" t="s">
        <v>133</v>
      </c>
      <c r="D11" s="20">
        <v>4</v>
      </c>
      <c r="E11" s="13" t="s">
        <v>0</v>
      </c>
      <c r="F11" s="68" t="s">
        <v>13</v>
      </c>
      <c r="G11" s="113" t="s">
        <v>69</v>
      </c>
      <c r="H11" s="114"/>
      <c r="I11" s="115"/>
      <c r="J11" s="116"/>
      <c r="K11" s="20">
        <v>2</v>
      </c>
      <c r="L11" s="13" t="s">
        <v>0</v>
      </c>
      <c r="M11" s="64" t="str">
        <f t="shared" si="6"/>
        <v>L</v>
      </c>
      <c r="Q11" s="14"/>
      <c r="R11" s="15"/>
      <c r="S11" s="19">
        <f t="shared" si="7"/>
        <v>3</v>
      </c>
      <c r="T11" s="19">
        <f t="shared" si="8"/>
        <v>3</v>
      </c>
      <c r="U11" s="15">
        <f t="shared" si="9"/>
        <v>7</v>
      </c>
      <c r="V11" s="15">
        <f t="shared" si="10"/>
        <v>5</v>
      </c>
    </row>
    <row r="12" spans="1:23" ht="48" customHeight="1" x14ac:dyDescent="0.2">
      <c r="A12" s="166" t="s">
        <v>70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8"/>
      <c r="Q12" s="14"/>
      <c r="R12" s="15"/>
      <c r="S12" s="19" t="e">
        <f>IF(#REF!="A",1,IF(#REF!="B",2,IF(#REF!="C",3,IF(#REF!="D",4,IF(#REF!="E",5,"")))))</f>
        <v>#REF!</v>
      </c>
      <c r="T12" s="19" t="e">
        <f>IF(#REF!="A",1,IF(#REF!="B",2,IF(#REF!="C",3,IF(#REF!="D",4,IF(#REF!="E",5,"")))))</f>
        <v>#REF!</v>
      </c>
      <c r="U12" s="15" t="e">
        <f>#REF!+S12</f>
        <v>#REF!</v>
      </c>
      <c r="V12" s="15" t="e">
        <f>#REF!+T12</f>
        <v>#REF!</v>
      </c>
    </row>
    <row r="13" spans="1:23" ht="47.45" customHeight="1" x14ac:dyDescent="0.2">
      <c r="A13" s="117" t="s">
        <v>71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Q13" s="14"/>
      <c r="R13" s="15"/>
      <c r="S13" s="19" t="e">
        <f>IF(#REF!="A",1,IF(#REF!="B",2,IF(#REF!="C",3,IF(#REF!="D",4,IF(#REF!="E",5,"")))))</f>
        <v>#REF!</v>
      </c>
      <c r="T13" s="19" t="e">
        <f>IF(#REF!="A",1,IF(#REF!="B",2,IF(#REF!="C",3,IF(#REF!="D",4,IF(#REF!="E",5,"")))))</f>
        <v>#REF!</v>
      </c>
      <c r="U13" s="15" t="e">
        <f>#REF!+S13</f>
        <v>#REF!</v>
      </c>
      <c r="V13" s="15" t="e">
        <f>#REF!+T13</f>
        <v>#REF!</v>
      </c>
    </row>
    <row r="14" spans="1:23" ht="48.6" customHeight="1" x14ac:dyDescent="0.35">
      <c r="A14" s="82" t="s">
        <v>72</v>
      </c>
      <c r="B14" s="83"/>
      <c r="C14" s="83"/>
      <c r="D14" s="84"/>
      <c r="E14" s="84"/>
      <c r="F14" s="84"/>
      <c r="G14" s="85"/>
      <c r="H14" s="86"/>
      <c r="I14" s="86"/>
      <c r="J14" s="86"/>
      <c r="K14" s="86"/>
      <c r="L14" s="87"/>
      <c r="M14" s="88"/>
      <c r="Q14" s="14"/>
      <c r="R14" s="15"/>
      <c r="S14" s="19" t="e">
        <f>IF(#REF!="A",1,IF(#REF!="B",2,IF(#REF!="C",3,IF(#REF!="D",4,IF(#REF!="E",5,"")))))</f>
        <v>#REF!</v>
      </c>
      <c r="T14" s="19" t="e">
        <f>IF(#REF!="A",1,IF(#REF!="B",2,IF(#REF!="C",3,IF(#REF!="D",4,IF(#REF!="E",5,"")))))</f>
        <v>#REF!</v>
      </c>
      <c r="U14" s="15" t="e">
        <f>#REF!+S14</f>
        <v>#REF!</v>
      </c>
      <c r="V14" s="15" t="e">
        <f>#REF!+T14</f>
        <v>#REF!</v>
      </c>
    </row>
    <row r="15" spans="1:23" ht="48.6" customHeight="1" x14ac:dyDescent="0.2">
      <c r="A15" s="142" t="s">
        <v>73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4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41.45" customHeight="1" x14ac:dyDescent="0.2">
      <c r="A16" s="142" t="s">
        <v>74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4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45" customHeight="1" x14ac:dyDescent="0.2">
      <c r="A17" s="65">
        <v>1</v>
      </c>
      <c r="B17" s="122" t="s">
        <v>75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4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45" customHeight="1" x14ac:dyDescent="0.2">
      <c r="A18" s="65">
        <v>2</v>
      </c>
      <c r="B18" s="119" t="s">
        <v>76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45" customHeight="1" x14ac:dyDescent="0.2">
      <c r="A19" s="65">
        <v>3</v>
      </c>
      <c r="B19" s="122" t="s">
        <v>77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4"/>
      <c r="Q19" s="14"/>
      <c r="R19" s="15"/>
      <c r="S19" s="19"/>
      <c r="T19" s="19"/>
      <c r="U19" s="15"/>
      <c r="V19" s="15"/>
    </row>
    <row r="20" spans="1:22" ht="45" customHeight="1" x14ac:dyDescent="0.2">
      <c r="A20" s="65">
        <v>4</v>
      </c>
      <c r="B20" s="119" t="s">
        <v>78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1"/>
      <c r="Q20" s="14"/>
      <c r="R20" s="15"/>
      <c r="S20" s="19"/>
      <c r="T20" s="19"/>
      <c r="U20" s="15"/>
      <c r="V20" s="15"/>
    </row>
    <row r="21" spans="1:22" ht="45" customHeight="1" x14ac:dyDescent="0.2">
      <c r="A21" s="65">
        <v>5</v>
      </c>
      <c r="B21" s="122" t="s">
        <v>79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4"/>
      <c r="Q21" s="14"/>
      <c r="R21" s="15"/>
      <c r="S21" s="19"/>
      <c r="T21" s="19"/>
      <c r="U21" s="15"/>
      <c r="V21" s="15"/>
    </row>
    <row r="22" spans="1:22" ht="45" customHeight="1" x14ac:dyDescent="0.2">
      <c r="A22" s="65">
        <v>6</v>
      </c>
      <c r="B22" s="119" t="s">
        <v>80</v>
      </c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1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5">
        <v>7</v>
      </c>
      <c r="B23" s="122" t="s">
        <v>81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4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">
      <c r="A24" s="65">
        <v>8</v>
      </c>
      <c r="B24" s="122" t="s">
        <v>82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4"/>
      <c r="Q24" s="14"/>
      <c r="R24" s="15"/>
      <c r="S24" s="19" t="e">
        <f>IF(#REF!="A",1,IF(#REF!="B",2,IF(#REF!="C",3,IF(#REF!="D",4,IF(#REF!="E",5,"")))))</f>
        <v>#REF!</v>
      </c>
      <c r="T24" s="19" t="e">
        <f>IF(#REF!="A",1,IF(#REF!="B",2,IF(#REF!="C",3,IF(#REF!="D",4,IF(#REF!="E",5,"")))))</f>
        <v>#REF!</v>
      </c>
      <c r="U24" s="15" t="e">
        <f>#REF!+S24</f>
        <v>#REF!</v>
      </c>
      <c r="V24" s="15" t="e">
        <f>#REF!+T24</f>
        <v>#REF!</v>
      </c>
    </row>
    <row r="25" spans="1:22" ht="45" customHeight="1" x14ac:dyDescent="0.2">
      <c r="A25" s="65">
        <v>9</v>
      </c>
      <c r="B25" s="122" t="s">
        <v>83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4"/>
      <c r="Q25" s="14"/>
      <c r="R25" s="15"/>
      <c r="S25" s="19" t="e">
        <f>IF(#REF!="A",1,IF(#REF!="B",2,IF(#REF!="C",3,IF(#REF!="D",4,IF(#REF!="E",5,"")))))</f>
        <v>#REF!</v>
      </c>
      <c r="T25" s="19" t="e">
        <f>IF(#REF!="A",1,IF(#REF!="B",2,IF(#REF!="C",3,IF(#REF!="D",4,IF(#REF!="E",5,"")))))</f>
        <v>#REF!</v>
      </c>
      <c r="U25" s="15" t="e">
        <f>#REF!+S25</f>
        <v>#REF!</v>
      </c>
      <c r="V25" s="15" t="e">
        <f>#REF!+T25</f>
        <v>#REF!</v>
      </c>
    </row>
    <row r="26" spans="1:22" ht="45" customHeight="1" x14ac:dyDescent="0.2">
      <c r="A26" s="65">
        <v>10</v>
      </c>
      <c r="B26" s="125" t="s">
        <v>84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7"/>
      <c r="Q26" s="14"/>
      <c r="R26" s="15"/>
      <c r="S26" s="19" t="e">
        <f>IF(#REF!="A",1,IF(#REF!="B",2,IF(#REF!="C",3,IF(#REF!="D",4,IF(#REF!="E",5,"")))))</f>
        <v>#REF!</v>
      </c>
      <c r="T26" s="19" t="e">
        <f>IF(#REF!="A",1,IF(#REF!="B",2,IF(#REF!="C",3,IF(#REF!="D",4,IF(#REF!="E",5,"")))))</f>
        <v>#REF!</v>
      </c>
      <c r="U26" s="15" t="e">
        <f>#REF!+S26</f>
        <v>#REF!</v>
      </c>
      <c r="V26" s="15" t="e">
        <f>#REF!+T26</f>
        <v>#REF!</v>
      </c>
    </row>
    <row r="27" spans="1:22" ht="45" customHeight="1" x14ac:dyDescent="0.2">
      <c r="A27" s="65">
        <v>11</v>
      </c>
      <c r="B27" s="122" t="s">
        <v>85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4"/>
      <c r="Q27" s="14"/>
      <c r="R27" s="15"/>
      <c r="S27" s="19" t="e">
        <f>IF(#REF!="A",1,IF(#REF!="B",2,IF(#REF!="C",3,IF(#REF!="D",4,IF(#REF!="E",5,"")))))</f>
        <v>#REF!</v>
      </c>
      <c r="T27" s="19" t="e">
        <f>IF(#REF!="A",1,IF(#REF!="B",2,IF(#REF!="C",3,IF(#REF!="D",4,IF(#REF!="E",5,"")))))</f>
        <v>#REF!</v>
      </c>
      <c r="U27" s="15" t="e">
        <f>#REF!+S27</f>
        <v>#REF!</v>
      </c>
      <c r="V27" s="15" t="e">
        <f>#REF!+T27</f>
        <v>#REF!</v>
      </c>
    </row>
    <row r="28" spans="1:22" ht="45" customHeight="1" x14ac:dyDescent="0.2">
      <c r="A28" s="65">
        <v>12</v>
      </c>
      <c r="B28" s="122" t="s">
        <v>86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4"/>
      <c r="Q28" s="14"/>
      <c r="R28" s="15"/>
      <c r="S28" s="19" t="e">
        <f>IF(#REF!="A",1,IF(#REF!="B",2,IF(#REF!="C",3,IF(#REF!="D",4,IF(#REF!="E",5,"")))))</f>
        <v>#REF!</v>
      </c>
      <c r="T28" s="19" t="e">
        <f>IF(#REF!="A",1,IF(#REF!="B",2,IF(#REF!="C",3,IF(#REF!="D",4,IF(#REF!="E",5,"")))))</f>
        <v>#REF!</v>
      </c>
      <c r="U28" s="15" t="e">
        <f>#REF!+S28</f>
        <v>#REF!</v>
      </c>
      <c r="V28" s="15" t="e">
        <f>#REF!+T28</f>
        <v>#REF!</v>
      </c>
    </row>
    <row r="29" spans="1:22" ht="45" customHeight="1" x14ac:dyDescent="0.2">
      <c r="A29" s="65">
        <v>13</v>
      </c>
      <c r="B29" s="122" t="s">
        <v>87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4"/>
      <c r="Q29" s="14"/>
      <c r="R29" s="15"/>
      <c r="S29" s="19" t="e">
        <f>IF(#REF!="A",1,IF(#REF!="B",2,IF(#REF!="C",3,IF(#REF!="D",4,IF(#REF!="E",5,"")))))</f>
        <v>#REF!</v>
      </c>
      <c r="T29" s="19" t="e">
        <f>IF(#REF!="A",1,IF(#REF!="B",2,IF(#REF!="C",3,IF(#REF!="D",4,IF(#REF!="E",5,"")))))</f>
        <v>#REF!</v>
      </c>
      <c r="U29" s="15" t="e">
        <f>#REF!+S29</f>
        <v>#REF!</v>
      </c>
      <c r="V29" s="15" t="e">
        <f>#REF!+T29</f>
        <v>#REF!</v>
      </c>
    </row>
    <row r="30" spans="1:22" ht="45" customHeight="1" x14ac:dyDescent="0.2">
      <c r="A30" s="65">
        <v>14</v>
      </c>
      <c r="B30" s="122" t="s">
        <v>88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4"/>
      <c r="Q30" s="14"/>
      <c r="R30" s="15"/>
      <c r="S30" s="19" t="e">
        <f>IF(#REF!="A",1,IF(#REF!="B",2,IF(#REF!="C",3,IF(#REF!="D",4,IF(#REF!="E",5,"")))))</f>
        <v>#REF!</v>
      </c>
      <c r="T30" s="19" t="e">
        <f>IF(#REF!="A",1,IF(#REF!="B",2,IF(#REF!="C",3,IF(#REF!="D",4,IF(#REF!="E",5,"")))))</f>
        <v>#REF!</v>
      </c>
      <c r="U30" s="15" t="e">
        <f>#REF!+S30</f>
        <v>#REF!</v>
      </c>
      <c r="V30" s="15" t="e">
        <f>#REF!+T30</f>
        <v>#REF!</v>
      </c>
    </row>
    <row r="31" spans="1:22" ht="45" customHeight="1" x14ac:dyDescent="0.2">
      <c r="A31" s="65">
        <v>15</v>
      </c>
      <c r="B31" s="122" t="s">
        <v>89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4"/>
    </row>
    <row r="32" spans="1:22" ht="51" customHeight="1" x14ac:dyDescent="0.2">
      <c r="A32" s="145" t="s">
        <v>90</v>
      </c>
      <c r="B32" s="145"/>
      <c r="C32" s="145"/>
      <c r="D32" s="145"/>
      <c r="E32" s="145"/>
      <c r="F32" s="145"/>
      <c r="G32" s="145"/>
      <c r="H32" s="146"/>
      <c r="I32" s="146"/>
      <c r="J32" s="146"/>
      <c r="K32" s="146"/>
      <c r="L32" s="146"/>
      <c r="M32" s="146"/>
    </row>
    <row r="33" spans="1:17" ht="39.75" customHeight="1" x14ac:dyDescent="0.2">
      <c r="A33" s="130" t="s">
        <v>91</v>
      </c>
      <c r="B33" s="132"/>
      <c r="C33" s="89" t="s">
        <v>92</v>
      </c>
      <c r="D33" s="130" t="s">
        <v>93</v>
      </c>
      <c r="E33" s="131"/>
      <c r="F33" s="131"/>
      <c r="G33" s="132"/>
      <c r="H33" s="130" t="s">
        <v>94</v>
      </c>
      <c r="I33" s="131"/>
      <c r="J33" s="131"/>
      <c r="K33" s="131"/>
      <c r="L33" s="131"/>
      <c r="M33" s="132"/>
    </row>
    <row r="34" spans="1:17" ht="18" customHeight="1" x14ac:dyDescent="0.2">
      <c r="A34" s="128"/>
      <c r="B34" s="129"/>
      <c r="C34" s="6"/>
      <c r="D34" s="128"/>
      <c r="E34" s="136"/>
      <c r="F34" s="136"/>
      <c r="G34" s="129"/>
      <c r="H34" s="133"/>
      <c r="I34" s="134"/>
      <c r="J34" s="134"/>
      <c r="K34" s="134"/>
      <c r="L34" s="134"/>
      <c r="M34" s="135"/>
    </row>
    <row r="35" spans="1:17" ht="18" customHeight="1" x14ac:dyDescent="0.2">
      <c r="A35" s="128"/>
      <c r="B35" s="129"/>
      <c r="C35" s="6"/>
      <c r="D35" s="128"/>
      <c r="E35" s="136"/>
      <c r="F35" s="136"/>
      <c r="G35" s="129"/>
      <c r="H35" s="133"/>
      <c r="I35" s="134"/>
      <c r="J35" s="134"/>
      <c r="K35" s="134"/>
      <c r="L35" s="134"/>
      <c r="M35" s="135"/>
    </row>
    <row r="36" spans="1:17" s="9" customFormat="1" ht="18" customHeight="1" x14ac:dyDescent="0.2">
      <c r="A36" s="128"/>
      <c r="B36" s="129"/>
      <c r="C36" s="6"/>
      <c r="D36" s="128"/>
      <c r="E36" s="136"/>
      <c r="F36" s="136"/>
      <c r="G36" s="129"/>
      <c r="H36" s="133"/>
      <c r="I36" s="134"/>
      <c r="J36" s="134"/>
      <c r="K36" s="134"/>
      <c r="L36" s="134"/>
      <c r="M36" s="135"/>
      <c r="N36" s="8"/>
      <c r="O36" s="8"/>
      <c r="P36" s="8"/>
      <c r="Q36" s="16"/>
    </row>
    <row r="37" spans="1:17" s="9" customFormat="1" ht="18" customHeight="1" x14ac:dyDescent="0.2">
      <c r="A37" s="128"/>
      <c r="B37" s="129"/>
      <c r="C37" s="6"/>
      <c r="D37" s="128"/>
      <c r="E37" s="136"/>
      <c r="F37" s="136"/>
      <c r="G37" s="129"/>
      <c r="H37" s="128"/>
      <c r="I37" s="136"/>
      <c r="J37" s="136"/>
      <c r="K37" s="136"/>
      <c r="L37" s="136"/>
      <c r="M37" s="129"/>
      <c r="N37" s="8"/>
      <c r="O37" s="8"/>
      <c r="P37" s="8"/>
      <c r="Q37" s="16"/>
    </row>
    <row r="38" spans="1:17" s="9" customFormat="1" ht="18" customHeight="1" x14ac:dyDescent="0.2">
      <c r="A38" s="128"/>
      <c r="B38" s="129"/>
      <c r="C38" s="6"/>
      <c r="D38" s="128"/>
      <c r="E38" s="136"/>
      <c r="F38" s="136"/>
      <c r="G38" s="135"/>
      <c r="H38" s="128"/>
      <c r="I38" s="136"/>
      <c r="J38" s="136"/>
      <c r="K38" s="136"/>
      <c r="L38" s="136"/>
      <c r="M38" s="129"/>
      <c r="N38" s="8"/>
      <c r="O38" s="8"/>
      <c r="P38" s="8"/>
      <c r="Q38" s="16"/>
    </row>
    <row r="39" spans="1:17" s="9" customFormat="1" ht="35.25" customHeight="1" x14ac:dyDescent="0.2">
      <c r="A39" s="125" t="s">
        <v>95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1"/>
      <c r="N39" s="8"/>
      <c r="P39" s="8"/>
      <c r="Q39" s="16"/>
    </row>
    <row r="40" spans="1:17" s="9" customFormat="1" ht="25.5" customHeight="1" x14ac:dyDescent="0.2">
      <c r="A40" s="147" t="s">
        <v>96</v>
      </c>
      <c r="B40" s="147"/>
      <c r="C40" s="90" t="s">
        <v>97</v>
      </c>
      <c r="D40" s="148" t="s">
        <v>98</v>
      </c>
      <c r="E40" s="149"/>
      <c r="F40" s="150"/>
      <c r="G40" s="154"/>
      <c r="H40" s="155"/>
      <c r="I40" s="155"/>
      <c r="J40" s="155"/>
      <c r="K40" s="155"/>
      <c r="L40" s="155"/>
      <c r="M40" s="156"/>
      <c r="N40" s="8"/>
      <c r="P40" s="8"/>
      <c r="Q40" s="16"/>
    </row>
    <row r="41" spans="1:17" s="9" customFormat="1" ht="30" customHeight="1" x14ac:dyDescent="0.2">
      <c r="A41" s="137"/>
      <c r="B41" s="139"/>
      <c r="C41" s="10"/>
      <c r="D41" s="151"/>
      <c r="E41" s="152"/>
      <c r="F41" s="153"/>
      <c r="G41" s="157"/>
      <c r="H41" s="158"/>
      <c r="I41" s="158"/>
      <c r="J41" s="158"/>
      <c r="K41" s="158"/>
      <c r="L41" s="158"/>
      <c r="M41" s="159"/>
      <c r="N41" s="8"/>
      <c r="P41" s="8"/>
      <c r="Q41" s="16"/>
    </row>
    <row r="42" spans="1:17" s="9" customFormat="1" ht="15" customHeight="1" x14ac:dyDescent="0.2">
      <c r="A42" s="6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67"/>
      <c r="N42" s="8"/>
      <c r="P42" s="8"/>
      <c r="Q42" s="16"/>
    </row>
    <row r="43" spans="1:17" s="9" customFormat="1" ht="82.5" customHeight="1" x14ac:dyDescent="0.2">
      <c r="A43" s="172" t="s">
        <v>99</v>
      </c>
      <c r="B43" s="112"/>
      <c r="C43" s="137"/>
      <c r="D43" s="138"/>
      <c r="E43" s="138"/>
      <c r="F43" s="138"/>
      <c r="G43" s="138"/>
      <c r="H43" s="138"/>
      <c r="I43" s="138"/>
      <c r="J43" s="138"/>
      <c r="K43" s="138"/>
      <c r="L43" s="138"/>
      <c r="M43" s="139"/>
      <c r="N43" s="8"/>
      <c r="P43" s="8"/>
      <c r="Q43" s="16"/>
    </row>
    <row r="44" spans="1:17" s="9" customFormat="1" ht="34.5" customHeight="1" x14ac:dyDescent="0.2">
      <c r="A44" s="145" t="s">
        <v>100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8"/>
      <c r="P44" s="8"/>
      <c r="Q44" s="16"/>
    </row>
    <row r="45" spans="1:17" s="9" customFormat="1" ht="34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8"/>
      <c r="P45" s="8"/>
      <c r="Q45" s="16"/>
    </row>
    <row r="46" spans="1:17" s="9" customForma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8"/>
      <c r="P46" s="8"/>
      <c r="Q46" s="16"/>
    </row>
    <row r="47" spans="1:17" s="9" customForma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8"/>
      <c r="P47" s="8"/>
      <c r="Q47" s="16"/>
    </row>
    <row r="48" spans="1:17" s="9" customFormat="1" ht="34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8"/>
      <c r="P48" s="8"/>
      <c r="Q48" s="16"/>
    </row>
    <row r="49" spans="1:17" s="9" customFormat="1" ht="34.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8"/>
      <c r="P49" s="8"/>
      <c r="Q49" s="16"/>
    </row>
    <row r="50" spans="1:17" s="9" customFormat="1" ht="34.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8"/>
      <c r="P50" s="8"/>
      <c r="Q50" s="16"/>
    </row>
    <row r="51" spans="1:17" s="9" customFormat="1" ht="34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Q51" s="17"/>
    </row>
    <row r="52" spans="1:17" ht="56.25" customHeight="1" x14ac:dyDescent="0.2"/>
    <row r="53" spans="1:17" ht="25.5" customHeight="1" x14ac:dyDescent="0.2"/>
    <row r="54" spans="1:17" ht="18.75" customHeight="1" x14ac:dyDescent="0.2"/>
    <row r="55" spans="1:17" ht="18.75" customHeight="1" x14ac:dyDescent="0.2"/>
    <row r="56" spans="1:17" ht="18.75" customHeight="1" x14ac:dyDescent="0.2"/>
    <row r="57" spans="1:17" ht="18.75" customHeight="1" x14ac:dyDescent="0.2"/>
    <row r="58" spans="1:17" ht="18.75" customHeight="1" x14ac:dyDescent="0.2"/>
    <row r="59" spans="1:17" ht="33.75" customHeight="1" x14ac:dyDescent="0.2"/>
    <row r="60" spans="1:17" ht="20.25" customHeight="1" x14ac:dyDescent="0.2"/>
    <row r="61" spans="1:17" ht="57.75" customHeight="1" x14ac:dyDescent="0.2"/>
    <row r="62" spans="1:17" s="11" customFormat="1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7" ht="119.25" customHeight="1" x14ac:dyDescent="0.2"/>
    <row r="64" spans="1:17" s="12" customFormat="1" ht="24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sheetProtection formatCells="0" formatColumns="0" formatRows="0" insertColumns="0" insertRows="0" insertHyperlinks="0" deleteColumns="0" deleteRows="0" sort="0" autoFilter="0" pivotTables="0"/>
  <mergeCells count="61">
    <mergeCell ref="G40:M41"/>
    <mergeCell ref="A6:B6"/>
    <mergeCell ref="H7:J7"/>
    <mergeCell ref="A44:M44"/>
    <mergeCell ref="A7:B7"/>
    <mergeCell ref="A12:M12"/>
    <mergeCell ref="B25:M25"/>
    <mergeCell ref="B30:M30"/>
    <mergeCell ref="B27:M27"/>
    <mergeCell ref="B28:M28"/>
    <mergeCell ref="B29:M29"/>
    <mergeCell ref="K7:M7"/>
    <mergeCell ref="D7:F7"/>
    <mergeCell ref="D33:G33"/>
    <mergeCell ref="D34:G34"/>
    <mergeCell ref="A43:B43"/>
    <mergeCell ref="C43:M43"/>
    <mergeCell ref="A39:M39"/>
    <mergeCell ref="A15:M15"/>
    <mergeCell ref="B17:M17"/>
    <mergeCell ref="B18:M18"/>
    <mergeCell ref="B19:M19"/>
    <mergeCell ref="A32:M32"/>
    <mergeCell ref="A40:B40"/>
    <mergeCell ref="B22:M22"/>
    <mergeCell ref="A41:B41"/>
    <mergeCell ref="A16:M16"/>
    <mergeCell ref="H38:M38"/>
    <mergeCell ref="D37:G37"/>
    <mergeCell ref="D38:G38"/>
    <mergeCell ref="D40:F41"/>
    <mergeCell ref="A38:B38"/>
    <mergeCell ref="A37:B37"/>
    <mergeCell ref="A36:B36"/>
    <mergeCell ref="D36:G36"/>
    <mergeCell ref="H35:M35"/>
    <mergeCell ref="H36:M36"/>
    <mergeCell ref="H37:M37"/>
    <mergeCell ref="D35:G35"/>
    <mergeCell ref="B26:M26"/>
    <mergeCell ref="B31:M31"/>
    <mergeCell ref="A35:B35"/>
    <mergeCell ref="H33:M33"/>
    <mergeCell ref="H34:M34"/>
    <mergeCell ref="A33:B33"/>
    <mergeCell ref="A34:B34"/>
    <mergeCell ref="A13:M13"/>
    <mergeCell ref="B20:M20"/>
    <mergeCell ref="B21:M21"/>
    <mergeCell ref="B24:M24"/>
    <mergeCell ref="B23:M23"/>
    <mergeCell ref="K6:M6"/>
    <mergeCell ref="G8:J8"/>
    <mergeCell ref="G9:J9"/>
    <mergeCell ref="G10:J10"/>
    <mergeCell ref="G11:J11"/>
    <mergeCell ref="A1:B4"/>
    <mergeCell ref="J2:M2"/>
    <mergeCell ref="J3:M3"/>
    <mergeCell ref="J4:M4"/>
    <mergeCell ref="C3:H3"/>
  </mergeCells>
  <phoneticPr fontId="0" type="noConversion"/>
  <conditionalFormatting sqref="F9:F11 M9:M11">
    <cfRule type="cellIs" dxfId="2" priority="10" stopIfTrue="1" operator="equal">
      <formula>$W$5</formula>
    </cfRule>
    <cfRule type="cellIs" dxfId="1" priority="11" stopIfTrue="1" operator="equal">
      <formula>$W$3</formula>
    </cfRule>
    <cfRule type="cellIs" dxfId="0" priority="12" stopIfTrue="1" operator="equal">
      <formula>$W$2</formula>
    </cfRule>
  </conditionalFormatting>
  <dataValidations count="2">
    <dataValidation type="list" allowBlank="1" showInputMessage="1" showErrorMessage="1" sqref="K9:K11 D9:D11" xr:uid="{00000000-0002-0000-0000-000000000000}">
      <formula1>$Q$2:$Q$7</formula1>
    </dataValidation>
    <dataValidation type="list" allowBlank="1" showInputMessage="1" showErrorMessage="1" sqref="L9:L11 E9:E11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3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AEB9-19C5-4670-AE1E-12A34EEE30AF}">
  <dimension ref="A1:V34"/>
  <sheetViews>
    <sheetView tabSelected="1" showWhiteSpace="0" view="pageLayout" workbookViewId="0">
      <selection activeCell="A5" sqref="A5:L14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84"/>
      <c r="B1" s="184"/>
      <c r="C1" s="184"/>
      <c r="D1" s="91"/>
      <c r="E1" s="91"/>
      <c r="F1" s="91"/>
      <c r="G1" s="1"/>
      <c r="H1" s="1"/>
      <c r="I1" s="185"/>
      <c r="J1" s="185"/>
      <c r="O1" s="14" t="s">
        <v>1</v>
      </c>
      <c r="P1" s="14" t="s">
        <v>2</v>
      </c>
      <c r="Q1" s="14" t="s">
        <v>3</v>
      </c>
      <c r="R1" s="14" t="s">
        <v>4</v>
      </c>
      <c r="S1" s="14" t="s">
        <v>5</v>
      </c>
      <c r="T1" s="14" t="s">
        <v>6</v>
      </c>
      <c r="U1" s="18" t="s">
        <v>7</v>
      </c>
      <c r="V1" s="2"/>
    </row>
    <row r="2" spans="1:22" ht="25.5" customHeight="1" x14ac:dyDescent="0.2">
      <c r="A2" s="184"/>
      <c r="B2" s="184"/>
      <c r="C2" s="184"/>
      <c r="D2" s="186" t="s">
        <v>101</v>
      </c>
      <c r="E2" s="105"/>
      <c r="F2" s="105"/>
      <c r="G2" s="105"/>
      <c r="H2" s="105"/>
      <c r="I2" s="187"/>
      <c r="J2" s="187"/>
      <c r="N2" s="7"/>
      <c r="O2" s="14">
        <v>1</v>
      </c>
      <c r="P2" s="14" t="s">
        <v>8</v>
      </c>
      <c r="Q2" s="15"/>
      <c r="R2" s="15"/>
      <c r="S2" s="15"/>
      <c r="T2" s="15"/>
      <c r="U2" s="18" t="s">
        <v>9</v>
      </c>
      <c r="V2" s="5"/>
    </row>
    <row r="3" spans="1:22" ht="25.5" customHeight="1" x14ac:dyDescent="0.2">
      <c r="A3" s="184"/>
      <c r="B3" s="184"/>
      <c r="C3" s="184"/>
      <c r="D3" s="49"/>
      <c r="E3" s="49"/>
      <c r="F3" s="49"/>
      <c r="G3" s="49"/>
      <c r="H3" s="49"/>
      <c r="I3" s="188"/>
      <c r="J3" s="188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89" t="s">
        <v>64</v>
      </c>
      <c r="B5" s="190"/>
      <c r="C5" s="195" t="s">
        <v>106</v>
      </c>
      <c r="D5" s="196"/>
      <c r="E5" s="196"/>
      <c r="F5" s="196"/>
      <c r="G5" s="197"/>
      <c r="H5" s="195" t="s">
        <v>105</v>
      </c>
      <c r="I5" s="196"/>
      <c r="J5" s="196"/>
      <c r="K5" s="196"/>
      <c r="L5" s="197"/>
      <c r="M5" s="22"/>
    </row>
    <row r="6" spans="1:22" ht="20.25" customHeight="1" thickBot="1" x14ac:dyDescent="0.25">
      <c r="A6" s="191"/>
      <c r="B6" s="192"/>
      <c r="C6" s="181" t="s">
        <v>107</v>
      </c>
      <c r="D6" s="181" t="s">
        <v>108</v>
      </c>
      <c r="E6" s="181" t="s">
        <v>109</v>
      </c>
      <c r="F6" s="181" t="s">
        <v>110</v>
      </c>
      <c r="G6" s="181" t="s">
        <v>145</v>
      </c>
      <c r="H6" s="69" t="s">
        <v>16</v>
      </c>
      <c r="I6" s="69" t="s">
        <v>17</v>
      </c>
      <c r="J6" s="69" t="s">
        <v>18</v>
      </c>
      <c r="K6" s="21" t="s">
        <v>14</v>
      </c>
      <c r="L6" s="21" t="s">
        <v>15</v>
      </c>
      <c r="M6" s="22"/>
    </row>
    <row r="7" spans="1:22" ht="112.5" x14ac:dyDescent="0.2">
      <c r="A7" s="191"/>
      <c r="B7" s="192"/>
      <c r="C7" s="182"/>
      <c r="D7" s="182"/>
      <c r="E7" s="182"/>
      <c r="F7" s="182"/>
      <c r="G7" s="182"/>
      <c r="H7" s="70" t="s">
        <v>102</v>
      </c>
      <c r="I7" s="70" t="s">
        <v>103</v>
      </c>
      <c r="J7" s="70" t="s">
        <v>104</v>
      </c>
      <c r="K7" s="23" t="s">
        <v>34</v>
      </c>
      <c r="L7" s="23" t="s">
        <v>35</v>
      </c>
      <c r="M7" s="22"/>
    </row>
    <row r="8" spans="1:22" ht="12.75" customHeight="1" x14ac:dyDescent="0.2">
      <c r="A8" s="191"/>
      <c r="B8" s="192"/>
      <c r="C8" s="182"/>
      <c r="D8" s="182"/>
      <c r="E8" s="182"/>
      <c r="F8" s="182"/>
      <c r="G8" s="182"/>
      <c r="H8" s="175" t="s">
        <v>113</v>
      </c>
      <c r="I8" s="175" t="s">
        <v>112</v>
      </c>
      <c r="J8" s="175" t="s">
        <v>111</v>
      </c>
      <c r="K8" s="175" t="s">
        <v>36</v>
      </c>
      <c r="L8" s="175" t="s">
        <v>37</v>
      </c>
      <c r="M8" s="22"/>
    </row>
    <row r="9" spans="1:22" ht="40.5" customHeight="1" thickBot="1" x14ac:dyDescent="0.25">
      <c r="A9" s="193"/>
      <c r="B9" s="194"/>
      <c r="C9" s="183"/>
      <c r="D9" s="183"/>
      <c r="E9" s="183"/>
      <c r="F9" s="183"/>
      <c r="G9" s="183"/>
      <c r="H9" s="176"/>
      <c r="I9" s="176"/>
      <c r="J9" s="176"/>
      <c r="K9" s="176"/>
      <c r="L9" s="176"/>
      <c r="M9" s="22"/>
    </row>
    <row r="10" spans="1:22" ht="49.5" customHeight="1" x14ac:dyDescent="0.2">
      <c r="A10" s="177">
        <v>1</v>
      </c>
      <c r="B10" s="178"/>
      <c r="C10" s="38" t="s">
        <v>114</v>
      </c>
      <c r="D10" s="38" t="s">
        <v>115</v>
      </c>
      <c r="E10" s="38" t="s">
        <v>116</v>
      </c>
      <c r="F10" s="38" t="s">
        <v>117</v>
      </c>
      <c r="G10" s="39" t="s">
        <v>118</v>
      </c>
      <c r="H10" s="30" t="s">
        <v>19</v>
      </c>
      <c r="I10" s="31" t="s">
        <v>20</v>
      </c>
      <c r="J10" s="31" t="s">
        <v>21</v>
      </c>
      <c r="K10" s="40" t="s">
        <v>38</v>
      </c>
      <c r="L10" s="32" t="s">
        <v>39</v>
      </c>
      <c r="M10" s="22"/>
    </row>
    <row r="11" spans="1:22" ht="64.5" customHeight="1" x14ac:dyDescent="0.2">
      <c r="A11" s="179">
        <v>2</v>
      </c>
      <c r="B11" s="180"/>
      <c r="C11" s="24" t="s">
        <v>122</v>
      </c>
      <c r="D11" s="24" t="s">
        <v>144</v>
      </c>
      <c r="E11" s="38" t="s">
        <v>121</v>
      </c>
      <c r="F11" s="24" t="s">
        <v>120</v>
      </c>
      <c r="G11" s="28" t="s">
        <v>119</v>
      </c>
      <c r="H11" s="33" t="s">
        <v>22</v>
      </c>
      <c r="I11" s="34" t="s">
        <v>23</v>
      </c>
      <c r="J11" s="34" t="s">
        <v>24</v>
      </c>
      <c r="K11" s="35" t="s">
        <v>40</v>
      </c>
      <c r="L11" s="36" t="s">
        <v>41</v>
      </c>
      <c r="M11" s="22"/>
    </row>
    <row r="12" spans="1:22" ht="69" customHeight="1" x14ac:dyDescent="0.2">
      <c r="A12" s="179">
        <v>3</v>
      </c>
      <c r="B12" s="180"/>
      <c r="C12" s="24" t="s">
        <v>143</v>
      </c>
      <c r="D12" s="24" t="s">
        <v>142</v>
      </c>
      <c r="E12" s="38" t="s">
        <v>141</v>
      </c>
      <c r="F12" s="24" t="s">
        <v>123</v>
      </c>
      <c r="G12" s="28" t="s">
        <v>140</v>
      </c>
      <c r="H12" s="33" t="s">
        <v>25</v>
      </c>
      <c r="I12" s="34" t="s">
        <v>26</v>
      </c>
      <c r="J12" s="35" t="s">
        <v>27</v>
      </c>
      <c r="K12" s="35" t="s">
        <v>42</v>
      </c>
      <c r="L12" s="41" t="s">
        <v>43</v>
      </c>
      <c r="M12" s="22"/>
    </row>
    <row r="13" spans="1:22" ht="78.75" customHeight="1" x14ac:dyDescent="0.2">
      <c r="A13" s="179">
        <v>4</v>
      </c>
      <c r="B13" s="180"/>
      <c r="C13" s="24" t="s">
        <v>124</v>
      </c>
      <c r="D13" s="24" t="s">
        <v>139</v>
      </c>
      <c r="E13" s="38" t="s">
        <v>138</v>
      </c>
      <c r="F13" s="24" t="s">
        <v>125</v>
      </c>
      <c r="G13" s="28" t="s">
        <v>126</v>
      </c>
      <c r="H13" s="33" t="s">
        <v>28</v>
      </c>
      <c r="I13" s="35" t="s">
        <v>29</v>
      </c>
      <c r="J13" s="35" t="s">
        <v>30</v>
      </c>
      <c r="K13" s="42" t="s">
        <v>44</v>
      </c>
      <c r="L13" s="41" t="s">
        <v>45</v>
      </c>
      <c r="M13" s="22"/>
    </row>
    <row r="14" spans="1:22" ht="75" customHeight="1" thickBot="1" x14ac:dyDescent="0.25">
      <c r="A14" s="173">
        <v>5</v>
      </c>
      <c r="B14" s="174"/>
      <c r="C14" s="25" t="s">
        <v>127</v>
      </c>
      <c r="D14" s="25" t="s">
        <v>137</v>
      </c>
      <c r="E14" s="25" t="s">
        <v>128</v>
      </c>
      <c r="F14" s="25" t="s">
        <v>129</v>
      </c>
      <c r="G14" s="29" t="s">
        <v>130</v>
      </c>
      <c r="H14" s="45" t="s">
        <v>31</v>
      </c>
      <c r="I14" s="37" t="s">
        <v>32</v>
      </c>
      <c r="J14" s="43" t="s">
        <v>33</v>
      </c>
      <c r="K14" s="43" t="s">
        <v>46</v>
      </c>
      <c r="L14" s="44" t="s">
        <v>47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C6:C9"/>
    <mergeCell ref="D6:D9"/>
    <mergeCell ref="A1:C3"/>
    <mergeCell ref="I1:J1"/>
    <mergeCell ref="D2:H2"/>
    <mergeCell ref="I2:J2"/>
    <mergeCell ref="I3:J3"/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5:B9"/>
    <mergeCell ref="C5:G5"/>
    <mergeCell ref="H5:L5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faa5c77d-98fa-4e50-863f-182fb51ee117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2014-11-10T14:56:30Z</cp:lastPrinted>
  <dcterms:created xsi:type="dcterms:W3CDTF">2011-02-21T14:14:41Z</dcterms:created>
  <dcterms:modified xsi:type="dcterms:W3CDTF">2025-02-26T15:14:27Z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