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F39C690B-8D50-4D50-9D03-58D564971A56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АСОР!$O$55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АСОР!$A$1:$M$47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" l="1"/>
  <c r="V22" i="1"/>
  <c r="S22" i="1"/>
  <c r="U22" i="1"/>
  <c r="T21" i="1"/>
  <c r="V21" i="1"/>
  <c r="S21" i="1"/>
  <c r="U21" i="1"/>
  <c r="T20" i="1"/>
  <c r="V20" i="1"/>
  <c r="S20" i="1"/>
  <c r="U20" i="1"/>
  <c r="T19" i="1"/>
  <c r="V19" i="1"/>
  <c r="S19" i="1"/>
  <c r="U19" i="1"/>
  <c r="T18" i="1"/>
  <c r="V18" i="1"/>
  <c r="S18" i="1"/>
  <c r="U18" i="1"/>
  <c r="T17" i="1"/>
  <c r="V17" i="1"/>
  <c r="S17" i="1"/>
  <c r="U17" i="1"/>
  <c r="T16" i="1"/>
  <c r="V16" i="1"/>
  <c r="S16" i="1"/>
  <c r="U16" i="1"/>
  <c r="T15" i="1"/>
  <c r="V15" i="1"/>
  <c r="S15" i="1"/>
  <c r="U15" i="1"/>
  <c r="T14" i="1"/>
  <c r="V14" i="1"/>
  <c r="M14" i="1"/>
  <c r="S14" i="1"/>
  <c r="U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<sst xmlns="http://schemas.openxmlformats.org/spreadsheetml/2006/main" count="183" uniqueCount="168">
  <si>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</si>
  <si>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</si>
  <si>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</si>
  <si>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</si>
  <si>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</si>
  <si>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</si>
  <si>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</si>
  <si>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</si>
  <si>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</si>
  <si>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</si>
  <si>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</si>
  <si>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</si>
  <si>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0"/>
        <color rgb="FF000000"/>
        <rFont val="Arial"/>
        <family val="2"/>
      </rPr>
      <t>Discuss all steps of the job to be undertaken / Обсуждение всех выполняемых этапов работ.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</si>
  <si>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</si>
  <si>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</si>
  <si>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</si>
  <si>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</si>
  <si>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</si>
  <si>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</si>
  <si>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</si>
  <si>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</si>
  <si>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</si>
  <si>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</si>
  <si>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</si>
  <si>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</si>
  <si>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</si>
  <si>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</si>
  <si>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</si>
  <si>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</si>
  <si>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</si>
  <si>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</si>
  <si>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</si>
  <si>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</si>
  <si>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</si>
  <si>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</si>
  <si>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</si>
  <si>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</si>
  <si>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</si>
  <si>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</si>
  <si>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</si>
  <si>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</si>
  <si>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</si>
  <si>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</si>
  <si>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</si>
  <si>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</si>
  <si>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</si>
  <si>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</si>
  <si>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</si>
  <si>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</si>
  <si>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</si>
  <si>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</si>
  <si>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</si>
  <si>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</si>
  <si>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</si>
  <si>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</si>
  <si>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</si>
  <si>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</si>
  <si>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</si>
  <si>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</si>
  <si>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</si>
  <si>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АНАЛИЗ СТЕПЕНИ ОПАСНОСТИ РАБОТ (АСОР)</t>
  </si>
  <si>
    <t>Название судна</t>
  </si>
  <si>
    <t>Дата</t>
  </si>
  <si>
    <t>Описание работ</t>
  </si>
  <si>
    <t>Оборудование</t>
  </si>
  <si>
    <t xml:space="preserve"> Исходный риск</t>
  </si>
  <si>
    <t>Номер оценки рисков</t>
  </si>
  <si>
    <t>Остаточный риск</t>
  </si>
  <si>
    <t>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</si>
  <si>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</si>
  <si>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</si>
  <si>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</si>
  <si>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</si>
  <si>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</si>
  <si>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</si>
  <si>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</si>
  <si>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>До начала швартовки</t>
  </si>
  <si>
    <t>Пренебрежение мерами предосторожности</t>
  </si>
  <si>
    <t xml:space="preserve">До начала операций заполнить проверочный чек -лист. </t>
  </si>
  <si>
    <t>Работа с палубной техникой, например, лебедками и шпилями</t>
  </si>
  <si>
    <t xml:space="preserve"> Травмы персонала из-за неправильного использования/неисправности оборудования. Ущерб окружающей среде из-за неисправности оборудования/протечек жидкости.Повреждение оборудования из-за неправильного использования/неопытного персонала. Травмы с потерей рабочего времени. Возможны постоянные травмы, летальный исход не исключен. Воздействие на окружающую среду в море/водоемах считается минимальным. Протечка должна быть локализована на судне. Повреждение оборудования, что может привести к задержке операций.</t>
  </si>
  <si>
    <t>Должны быть надеты соответствующие СИЗ, включая каску, защитную обувь, защитные очки, перчатки и т.д. b. Оборудование должно обслуживаться в соответствии с планом/рекомендациями производителей. c. Рабочая зона должна быть хорошо освещена в любое время суток. d. Должна быть обеспечена четкая связь с  офицером с помощью ручных сигналов, либо с помощью рации. e. Только опытный и квалифицированный персонал должен работать с оборудованием. f. Оборудование должно эксплуатироваться в соответствии с рекомендациями производителей. g. Должны проводиться предварительные инструктажи по работе с инструментами и оборудованием. h. Должны быть составлены ППР на конкретные виды работ.</t>
  </si>
  <si>
    <t>Отдача якоря</t>
  </si>
  <si>
    <t>Травмы персонала из-за неправильного положения человека и/или отказа оборудования/отсутствия контроля. Ущерб окружающей среде из-за утечки гидравлического масла. Повреждение оборудования из-за неправильного использования. Возможна потеря рабочего времени. Не исключена утрата трудоспособности или летальный исход. Разлив &lt; 1 барреля с незначительным воздействием на окружающую среду. Повреждение брашпиля, требующее ремонта. Ремонт не срочный, но может повлиять на эксплуатацию судна.</t>
  </si>
  <si>
    <t>Лебедки и сопутствующее оборудование должны, как минимум, обслуживаться в соответствии с рекомендациями производителя. Персонал должен носить соответствующие СИЗ. Лебедкой должен управлять только опытный и квалифицированный персонал. Должна быть обеспечена хорошая и непрерывная связь между палубой бака и мостиком. Якорь должен отпускаться контролируемым образом. Комплекты для ликвидации разливов нефти должны быть в свободном доступе. Персонал должен находиться на достаточном расстоянии от цепи при отдаче якоря. Должны проводиться  инструктажи о работе с механизмами и инструментами.</t>
  </si>
  <si>
    <t>Крепление/фиксация якорной цепи</t>
  </si>
  <si>
    <t xml:space="preserve">Травмы персонала из-за повреждения и/или зажатия руки. Травма с потерей рабочего времени. Постоянная инвалидность не может быть исключена. Возможна потеря рабочего времени. Разлив &lt; 10 баррелей с незначительным воздействием на окружающую среду. </t>
  </si>
  <si>
    <t>Оборудование лебедки должно, как минимум, обслуживаться в 
в соответствии с рекомендациями производителя.
Персонал должен использовать соответствующие СИЗ. 
Только опытный и квалифицированный персонал должен 
работать с лебедкой и якорным устройством. 
Необходимо проводить инструктажи по использованию применяемого оборудования и инструментов. 
Вахтенный помощник должен постоянно находиться на мостике, когда судно стоит на якоре. Радар должен, как минимум, работать в темное время суток и/или в условиях плохой видимости. Положение буксира должно проверяться через регулярные промежутки времени. При плохой видимости должны подаваться соответствующие сигналы.</t>
  </si>
  <si>
    <t>Судно на якоре</t>
  </si>
  <si>
    <t>Повреждение судна, требующее ремонта. Судно, скорее всего, будет выведено из эксплуатации. Разлив &lt; 10 баррелей с незначительным воздействием на окружающую среду. Травма с потерей рабочего времени. Постоянная нетрудоспособность не может быть исключена.
Ущерб окружающей среде в результате столкновения другого судна с другим судном или в результате того, что судно отдало якорь и село на мель. Повреждение судна в результате столкновения другого судна с собственным или поднятия якоря и посадки на мель.</t>
  </si>
  <si>
    <t>Вахтенный должен постоянно находиться на мостике, когда судно стоит на якоре. Радар должен, работать в часы темноты и/или плохой видимости как минимум. Положение буксира должно проверяться через регулярные промежутки времени. При плохой видимости должны подаваться соответствующие сигналы.</t>
  </si>
  <si>
    <t>Подъем якоря</t>
  </si>
  <si>
    <t xml:space="preserve">Возможна травма с потерей рабочего времени. Не исключена постоянная инвалидность, возможен летальный исход. Разлив &lt; 1 барреля с незначительным воздействием на окружающую среду. Повреждение брашпиля, требующее ремонта. Ремонт не срочный, но может повлиять на эксплуатацию судна. Травма из-за неправильного положения человека и/или отказа оборудования. Ущерб окружающей среде из-за утечки гидравлического масла. Повреждение оборудования в результате неправильной эксплуатации. </t>
  </si>
  <si>
    <t xml:space="preserve">Лебедки и сопутствующее оборудование должны, как минимум, обслуживаться в соответствии с рекомендациями производителя. Персонал должен использовать соответствующие СИЗ. Лебедкой должен управлять только опытный, квалифицированный персонал. Должна быть обеспечена хорошая и непрерывная связь старшего офицера между палубой бака и мостиком. Не допускается чрезмерная нагрузка на якорь при подъеме. Комплекты для ликвидации разливов нефти должны быть легкодоступны. Персонал должен находиться на достаточном расстоянии от цепи при подъеме якоря. 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</si>
  <si>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</si>
  <si>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>Учетная документация по инструктажам на рабочем месте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</si>
  <si>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</si>
  <si>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</si>
  <si>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</si>
  <si>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</si>
  <si>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</si>
  <si>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</si>
  <si>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</si>
  <si>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</si>
  <si>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</si>
  <si>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</si>
  <si>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</si>
  <si>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</si>
  <si>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</si>
  <si>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</si>
  <si>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</si>
  <si>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</si>
  <si>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</si>
  <si>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</si>
  <si>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</si>
  <si>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</si>
  <si>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</si>
  <si>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</si>
  <si>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</si>
  <si>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</si>
  <si>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</si>
  <si>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</si>
  <si>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</si>
  <si>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Возрастающая вероятность</t>
  </si>
  <si>
    <t>Люди</t>
  </si>
  <si>
    <t>Окружающая среда</t>
  </si>
  <si>
    <t>Имущество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</si>
  <si>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</si>
  <si>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</si>
  <si>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</si>
  <si>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Маловероятно</t>
  </si>
  <si>
    <t>Возможно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</si>
  <si>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</si>
  <si>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</si>
  <si>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</si>
  <si>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</si>
  <si>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Несущественное воздействие 
&lt; 10 литров</t>
  </si>
  <si>
    <t>Несущественное повреждение 
&lt; 5000€ / евро</t>
  </si>
  <si>
    <t>Несущественное негативное воздействие</t>
  </si>
  <si>
    <t>Умеренное негативное воздействие</t>
  </si>
  <si>
    <t xml:space="preserve"> Задержка 12–48 часов</t>
  </si>
  <si>
    <t>Постоянная утрата трудоспособности или летальный исход</t>
  </si>
  <si>
    <t>Значительное воздействие
1-10 баррелей</t>
  </si>
  <si>
    <t xml:space="preserve"> Значительное повреждение 
&lt;500.000€ / евро</t>
  </si>
  <si>
    <t>Значительное негативное воздействие</t>
  </si>
  <si>
    <t>Задержка 48 часов – 7 дней</t>
  </si>
  <si>
    <t>Более 1 смертельного случая</t>
  </si>
  <si>
    <t>Сильное негативное воздействие</t>
  </si>
  <si>
    <t>Задержка более 7 дней</t>
  </si>
  <si>
    <t>Постановка на якорь</t>
  </si>
  <si>
    <t xml:space="preserve">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</si>
  <si>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</si>
  <si>
    <t>Якорная лебедка, связь, СИЗ</t>
  </si>
  <si>
    <t>File 09 / Папка 09</t>
  </si>
  <si>
    <t>Retention 3 Year / Срок хранения документа 3 года</t>
  </si>
  <si>
    <t>BL_FRM-VSL-09-1312-004</t>
  </si>
  <si>
    <t>Последствия</t>
  </si>
  <si>
    <t xml:space="preserve"> Репутация</t>
  </si>
  <si>
    <t xml:space="preserve"> График</t>
  </si>
  <si>
    <t xml:space="preserve"> Крайне маловероятно</t>
  </si>
  <si>
    <t>Травмы с оказанием доврачебной помощи</t>
  </si>
  <si>
    <t>Медицинская помощь, травма с ограничением рабочих функций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</si>
  <si>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</si>
  <si>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</si>
  <si>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>Умеренное воздействие
 менее - 1 баррель</t>
  </si>
  <si>
    <t>Умеренное повреждение 
&lt;50.000€ / евро</t>
  </si>
  <si>
    <t>Сильное воздействие
&gt; 10  баррелей</t>
  </si>
  <si>
    <t>Обширное повреждение
&gt; 500.000€ /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</si>
</sst>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sz val="12"/>
      <name val="Arial"/>
      <family val="2"/>
      <charset val="204"/>
    </font>
    <font>
      <sz val="8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2" fillId="2" borderId="0" xfId="0" applyFont="1" applyFill="1"/>
    <xf numFmtId="0" fontId="15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6" fillId="0" borderId="6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12" fillId="2" borderId="19" xfId="0" applyFont="1" applyFill="1" applyBorder="1"/>
    <xf numFmtId="0" fontId="12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4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2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8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2" fillId="0" borderId="4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38" fillId="2" borderId="18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8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5" fillId="2" borderId="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4" fillId="2" borderId="8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vertical="center" wrapText="1"/>
    </xf>
    <xf numFmtId="0" fontId="35" fillId="2" borderId="8" xfId="0" applyFont="1" applyFill="1" applyBorder="1" applyAlignment="1">
      <alignment horizontal="left" vertical="center"/>
    </xf>
    <xf numFmtId="0" fontId="40" fillId="2" borderId="8" xfId="0" applyFont="1" applyFill="1" applyBorder="1" applyAlignment="1">
      <alignment horizontal="left" vertical="center" wrapText="1"/>
    </xf>
    <xf numFmtId="0" fontId="42" fillId="2" borderId="17" xfId="0" applyFont="1" applyFill="1" applyBorder="1" applyAlignment="1">
      <alignment horizontal="left" vertical="center" wrapText="1"/>
    </xf>
    <xf numFmtId="0" fontId="42" fillId="2" borderId="4" xfId="0" applyFont="1" applyFill="1" applyBorder="1" applyAlignment="1">
      <alignment horizontal="left" vertical="center" wrapText="1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0" fillId="2" borderId="2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6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4" fillId="0" borderId="17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17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8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8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7" fillId="2" borderId="0" xfId="0" applyFont="1" applyFill="1" applyAlignment="1">
      <alignment horizontal="center" vertical="center" wrapText="1"/>
    </xf>
    <xf numFmtId="0" fontId="23" fillId="8" borderId="1" xfId="0" applyFont="1" applyFill="1" applyBorder="1" applyAlignment="1">
      <alignment horizontal="right" vertical="center" wrapText="1"/>
    </xf>
    <xf numFmtId="0" fontId="23" fillId="8" borderId="8" xfId="0" applyFont="1" applyFill="1" applyBorder="1" applyAlignment="1">
      <alignment horizontal="right" vertical="center" wrapText="1"/>
    </xf>
    <xf numFmtId="0" fontId="23" fillId="8" borderId="4" xfId="0" applyFont="1" applyFill="1" applyBorder="1" applyAlignment="1">
      <alignment horizontal="right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textRotation="90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14" fontId="23" fillId="8" borderId="8" xfId="0" applyNumberFormat="1" applyFont="1" applyFill="1" applyBorder="1" applyAlignment="1">
      <alignment horizontal="center" vertical="center" wrapText="1"/>
    </xf>
    <xf numFmtId="14" fontId="23" fillId="8" borderId="17" xfId="0" applyNumberFormat="1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right" vertical="center" wrapText="1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14" fontId="23" fillId="8" borderId="4" xfId="0" applyNumberFormat="1" applyFont="1" applyFill="1" applyBorder="1" applyAlignment="1">
      <alignment horizontal="center" vertical="center" wrapText="1"/>
    </xf>
    <xf numFmtId="0" fontId="39" fillId="8" borderId="19" xfId="0" applyFont="1" applyFill="1" applyBorder="1" applyAlignment="1">
      <alignment horizontal="left" vertical="center" wrapText="1"/>
    </xf>
    <xf numFmtId="0" fontId="28" fillId="8" borderId="19" xfId="0" applyFont="1" applyFill="1" applyBorder="1" applyAlignment="1">
      <alignment horizontal="left" vertical="center" wrapText="1"/>
    </xf>
    <xf numFmtId="0" fontId="29" fillId="8" borderId="18" xfId="0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0" fontId="30" fillId="8" borderId="19" xfId="0" applyFont="1" applyFill="1" applyBorder="1" applyAlignment="1">
      <alignment horizontal="center"/>
    </xf>
    <xf numFmtId="0" fontId="31" fillId="8" borderId="19" xfId="0" applyFont="1" applyFill="1" applyBorder="1" applyAlignment="1">
      <alignment horizontal="left" vertical="center" indent="1"/>
    </xf>
    <xf numFmtId="0" fontId="27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left" vertical="center"/>
    </xf>
    <xf numFmtId="0" fontId="27" fillId="8" borderId="21" xfId="0" applyFont="1" applyFill="1" applyBorder="1" applyAlignment="1">
      <alignment horizontal="right" vertical="center"/>
    </xf>
    <xf numFmtId="0" fontId="22" fillId="8" borderId="8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2" fillId="8" borderId="17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14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43" fillId="3" borderId="6" xfId="0" applyFont="1" applyFill="1" applyBorder="1" applyAlignment="1">
      <alignment horizontal="center" textRotation="90" wrapText="1"/>
    </xf>
    <xf numFmtId="0" fontId="43" fillId="3" borderId="24" xfId="0" applyFont="1" applyFill="1" applyBorder="1" applyAlignment="1">
      <alignment horizontal="center" textRotation="90" wrapText="1"/>
    </xf>
    <xf numFmtId="0" fontId="43" fillId="3" borderId="25" xfId="0" applyFont="1" applyFill="1" applyBorder="1" applyAlignment="1">
      <alignment horizontal="center" textRotation="90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142875</xdr:colOff>
      <xdr:row>2</xdr:row>
      <xdr:rowOff>59531</xdr:rowOff>
    </xdr:from>
    <xdr:ext cx="2071687" cy="183041"/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B20B41BD-AB6B-44DF-B0F7-B0AFE370CFF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23875"/>
          <a:ext cx="2071687" cy="183041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47B17691-40CA-416A-8F58-591462DF2EED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0086E905-FE46-4C4B-937F-1C91809E823D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63FF8869-1A0B-4EED-B82D-D8E95A41B12F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D9C90B5-5684-4338-86E9-B26C0177807E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3E0540-1D5E-40DF-ADBF-A5C69AD0A210}"/>
            </a:ext>
          </a:extLst>
        </xdr:cNvPr>
        <xdr:cNvSpPr txBox="1"/>
      </xdr:nvSpPr>
      <xdr:spPr>
        <a:xfrm>
          <a:off x="2934457" y="94018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4258E3-DA00-4ACA-A907-74B0B645A9DD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51DF9E-3C47-4DD0-808B-6E783124B96E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48832140-B47F-43F9-96F0-25FAFCCC4AE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56"/>
  <sheetViews>
    <sheetView tabSelected="1" zoomScale="80" zoomScaleNormal="80" zoomScalePageLayoutView="70" workbookViewId="0">
      <selection sqref="A1:B4"/>
    </sheetView>
  </sheetViews>
  <sheetFormatPr defaultColWidth="9.140625" defaultRowHeight="12.75" x14ac:dyDescent="0.2"/>
  <cols>
    <col min="1" max="1" width="6.85546875" style="3" customWidth="1"/>
    <col min="2" max="2" width="28.7109375" style="3" customWidth="1"/>
    <col min="3" max="3" width="66.140625" style="3" customWidth="1"/>
    <col min="4" max="4" width="4.85546875" style="3" customWidth="1"/>
    <col min="5" max="5" width="5.140625" style="3" customWidth="1"/>
    <col min="6" max="6" width="5.285156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285156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78"/>
      <c r="B1" s="79"/>
      <c r="C1" s="51"/>
      <c r="D1" s="52"/>
      <c r="E1" s="52"/>
      <c r="F1" s="52"/>
      <c r="G1" s="53"/>
      <c r="H1" s="54"/>
      <c r="I1" s="1"/>
      <c r="J1" s="59"/>
      <c r="K1" s="53"/>
      <c r="L1" s="53"/>
      <c r="M1" s="60"/>
      <c r="Q1" s="14" t="s">
        <v>13</v>
      </c>
      <c r="R1" s="14" t="s">
        <v>14</v>
      </c>
      <c r="S1" s="14" t="s">
        <v>15</v>
      </c>
      <c r="T1" s="14" t="s">
        <v>16</v>
      </c>
      <c r="U1" s="14" t="s">
        <v>17</v>
      </c>
      <c r="V1" s="14" t="s">
        <v>18</v>
      </c>
      <c r="W1" s="18" t="s">
        <v>19</v>
      </c>
    </row>
    <row r="2" spans="1:23" ht="25.5" customHeight="1" x14ac:dyDescent="0.2">
      <c r="A2" s="80"/>
      <c r="B2" s="81"/>
      <c r="C2" s="55"/>
      <c r="D2" s="50"/>
      <c r="E2" s="50"/>
      <c r="F2" s="50"/>
      <c r="G2" s="50"/>
      <c r="H2" s="56"/>
      <c r="I2" s="4"/>
      <c r="J2" s="125" t="s">
        <v>155</v>
      </c>
      <c r="K2" s="126"/>
      <c r="L2" s="126"/>
      <c r="M2" s="127"/>
      <c r="P2" s="7"/>
      <c r="Q2" s="14">
        <v>1</v>
      </c>
      <c r="R2" s="14" t="s">
        <v>20</v>
      </c>
      <c r="S2" s="15"/>
      <c r="T2" s="15"/>
      <c r="U2" s="15"/>
      <c r="V2" s="15"/>
      <c r="W2" s="18" t="s">
        <v>21</v>
      </c>
    </row>
    <row r="3" spans="1:23" ht="25.5" customHeight="1" x14ac:dyDescent="0.2">
      <c r="A3" s="80"/>
      <c r="B3" s="81"/>
      <c r="C3" s="131" t="s">
        <v>60</v>
      </c>
      <c r="D3" s="132"/>
      <c r="E3" s="132"/>
      <c r="F3" s="132"/>
      <c r="G3" s="132"/>
      <c r="H3" s="133"/>
      <c r="J3" s="125" t="s">
        <v>153</v>
      </c>
      <c r="K3" s="126"/>
      <c r="L3" s="126"/>
      <c r="M3" s="127"/>
      <c r="P3" s="7"/>
      <c r="Q3" s="14">
        <v>2</v>
      </c>
      <c r="R3" s="14" t="s">
        <v>22</v>
      </c>
      <c r="S3" s="15"/>
      <c r="T3" s="15"/>
      <c r="U3" s="15"/>
      <c r="V3" s="15"/>
      <c r="W3" s="18" t="s">
        <v>23</v>
      </c>
    </row>
    <row r="4" spans="1:23" ht="33.75" customHeight="1" x14ac:dyDescent="0.2">
      <c r="A4" s="82"/>
      <c r="B4" s="83"/>
      <c r="C4" s="58"/>
      <c r="H4" s="57"/>
      <c r="J4" s="128" t="s">
        <v>154</v>
      </c>
      <c r="K4" s="129"/>
      <c r="L4" s="129"/>
      <c r="M4" s="130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P5" s="7"/>
      <c r="Q5" s="14">
        <v>3</v>
      </c>
      <c r="R5" s="14" t="s">
        <v>24</v>
      </c>
      <c r="S5" s="15"/>
      <c r="T5" s="15"/>
      <c r="U5" s="15"/>
      <c r="V5" s="15"/>
      <c r="W5" s="18" t="s">
        <v>25</v>
      </c>
    </row>
    <row r="6" spans="1:23" s="7" customFormat="1" ht="36" customHeight="1" x14ac:dyDescent="0.2">
      <c r="A6" s="162" t="s">
        <v>61</v>
      </c>
      <c r="B6" s="162"/>
      <c r="C6" s="72"/>
      <c r="D6" s="62"/>
      <c r="E6" s="62"/>
      <c r="F6" s="63"/>
      <c r="G6" s="173" t="s">
        <v>63</v>
      </c>
      <c r="H6" s="74" t="s">
        <v>149</v>
      </c>
      <c r="I6" s="62"/>
      <c r="J6" s="174" t="s">
        <v>66</v>
      </c>
      <c r="K6" s="142" t="s">
        <v>155</v>
      </c>
      <c r="L6" s="142"/>
      <c r="M6" s="143"/>
      <c r="Q6" s="14">
        <v>4</v>
      </c>
      <c r="R6" s="14" t="s">
        <v>26</v>
      </c>
      <c r="S6" s="14"/>
      <c r="T6" s="14"/>
      <c r="U6" s="14"/>
      <c r="V6" s="14"/>
    </row>
    <row r="7" spans="1:23" s="7" customFormat="1" ht="36" customHeight="1" x14ac:dyDescent="0.2">
      <c r="A7" s="163" t="s">
        <v>62</v>
      </c>
      <c r="B7" s="164"/>
      <c r="C7" s="71"/>
      <c r="D7" s="171" t="s">
        <v>65</v>
      </c>
      <c r="E7" s="172"/>
      <c r="F7" s="172"/>
      <c r="G7" s="173" t="s">
        <v>64</v>
      </c>
      <c r="H7" s="90" t="s">
        <v>152</v>
      </c>
      <c r="I7" s="91"/>
      <c r="J7" s="92"/>
      <c r="K7" s="171" t="s">
        <v>67</v>
      </c>
      <c r="L7" s="172"/>
      <c r="M7" s="175"/>
      <c r="Q7" s="14">
        <v>5</v>
      </c>
      <c r="R7" s="14" t="s">
        <v>27</v>
      </c>
      <c r="S7" s="14"/>
      <c r="T7" s="14"/>
      <c r="U7" s="14"/>
      <c r="V7" s="14"/>
    </row>
    <row r="8" spans="1:23" ht="158.25" customHeight="1" x14ac:dyDescent="0.2">
      <c r="A8" s="165" t="s">
        <v>68</v>
      </c>
      <c r="B8" s="165" t="s">
        <v>69</v>
      </c>
      <c r="C8" s="165" t="s">
        <v>70</v>
      </c>
      <c r="D8" s="166" t="s">
        <v>71</v>
      </c>
      <c r="E8" s="166" t="s">
        <v>72</v>
      </c>
      <c r="F8" s="166" t="s">
        <v>73</v>
      </c>
      <c r="G8" s="167" t="s">
        <v>74</v>
      </c>
      <c r="H8" s="168"/>
      <c r="I8" s="169"/>
      <c r="J8" s="170"/>
      <c r="K8" s="166" t="s">
        <v>71</v>
      </c>
      <c r="L8" s="166" t="s">
        <v>72</v>
      </c>
      <c r="M8" s="166" t="s">
        <v>75</v>
      </c>
      <c r="Q8" s="14"/>
      <c r="R8" s="15"/>
      <c r="S8" s="15"/>
      <c r="T8" s="15"/>
      <c r="U8" s="15" t="str">
        <f>IF(L11="","",IF(N11="","",IF(M11+O11&lt;=5,$W$12,IF(M11+O11=6,$W$13,IF(M11+O11=7,$W$13,IF(M11+O11&gt;=8,$W$14,""))))))</f>
        <v/>
      </c>
      <c r="V8" s="15"/>
    </row>
    <row r="9" spans="1:23" ht="46.5" customHeight="1" x14ac:dyDescent="0.2">
      <c r="A9" s="73">
        <v>1</v>
      </c>
      <c r="B9" s="75" t="s">
        <v>76</v>
      </c>
      <c r="C9" s="76" t="s">
        <v>77</v>
      </c>
      <c r="D9" s="20">
        <v>4</v>
      </c>
      <c r="E9" s="13" t="s">
        <v>0</v>
      </c>
      <c r="F9" s="68" t="str">
        <f t="shared" ref="F9:F14" si="0">IF(D9="","",(IF(E9="","",IF(U9&lt;=1,"",IF(U9&lt;=5,$W$2,IF(U9=6,$W$3,IF(U9=7,$W$3,IF(U9&gt;=8,$W$5,""))))))))</f>
        <v>M</v>
      </c>
      <c r="G9" s="138" t="s">
        <v>78</v>
      </c>
      <c r="H9" s="139"/>
      <c r="I9" s="140"/>
      <c r="J9" s="141"/>
      <c r="K9" s="20">
        <v>1</v>
      </c>
      <c r="L9" s="13" t="s">
        <v>1</v>
      </c>
      <c r="M9" s="64" t="str">
        <f t="shared" ref="M9:M14" si="1">IF(K9="","",(IF(L9="","",IF(V9&lt;=1,"",IF(V9&lt;=5,$W$2,IF(V9=6,$W$3,IF(V9=7,$W$3,IF(V9&gt;=8,$W$5,""))))))))</f>
        <v>L</v>
      </c>
      <c r="Q9" s="14"/>
      <c r="R9" s="15"/>
      <c r="S9" s="19">
        <f t="shared" ref="S9:S14" si="2">IF(E9="A",1,IF(E9="B",2,IF(E9="C",3,IF(E9="D",4,IF(E9="E",5,"")))))</f>
        <v>3</v>
      </c>
      <c r="T9" s="19">
        <f t="shared" ref="T9:T14" si="3">IF(L9="A",1,IF(L9="B",2,IF(L9="C",3,IF(L9="D",4,IF(L9="E",5,"")))))</f>
        <v>3</v>
      </c>
      <c r="U9" s="15">
        <f t="shared" ref="U9:U14" si="4">D9+S9</f>
        <v>7</v>
      </c>
      <c r="V9" s="15">
        <f t="shared" ref="V9:V14" si="5">K9+T9</f>
        <v>4</v>
      </c>
    </row>
    <row r="10" spans="1:23" ht="195.75" customHeight="1" x14ac:dyDescent="0.2">
      <c r="A10" s="73">
        <v>2</v>
      </c>
      <c r="B10" s="75" t="s">
        <v>79</v>
      </c>
      <c r="C10" s="77" t="s">
        <v>80</v>
      </c>
      <c r="D10" s="20">
        <v>3</v>
      </c>
      <c r="E10" s="13" t="s">
        <v>2</v>
      </c>
      <c r="F10" s="68" t="str">
        <f t="shared" si="0"/>
        <v>M</v>
      </c>
      <c r="G10" s="138" t="s">
        <v>81</v>
      </c>
      <c r="H10" s="139"/>
      <c r="I10" s="140"/>
      <c r="J10" s="141"/>
      <c r="K10" s="20">
        <v>1</v>
      </c>
      <c r="L10" s="13" t="s">
        <v>3</v>
      </c>
      <c r="M10" s="64" t="str">
        <f t="shared" si="1"/>
        <v>L</v>
      </c>
      <c r="Q10" s="14"/>
      <c r="R10" s="15"/>
      <c r="S10" s="19">
        <f t="shared" si="2"/>
        <v>3</v>
      </c>
      <c r="T10" s="19">
        <f t="shared" si="3"/>
        <v>3</v>
      </c>
      <c r="U10" s="15">
        <f t="shared" si="4"/>
        <v>6</v>
      </c>
      <c r="V10" s="15">
        <f t="shared" si="5"/>
        <v>4</v>
      </c>
    </row>
    <row r="11" spans="1:23" ht="187.5" customHeight="1" x14ac:dyDescent="0.2">
      <c r="A11" s="73">
        <v>3</v>
      </c>
      <c r="B11" s="77" t="s">
        <v>82</v>
      </c>
      <c r="C11" s="77" t="s">
        <v>83</v>
      </c>
      <c r="D11" s="20">
        <v>3</v>
      </c>
      <c r="E11" s="13" t="s">
        <v>4</v>
      </c>
      <c r="F11" s="68" t="str">
        <f t="shared" si="0"/>
        <v>L</v>
      </c>
      <c r="G11" s="138" t="s">
        <v>84</v>
      </c>
      <c r="H11" s="139"/>
      <c r="I11" s="140"/>
      <c r="J11" s="141"/>
      <c r="K11" s="20">
        <v>2</v>
      </c>
      <c r="L11" s="13" t="s">
        <v>5</v>
      </c>
      <c r="M11" s="64" t="str">
        <f t="shared" si="1"/>
        <v>L</v>
      </c>
      <c r="Q11" s="14"/>
      <c r="R11" s="15"/>
      <c r="S11" s="19">
        <f t="shared" si="2"/>
        <v>2</v>
      </c>
      <c r="T11" s="19">
        <f t="shared" si="3"/>
        <v>2</v>
      </c>
      <c r="U11" s="15">
        <f t="shared" si="4"/>
        <v>5</v>
      </c>
      <c r="V11" s="15">
        <f t="shared" si="5"/>
        <v>4</v>
      </c>
    </row>
    <row r="12" spans="1:23" ht="206.25" customHeight="1" x14ac:dyDescent="0.2">
      <c r="A12" s="73">
        <v>4</v>
      </c>
      <c r="B12" s="77" t="s">
        <v>85</v>
      </c>
      <c r="C12" s="77" t="s">
        <v>86</v>
      </c>
      <c r="D12" s="20">
        <v>3</v>
      </c>
      <c r="E12" s="13" t="s">
        <v>6</v>
      </c>
      <c r="F12" s="68" t="str">
        <f t="shared" si="0"/>
        <v>M</v>
      </c>
      <c r="G12" s="138" t="s">
        <v>87</v>
      </c>
      <c r="H12" s="139"/>
      <c r="I12" s="140"/>
      <c r="J12" s="141"/>
      <c r="K12" s="20">
        <v>1</v>
      </c>
      <c r="L12" s="13" t="s">
        <v>7</v>
      </c>
      <c r="M12" s="64" t="str">
        <f t="shared" si="1"/>
        <v>L</v>
      </c>
      <c r="Q12" s="14"/>
      <c r="R12" s="15"/>
      <c r="S12" s="19">
        <f t="shared" si="2"/>
        <v>4</v>
      </c>
      <c r="T12" s="19">
        <f t="shared" si="3"/>
        <v>4</v>
      </c>
      <c r="U12" s="15">
        <f t="shared" si="4"/>
        <v>7</v>
      </c>
      <c r="V12" s="15">
        <f t="shared" si="5"/>
        <v>5</v>
      </c>
    </row>
    <row r="13" spans="1:23" ht="193.5" customHeight="1" x14ac:dyDescent="0.2">
      <c r="A13" s="73">
        <v>5</v>
      </c>
      <c r="B13" s="77" t="s">
        <v>88</v>
      </c>
      <c r="C13" s="77" t="s">
        <v>89</v>
      </c>
      <c r="D13" s="20">
        <v>3</v>
      </c>
      <c r="E13" s="13" t="s">
        <v>8</v>
      </c>
      <c r="F13" s="68" t="str">
        <f t="shared" si="0"/>
        <v>M</v>
      </c>
      <c r="G13" s="138" t="s">
        <v>90</v>
      </c>
      <c r="H13" s="139"/>
      <c r="I13" s="140"/>
      <c r="J13" s="141"/>
      <c r="K13" s="20">
        <v>1</v>
      </c>
      <c r="L13" s="13" t="s">
        <v>9</v>
      </c>
      <c r="M13" s="64" t="str">
        <f t="shared" si="1"/>
        <v>L</v>
      </c>
      <c r="Q13" s="14"/>
      <c r="R13" s="15"/>
      <c r="S13" s="19">
        <f t="shared" si="2"/>
        <v>3</v>
      </c>
      <c r="T13" s="19">
        <f t="shared" si="3"/>
        <v>3</v>
      </c>
      <c r="U13" s="15">
        <f t="shared" si="4"/>
        <v>6</v>
      </c>
      <c r="V13" s="15">
        <f t="shared" si="5"/>
        <v>4</v>
      </c>
    </row>
    <row r="14" spans="1:23" ht="180" customHeight="1" x14ac:dyDescent="0.2">
      <c r="A14" s="73">
        <v>6</v>
      </c>
      <c r="B14" s="77" t="s">
        <v>91</v>
      </c>
      <c r="C14" s="77" t="s">
        <v>92</v>
      </c>
      <c r="D14" s="20">
        <v>4</v>
      </c>
      <c r="E14" s="13" t="s">
        <v>10</v>
      </c>
      <c r="F14" s="68" t="str">
        <f t="shared" si="0"/>
        <v>H</v>
      </c>
      <c r="G14" s="134" t="s">
        <v>93</v>
      </c>
      <c r="H14" s="135"/>
      <c r="I14" s="136"/>
      <c r="J14" s="137"/>
      <c r="K14" s="20">
        <v>2</v>
      </c>
      <c r="L14" s="13" t="s">
        <v>11</v>
      </c>
      <c r="M14" s="64" t="str">
        <f t="shared" si="1"/>
        <v>M</v>
      </c>
      <c r="Q14" s="14"/>
      <c r="R14" s="15"/>
      <c r="S14" s="19">
        <f t="shared" si="2"/>
        <v>4</v>
      </c>
      <c r="T14" s="19">
        <f t="shared" si="3"/>
        <v>4</v>
      </c>
      <c r="U14" s="15">
        <f t="shared" si="4"/>
        <v>8</v>
      </c>
      <c r="V14" s="15">
        <f t="shared" si="5"/>
        <v>6</v>
      </c>
    </row>
    <row r="15" spans="1:23" ht="45" customHeight="1" x14ac:dyDescent="0.2">
      <c r="A15" s="94" t="s">
        <v>94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6"/>
      <c r="Q15" s="14"/>
      <c r="R15" s="15"/>
      <c r="S15" s="19" t="e">
        <f>IF(#REF!="A",1,IF(#REF!="B",2,IF(#REF!="C",3,IF(#REF!="D",4,IF(#REF!="E",5,"")))))</f>
        <v>#REF!</v>
      </c>
      <c r="T15" s="19" t="e">
        <f>IF(#REF!="A",1,IF(#REF!="B",2,IF(#REF!="C",3,IF(#REF!="D",4,IF(#REF!="E",5,"")))))</f>
        <v>#REF!</v>
      </c>
      <c r="U15" s="15" t="e">
        <f>#REF!+S15</f>
        <v>#REF!</v>
      </c>
      <c r="V15" s="15" t="e">
        <f>#REF!+T15</f>
        <v>#REF!</v>
      </c>
    </row>
    <row r="16" spans="1:23" ht="38.25" customHeight="1" x14ac:dyDescent="0.2">
      <c r="A16" s="176" t="s">
        <v>150</v>
      </c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Q16" s="14"/>
      <c r="R16" s="15"/>
      <c r="S16" s="19" t="e">
        <f>IF(#REF!="A",1,IF(#REF!="B",2,IF(#REF!="C",3,IF(#REF!="D",4,IF(#REF!="E",5,"")))))</f>
        <v>#REF!</v>
      </c>
      <c r="T16" s="19" t="e">
        <f>IF(#REF!="A",1,IF(#REF!="B",2,IF(#REF!="C",3,IF(#REF!="D",4,IF(#REF!="E",5,"")))))</f>
        <v>#REF!</v>
      </c>
      <c r="U16" s="15" t="e">
        <f>#REF!+S16</f>
        <v>#REF!</v>
      </c>
      <c r="V16" s="15" t="e">
        <f>#REF!+T16</f>
        <v>#REF!</v>
      </c>
    </row>
    <row r="17" spans="1:22" ht="34.5" customHeight="1" x14ac:dyDescent="0.35">
      <c r="A17" s="178" t="s">
        <v>95</v>
      </c>
      <c r="B17" s="179"/>
      <c r="C17" s="179"/>
      <c r="D17" s="180"/>
      <c r="E17" s="180"/>
      <c r="F17" s="180"/>
      <c r="G17" s="181"/>
      <c r="H17" s="182"/>
      <c r="I17" s="182"/>
      <c r="J17" s="182"/>
      <c r="K17" s="182"/>
      <c r="L17" s="183"/>
      <c r="M17" s="184"/>
      <c r="Q17" s="14"/>
      <c r="R17" s="15"/>
      <c r="S17" s="19" t="e">
        <f>IF(#REF!="A",1,IF(#REF!="B",2,IF(#REF!="C",3,IF(#REF!="D",4,IF(#REF!="E",5,"")))))</f>
        <v>#REF!</v>
      </c>
      <c r="T17" s="19" t="e">
        <f>IF(#REF!="A",1,IF(#REF!="B",2,IF(#REF!="C",3,IF(#REF!="D",4,IF(#REF!="E",5,"")))))</f>
        <v>#REF!</v>
      </c>
      <c r="U17" s="15" t="e">
        <f>#REF!+S17</f>
        <v>#REF!</v>
      </c>
      <c r="V17" s="15" t="e">
        <f>#REF!+T17</f>
        <v>#REF!</v>
      </c>
    </row>
    <row r="18" spans="1:22" ht="45" customHeight="1" x14ac:dyDescent="0.2">
      <c r="A18" s="109" t="s">
        <v>96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1"/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45" customHeight="1" x14ac:dyDescent="0.2">
      <c r="A19" s="117" t="s">
        <v>151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9"/>
      <c r="Q19" s="14"/>
      <c r="R19" s="15"/>
      <c r="S19" s="19" t="e">
        <f>IF(#REF!="A",1,IF(#REF!="B",2,IF(#REF!="C",3,IF(#REF!="D",4,IF(#REF!="E",5,"")))))</f>
        <v>#REF!</v>
      </c>
      <c r="T19" s="19" t="e">
        <f>IF(#REF!="A",1,IF(#REF!="B",2,IF(#REF!="C",3,IF(#REF!="D",4,IF(#REF!="E",5,"")))))</f>
        <v>#REF!</v>
      </c>
      <c r="U19" s="15" t="e">
        <f>#REF!+S19</f>
        <v>#REF!</v>
      </c>
      <c r="V19" s="15" t="e">
        <f>#REF!+T19</f>
        <v>#REF!</v>
      </c>
    </row>
    <row r="20" spans="1:22" ht="45" customHeight="1" x14ac:dyDescent="0.2">
      <c r="A20" s="65">
        <v>1</v>
      </c>
      <c r="B20" s="97" t="s">
        <v>97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9"/>
      <c r="Q20" s="14"/>
      <c r="R20" s="15"/>
      <c r="S20" s="19" t="e">
        <f>IF(#REF!="A",1,IF(#REF!="B",2,IF(#REF!="C",3,IF(#REF!="D",4,IF(#REF!="E",5,"")))))</f>
        <v>#REF!</v>
      </c>
      <c r="T20" s="19" t="e">
        <f>IF(#REF!="A",1,IF(#REF!="B",2,IF(#REF!="C",3,IF(#REF!="D",4,IF(#REF!="E",5,"")))))</f>
        <v>#REF!</v>
      </c>
      <c r="U20" s="15" t="e">
        <f>#REF!+S20</f>
        <v>#REF!</v>
      </c>
      <c r="V20" s="15" t="e">
        <f>#REF!+T20</f>
        <v>#REF!</v>
      </c>
    </row>
    <row r="21" spans="1:22" ht="45" customHeight="1" x14ac:dyDescent="0.2">
      <c r="A21" s="65">
        <v>2</v>
      </c>
      <c r="B21" s="112" t="s">
        <v>12</v>
      </c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4"/>
      <c r="Q21" s="14"/>
      <c r="R21" s="15"/>
      <c r="S21" s="19" t="e">
        <f>IF(#REF!="A",1,IF(#REF!="B",2,IF(#REF!="C",3,IF(#REF!="D",4,IF(#REF!="E",5,"")))))</f>
        <v>#REF!</v>
      </c>
      <c r="T21" s="19" t="e">
        <f>IF(#REF!="A",1,IF(#REF!="B",2,IF(#REF!="C",3,IF(#REF!="D",4,IF(#REF!="E",5,"")))))</f>
        <v>#REF!</v>
      </c>
      <c r="U21" s="15" t="e">
        <f>#REF!+S21</f>
        <v>#REF!</v>
      </c>
      <c r="V21" s="15" t="e">
        <f>#REF!+T21</f>
        <v>#REF!</v>
      </c>
    </row>
    <row r="22" spans="1:22" ht="45" customHeight="1" x14ac:dyDescent="0.2">
      <c r="A22" s="65">
        <v>3</v>
      </c>
      <c r="B22" s="97" t="s">
        <v>98</v>
      </c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9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45" customHeight="1" x14ac:dyDescent="0.2">
      <c r="A23" s="65">
        <v>4</v>
      </c>
      <c r="B23" s="116" t="s">
        <v>99</v>
      </c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4"/>
    </row>
    <row r="24" spans="1:22" ht="45" customHeight="1" x14ac:dyDescent="0.2">
      <c r="A24" s="65">
        <v>5</v>
      </c>
      <c r="B24" s="97" t="s">
        <v>100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9"/>
    </row>
    <row r="25" spans="1:22" ht="45" customHeight="1" x14ac:dyDescent="0.2">
      <c r="A25" s="65">
        <v>6</v>
      </c>
      <c r="B25" s="116" t="s">
        <v>101</v>
      </c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4"/>
    </row>
    <row r="26" spans="1:22" ht="45" customHeight="1" x14ac:dyDescent="0.2">
      <c r="A26" s="65">
        <v>7</v>
      </c>
      <c r="B26" s="97" t="s">
        <v>102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9"/>
    </row>
    <row r="27" spans="1:22" ht="45" customHeight="1" x14ac:dyDescent="0.2">
      <c r="A27" s="65">
        <v>8</v>
      </c>
      <c r="B27" s="97" t="s">
        <v>103</v>
      </c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9"/>
    </row>
    <row r="28" spans="1:22" s="9" customFormat="1" ht="45" customHeight="1" x14ac:dyDescent="0.2">
      <c r="A28" s="65">
        <v>9</v>
      </c>
      <c r="B28" s="97" t="s">
        <v>104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  <c r="N28" s="8"/>
      <c r="O28" s="8"/>
      <c r="P28" s="8"/>
      <c r="Q28" s="16"/>
    </row>
    <row r="29" spans="1:22" s="9" customFormat="1" ht="45" customHeight="1" x14ac:dyDescent="0.2">
      <c r="A29" s="65">
        <v>10</v>
      </c>
      <c r="B29" s="106" t="s">
        <v>105</v>
      </c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4"/>
      <c r="N29" s="8"/>
      <c r="O29" s="8"/>
      <c r="P29" s="8"/>
      <c r="Q29" s="16"/>
    </row>
    <row r="30" spans="1:22" s="9" customFormat="1" ht="45" customHeight="1" x14ac:dyDescent="0.2">
      <c r="A30" s="65">
        <v>11</v>
      </c>
      <c r="B30" s="97" t="s">
        <v>106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9"/>
      <c r="N30" s="8"/>
      <c r="O30" s="8"/>
      <c r="P30" s="8"/>
      <c r="Q30" s="16"/>
    </row>
    <row r="31" spans="1:22" s="9" customFormat="1" ht="45" customHeight="1" x14ac:dyDescent="0.2">
      <c r="A31" s="65">
        <v>12</v>
      </c>
      <c r="B31" s="97" t="s">
        <v>107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9"/>
      <c r="N31" s="8"/>
      <c r="P31" s="8"/>
      <c r="Q31" s="16"/>
    </row>
    <row r="32" spans="1:22" s="9" customFormat="1" ht="45" customHeight="1" x14ac:dyDescent="0.2">
      <c r="A32" s="65">
        <v>13</v>
      </c>
      <c r="B32" s="97" t="s">
        <v>108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9"/>
      <c r="N32" s="8"/>
      <c r="P32" s="8"/>
      <c r="Q32" s="16"/>
    </row>
    <row r="33" spans="1:17" s="9" customFormat="1" ht="45" customHeight="1" x14ac:dyDescent="0.2">
      <c r="A33" s="65">
        <v>14</v>
      </c>
      <c r="B33" s="97" t="s">
        <v>109</v>
      </c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9"/>
      <c r="N33" s="8"/>
      <c r="P33" s="8"/>
      <c r="Q33" s="16"/>
    </row>
    <row r="34" spans="1:17" s="9" customFormat="1" ht="45" customHeight="1" x14ac:dyDescent="0.2">
      <c r="A34" s="65">
        <v>15</v>
      </c>
      <c r="B34" s="97" t="s">
        <v>110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9"/>
      <c r="N34" s="8"/>
      <c r="P34" s="8"/>
      <c r="Q34" s="16"/>
    </row>
    <row r="35" spans="1:17" s="9" customFormat="1" ht="45" customHeight="1" x14ac:dyDescent="0.2">
      <c r="A35" s="93" t="s">
        <v>111</v>
      </c>
      <c r="B35" s="93"/>
      <c r="C35" s="93"/>
      <c r="D35" s="93"/>
      <c r="E35" s="93"/>
      <c r="F35" s="93"/>
      <c r="G35" s="93"/>
      <c r="H35" s="115"/>
      <c r="I35" s="115"/>
      <c r="J35" s="115"/>
      <c r="K35" s="115"/>
      <c r="L35" s="115"/>
      <c r="M35" s="115"/>
      <c r="N35" s="8"/>
      <c r="P35" s="8"/>
      <c r="Q35" s="16"/>
    </row>
    <row r="36" spans="1:17" s="9" customFormat="1" ht="25.5" customHeight="1" x14ac:dyDescent="0.2">
      <c r="A36" s="185" t="s">
        <v>112</v>
      </c>
      <c r="B36" s="186"/>
      <c r="C36" s="187" t="s">
        <v>113</v>
      </c>
      <c r="D36" s="185" t="s">
        <v>114</v>
      </c>
      <c r="E36" s="188"/>
      <c r="F36" s="188"/>
      <c r="G36" s="186"/>
      <c r="H36" s="185" t="s">
        <v>115</v>
      </c>
      <c r="I36" s="188"/>
      <c r="J36" s="188"/>
      <c r="K36" s="188"/>
      <c r="L36" s="188"/>
      <c r="M36" s="186"/>
      <c r="N36" s="8"/>
      <c r="P36" s="8"/>
      <c r="Q36" s="16"/>
    </row>
    <row r="37" spans="1:17" s="9" customFormat="1" ht="18" customHeight="1" x14ac:dyDescent="0.2">
      <c r="A37" s="100"/>
      <c r="B37" s="102"/>
      <c r="C37" s="6"/>
      <c r="D37" s="100"/>
      <c r="E37" s="101"/>
      <c r="F37" s="101"/>
      <c r="G37" s="102"/>
      <c r="H37" s="121"/>
      <c r="I37" s="122"/>
      <c r="J37" s="122"/>
      <c r="K37" s="122"/>
      <c r="L37" s="122"/>
      <c r="M37" s="120"/>
      <c r="N37" s="8"/>
      <c r="P37" s="8"/>
      <c r="Q37" s="16"/>
    </row>
    <row r="38" spans="1:17" s="9" customFormat="1" ht="18" customHeight="1" x14ac:dyDescent="0.2">
      <c r="A38" s="100"/>
      <c r="B38" s="102"/>
      <c r="C38" s="6"/>
      <c r="D38" s="100"/>
      <c r="E38" s="101"/>
      <c r="F38" s="101"/>
      <c r="G38" s="102"/>
      <c r="H38" s="121"/>
      <c r="I38" s="122"/>
      <c r="J38" s="122"/>
      <c r="K38" s="122"/>
      <c r="L38" s="122"/>
      <c r="M38" s="120"/>
      <c r="N38" s="8"/>
      <c r="P38" s="8"/>
      <c r="Q38" s="16"/>
    </row>
    <row r="39" spans="1:17" s="9" customFormat="1" ht="18" customHeight="1" x14ac:dyDescent="0.2">
      <c r="A39" s="100"/>
      <c r="B39" s="102"/>
      <c r="C39" s="6"/>
      <c r="D39" s="100"/>
      <c r="E39" s="101"/>
      <c r="F39" s="101"/>
      <c r="G39" s="102"/>
      <c r="H39" s="121"/>
      <c r="I39" s="122"/>
      <c r="J39" s="122"/>
      <c r="K39" s="122"/>
      <c r="L39" s="122"/>
      <c r="M39" s="120"/>
      <c r="N39" s="8"/>
      <c r="P39" s="8"/>
      <c r="Q39" s="16"/>
    </row>
    <row r="40" spans="1:17" s="9" customFormat="1" ht="18" customHeight="1" x14ac:dyDescent="0.2">
      <c r="A40" s="100"/>
      <c r="B40" s="102"/>
      <c r="C40" s="6"/>
      <c r="D40" s="100"/>
      <c r="E40" s="101"/>
      <c r="F40" s="101"/>
      <c r="G40" s="102"/>
      <c r="H40" s="100"/>
      <c r="I40" s="101"/>
      <c r="J40" s="101"/>
      <c r="K40" s="101"/>
      <c r="L40" s="101"/>
      <c r="M40" s="102"/>
      <c r="N40" s="8"/>
      <c r="P40" s="8"/>
      <c r="Q40" s="16"/>
    </row>
    <row r="41" spans="1:17" s="9" customFormat="1" ht="18" customHeight="1" x14ac:dyDescent="0.2">
      <c r="A41" s="100"/>
      <c r="B41" s="102"/>
      <c r="C41" s="6"/>
      <c r="D41" s="100"/>
      <c r="E41" s="101"/>
      <c r="F41" s="101"/>
      <c r="G41" s="120"/>
      <c r="H41" s="100"/>
      <c r="I41" s="101"/>
      <c r="J41" s="101"/>
      <c r="K41" s="101"/>
      <c r="L41" s="101"/>
      <c r="M41" s="102"/>
      <c r="N41" s="8"/>
      <c r="P41" s="8"/>
      <c r="Q41" s="16"/>
    </row>
    <row r="42" spans="1:17" s="9" customFormat="1" ht="34.5" customHeight="1" x14ac:dyDescent="0.2">
      <c r="A42" s="106" t="s">
        <v>116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8"/>
      <c r="N42" s="8"/>
      <c r="P42" s="8"/>
      <c r="Q42" s="16"/>
    </row>
    <row r="43" spans="1:17" s="9" customFormat="1" ht="34.5" customHeight="1" x14ac:dyDescent="0.2">
      <c r="A43" s="189" t="s">
        <v>117</v>
      </c>
      <c r="B43" s="189"/>
      <c r="C43" s="190" t="s">
        <v>118</v>
      </c>
      <c r="D43" s="191" t="s">
        <v>119</v>
      </c>
      <c r="E43" s="192"/>
      <c r="F43" s="193"/>
      <c r="G43" s="84"/>
      <c r="H43" s="85"/>
      <c r="I43" s="85"/>
      <c r="J43" s="85"/>
      <c r="K43" s="85"/>
      <c r="L43" s="85"/>
      <c r="M43" s="86"/>
      <c r="Q43" s="17"/>
    </row>
    <row r="44" spans="1:17" ht="18" customHeight="1" x14ac:dyDescent="0.2">
      <c r="A44" s="103"/>
      <c r="B44" s="105"/>
      <c r="C44" s="10"/>
      <c r="D44" s="194"/>
      <c r="E44" s="195"/>
      <c r="F44" s="196"/>
      <c r="G44" s="87"/>
      <c r="H44" s="88"/>
      <c r="I44" s="88"/>
      <c r="J44" s="88"/>
      <c r="K44" s="88"/>
      <c r="L44" s="88"/>
      <c r="M44" s="89"/>
    </row>
    <row r="45" spans="1:17" ht="18" customHeight="1" x14ac:dyDescent="0.2">
      <c r="A45" s="66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67"/>
    </row>
    <row r="46" spans="1:17" ht="81" customHeight="1" x14ac:dyDescent="0.2">
      <c r="A46" s="197" t="s">
        <v>120</v>
      </c>
      <c r="B46" s="170"/>
      <c r="C46" s="103"/>
      <c r="D46" s="104"/>
      <c r="E46" s="104"/>
      <c r="F46" s="104"/>
      <c r="G46" s="104"/>
      <c r="H46" s="104"/>
      <c r="I46" s="104"/>
      <c r="J46" s="104"/>
      <c r="K46" s="104"/>
      <c r="L46" s="104"/>
      <c r="M46" s="105"/>
    </row>
    <row r="47" spans="1:17" ht="18.75" customHeight="1" x14ac:dyDescent="0.2">
      <c r="A47" s="93" t="s">
        <v>121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</row>
    <row r="48" spans="1:17" ht="18.75" customHeight="1" x14ac:dyDescent="0.2"/>
    <row r="49" spans="1:13" ht="18.75" customHeight="1" x14ac:dyDescent="0.2"/>
    <row r="50" spans="1:13" ht="18.75" customHeight="1" x14ac:dyDescent="0.2"/>
    <row r="51" spans="1:13" ht="33.75" customHeight="1" x14ac:dyDescent="0.2"/>
    <row r="52" spans="1:13" ht="20.25" customHeight="1" x14ac:dyDescent="0.2"/>
    <row r="53" spans="1:13" ht="57.75" customHeight="1" x14ac:dyDescent="0.2"/>
    <row r="54" spans="1:13" s="11" customFormat="1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19.25" customHeight="1" x14ac:dyDescent="0.2"/>
    <row r="56" spans="1:13" s="12" customFormat="1" ht="24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</sheetData>
  <sheetProtection formatCells="0" formatColumns="0" formatRows="0" insertColumns="0" insertRows="0" insertHyperlinks="0" deleteColumns="0" deleteRows="0" sort="0" autoFilter="0" pivotTables="0"/>
  <mergeCells count="64">
    <mergeCell ref="J2:M2"/>
    <mergeCell ref="J3:M3"/>
    <mergeCell ref="J4:M4"/>
    <mergeCell ref="C3:H3"/>
    <mergeCell ref="G14:J14"/>
    <mergeCell ref="G13:J13"/>
    <mergeCell ref="K6:M6"/>
    <mergeCell ref="G8:J8"/>
    <mergeCell ref="G9:J9"/>
    <mergeCell ref="G10:J10"/>
    <mergeCell ref="G11:J11"/>
    <mergeCell ref="G12:J12"/>
    <mergeCell ref="A16:M16"/>
    <mergeCell ref="B23:M23"/>
    <mergeCell ref="B24:M24"/>
    <mergeCell ref="B27:M27"/>
    <mergeCell ref="B26:M26"/>
    <mergeCell ref="B29:M29"/>
    <mergeCell ref="B34:M34"/>
    <mergeCell ref="A38:B38"/>
    <mergeCell ref="H36:M36"/>
    <mergeCell ref="H37:M37"/>
    <mergeCell ref="A36:B36"/>
    <mergeCell ref="A37:B37"/>
    <mergeCell ref="A41:B41"/>
    <mergeCell ref="A40:B40"/>
    <mergeCell ref="A39:B39"/>
    <mergeCell ref="D39:G39"/>
    <mergeCell ref="H38:M38"/>
    <mergeCell ref="H39:M39"/>
    <mergeCell ref="H40:M40"/>
    <mergeCell ref="D38:G38"/>
    <mergeCell ref="A46:B46"/>
    <mergeCell ref="C46:M46"/>
    <mergeCell ref="A42:M42"/>
    <mergeCell ref="A18:M18"/>
    <mergeCell ref="B20:M20"/>
    <mergeCell ref="B21:M21"/>
    <mergeCell ref="B22:M22"/>
    <mergeCell ref="A35:M35"/>
    <mergeCell ref="A43:B43"/>
    <mergeCell ref="B25:M25"/>
    <mergeCell ref="A44:B44"/>
    <mergeCell ref="A19:M19"/>
    <mergeCell ref="H41:M41"/>
    <mergeCell ref="D40:G40"/>
    <mergeCell ref="D41:G41"/>
    <mergeCell ref="D43:F44"/>
    <mergeCell ref="A1:B4"/>
    <mergeCell ref="G43:M44"/>
    <mergeCell ref="A6:B6"/>
    <mergeCell ref="H7:J7"/>
    <mergeCell ref="A47:M47"/>
    <mergeCell ref="A7:B7"/>
    <mergeCell ref="A15:M15"/>
    <mergeCell ref="B28:M28"/>
    <mergeCell ref="B33:M33"/>
    <mergeCell ref="B30:M30"/>
    <mergeCell ref="B31:M31"/>
    <mergeCell ref="B32:M32"/>
    <mergeCell ref="K7:M7"/>
    <mergeCell ref="D7:F7"/>
    <mergeCell ref="D36:G36"/>
    <mergeCell ref="D37:G37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14 D9:D14" xr:uid="{00000000-0002-0000-0000-000000000000}">
      <formula1>$Q$2:$Q$7</formula1>
    </dataValidation>
    <dataValidation type="list" allowBlank="1" showInputMessage="1" showErrorMessage="1" sqref="L9:L14 E9:E14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16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3ABE-6112-477F-B683-92F3838AECB2}">
  <dimension ref="A1:V34"/>
  <sheetViews>
    <sheetView showWhiteSpace="0" view="pageLayout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61"/>
      <c r="B1" s="161"/>
      <c r="C1" s="161"/>
      <c r="D1" s="198"/>
      <c r="E1" s="198"/>
      <c r="F1" s="198"/>
      <c r="G1" s="1"/>
      <c r="H1" s="1"/>
      <c r="I1" s="199"/>
      <c r="J1" s="199"/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8" t="s">
        <v>19</v>
      </c>
      <c r="V1" s="2"/>
    </row>
    <row r="2" spans="1:22" ht="25.5" customHeight="1" x14ac:dyDescent="0.2">
      <c r="A2" s="161"/>
      <c r="B2" s="161"/>
      <c r="C2" s="161"/>
      <c r="D2" s="200" t="s">
        <v>122</v>
      </c>
      <c r="E2" s="132"/>
      <c r="F2" s="132"/>
      <c r="G2" s="132"/>
      <c r="H2" s="132"/>
      <c r="I2" s="201"/>
      <c r="J2" s="201"/>
      <c r="N2" s="7"/>
      <c r="O2" s="14">
        <v>1</v>
      </c>
      <c r="P2" s="14" t="s">
        <v>20</v>
      </c>
      <c r="Q2" s="15"/>
      <c r="R2" s="15"/>
      <c r="S2" s="15"/>
      <c r="T2" s="15"/>
      <c r="U2" s="18" t="s">
        <v>21</v>
      </c>
      <c r="V2" s="5"/>
    </row>
    <row r="3" spans="1:22" ht="25.5" customHeight="1" x14ac:dyDescent="0.2">
      <c r="A3" s="161"/>
      <c r="B3" s="161"/>
      <c r="C3" s="161"/>
      <c r="D3" s="49"/>
      <c r="E3" s="49"/>
      <c r="F3" s="49"/>
      <c r="G3" s="49"/>
      <c r="H3" s="49"/>
      <c r="I3" s="202"/>
      <c r="J3" s="202"/>
      <c r="K3" s="49"/>
      <c r="L3" s="49"/>
      <c r="M3" s="22"/>
    </row>
    <row r="4" spans="1:22" ht="17.45" customHeight="1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5.15" customHeight="1" thickBot="1" x14ac:dyDescent="0.25">
      <c r="A5" s="155" t="s">
        <v>71</v>
      </c>
      <c r="B5" s="156"/>
      <c r="C5" s="146" t="s">
        <v>156</v>
      </c>
      <c r="D5" s="147"/>
      <c r="E5" s="147"/>
      <c r="F5" s="147"/>
      <c r="G5" s="148"/>
      <c r="H5" s="146" t="s">
        <v>123</v>
      </c>
      <c r="I5" s="147"/>
      <c r="J5" s="147"/>
      <c r="K5" s="147"/>
      <c r="L5" s="148"/>
      <c r="M5" s="22"/>
    </row>
    <row r="6" spans="1:22" ht="20.25" customHeight="1" thickBot="1" x14ac:dyDescent="0.25">
      <c r="A6" s="157"/>
      <c r="B6" s="158"/>
      <c r="C6" s="203" t="s">
        <v>124</v>
      </c>
      <c r="D6" s="203" t="s">
        <v>125</v>
      </c>
      <c r="E6" s="203" t="s">
        <v>126</v>
      </c>
      <c r="F6" s="203" t="s">
        <v>157</v>
      </c>
      <c r="G6" s="203" t="s">
        <v>158</v>
      </c>
      <c r="H6" s="69" t="s">
        <v>28</v>
      </c>
      <c r="I6" s="69" t="s">
        <v>29</v>
      </c>
      <c r="J6" s="69" t="s">
        <v>30</v>
      </c>
      <c r="K6" s="21" t="s">
        <v>26</v>
      </c>
      <c r="L6" s="21" t="s">
        <v>27</v>
      </c>
      <c r="M6" s="22"/>
    </row>
    <row r="7" spans="1:22" ht="112.5" x14ac:dyDescent="0.2">
      <c r="A7" s="157"/>
      <c r="B7" s="158"/>
      <c r="C7" s="204"/>
      <c r="D7" s="204"/>
      <c r="E7" s="204"/>
      <c r="F7" s="204"/>
      <c r="G7" s="204"/>
      <c r="H7" s="70" t="s">
        <v>127</v>
      </c>
      <c r="I7" s="70" t="s">
        <v>128</v>
      </c>
      <c r="J7" s="70" t="s">
        <v>129</v>
      </c>
      <c r="K7" s="23" t="s">
        <v>46</v>
      </c>
      <c r="L7" s="23" t="s">
        <v>47</v>
      </c>
      <c r="M7" s="22"/>
    </row>
    <row r="8" spans="1:22" ht="12.75" customHeight="1" x14ac:dyDescent="0.2">
      <c r="A8" s="157"/>
      <c r="B8" s="158"/>
      <c r="C8" s="204"/>
      <c r="D8" s="204"/>
      <c r="E8" s="204"/>
      <c r="F8" s="204"/>
      <c r="G8" s="204"/>
      <c r="H8" s="144" t="s">
        <v>159</v>
      </c>
      <c r="I8" s="144" t="s">
        <v>130</v>
      </c>
      <c r="J8" s="144" t="s">
        <v>131</v>
      </c>
      <c r="K8" s="144" t="s">
        <v>48</v>
      </c>
      <c r="L8" s="144" t="s">
        <v>49</v>
      </c>
      <c r="M8" s="22"/>
    </row>
    <row r="9" spans="1:22" ht="40.5" customHeight="1" thickBot="1" x14ac:dyDescent="0.25">
      <c r="A9" s="159"/>
      <c r="B9" s="160"/>
      <c r="C9" s="205"/>
      <c r="D9" s="205"/>
      <c r="E9" s="205"/>
      <c r="F9" s="205"/>
      <c r="G9" s="205"/>
      <c r="H9" s="145"/>
      <c r="I9" s="145"/>
      <c r="J9" s="145"/>
      <c r="K9" s="145"/>
      <c r="L9" s="145"/>
      <c r="M9" s="22"/>
    </row>
    <row r="10" spans="1:22" ht="49.5" customHeight="1" x14ac:dyDescent="0.2">
      <c r="A10" s="151">
        <v>1</v>
      </c>
      <c r="B10" s="152"/>
      <c r="C10" s="38" t="s">
        <v>160</v>
      </c>
      <c r="D10" s="38" t="s">
        <v>132</v>
      </c>
      <c r="E10" s="38" t="s">
        <v>133</v>
      </c>
      <c r="F10" s="38" t="s">
        <v>134</v>
      </c>
      <c r="G10" s="39" t="s">
        <v>135</v>
      </c>
      <c r="H10" s="30" t="s">
        <v>31</v>
      </c>
      <c r="I10" s="31" t="s">
        <v>32</v>
      </c>
      <c r="J10" s="31" t="s">
        <v>33</v>
      </c>
      <c r="K10" s="40" t="s">
        <v>50</v>
      </c>
      <c r="L10" s="32" t="s">
        <v>51</v>
      </c>
      <c r="M10" s="22"/>
    </row>
    <row r="11" spans="1:22" ht="64.5" customHeight="1" x14ac:dyDescent="0.2">
      <c r="A11" s="153">
        <v>2</v>
      </c>
      <c r="B11" s="154"/>
      <c r="C11" s="24" t="s">
        <v>161</v>
      </c>
      <c r="D11" s="24" t="s">
        <v>136</v>
      </c>
      <c r="E11" s="38" t="s">
        <v>137</v>
      </c>
      <c r="F11" s="24" t="s">
        <v>138</v>
      </c>
      <c r="G11" s="28" t="s">
        <v>162</v>
      </c>
      <c r="H11" s="33" t="s">
        <v>34</v>
      </c>
      <c r="I11" s="34" t="s">
        <v>35</v>
      </c>
      <c r="J11" s="34" t="s">
        <v>36</v>
      </c>
      <c r="K11" s="35" t="s">
        <v>52</v>
      </c>
      <c r="L11" s="36" t="s">
        <v>53</v>
      </c>
      <c r="M11" s="22"/>
    </row>
    <row r="12" spans="1:22" ht="69" customHeight="1" x14ac:dyDescent="0.2">
      <c r="A12" s="153">
        <v>3</v>
      </c>
      <c r="B12" s="154"/>
      <c r="C12" s="24" t="s">
        <v>163</v>
      </c>
      <c r="D12" s="24" t="s">
        <v>164</v>
      </c>
      <c r="E12" s="38" t="s">
        <v>165</v>
      </c>
      <c r="F12" s="24" t="s">
        <v>139</v>
      </c>
      <c r="G12" s="28" t="s">
        <v>140</v>
      </c>
      <c r="H12" s="33" t="s">
        <v>37</v>
      </c>
      <c r="I12" s="34" t="s">
        <v>38</v>
      </c>
      <c r="J12" s="35" t="s">
        <v>39</v>
      </c>
      <c r="K12" s="35" t="s">
        <v>54</v>
      </c>
      <c r="L12" s="41" t="s">
        <v>55</v>
      </c>
      <c r="M12" s="22"/>
    </row>
    <row r="13" spans="1:22" ht="78.75" customHeight="1" x14ac:dyDescent="0.2">
      <c r="A13" s="153">
        <v>4</v>
      </c>
      <c r="B13" s="154"/>
      <c r="C13" s="24" t="s">
        <v>141</v>
      </c>
      <c r="D13" s="24" t="s">
        <v>142</v>
      </c>
      <c r="E13" s="38" t="s">
        <v>143</v>
      </c>
      <c r="F13" s="24" t="s">
        <v>144</v>
      </c>
      <c r="G13" s="28" t="s">
        <v>145</v>
      </c>
      <c r="H13" s="33" t="s">
        <v>40</v>
      </c>
      <c r="I13" s="35" t="s">
        <v>41</v>
      </c>
      <c r="J13" s="35" t="s">
        <v>42</v>
      </c>
      <c r="K13" s="42" t="s">
        <v>56</v>
      </c>
      <c r="L13" s="41" t="s">
        <v>57</v>
      </c>
      <c r="M13" s="22"/>
    </row>
    <row r="14" spans="1:22" ht="75" customHeight="1" thickBot="1" x14ac:dyDescent="0.25">
      <c r="A14" s="149">
        <v>5</v>
      </c>
      <c r="B14" s="150"/>
      <c r="C14" s="25" t="s">
        <v>146</v>
      </c>
      <c r="D14" s="25" t="s">
        <v>166</v>
      </c>
      <c r="E14" s="25" t="s">
        <v>167</v>
      </c>
      <c r="F14" s="25" t="s">
        <v>147</v>
      </c>
      <c r="G14" s="29" t="s">
        <v>148</v>
      </c>
      <c r="H14" s="45" t="s">
        <v>43</v>
      </c>
      <c r="I14" s="37" t="s">
        <v>44</v>
      </c>
      <c r="J14" s="43" t="s">
        <v>45</v>
      </c>
      <c r="K14" s="43" t="s">
        <v>58</v>
      </c>
      <c r="L14" s="44" t="s">
        <v>59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2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1.7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63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1:C3"/>
    <mergeCell ref="I1:J1"/>
    <mergeCell ref="D2:H2"/>
    <mergeCell ref="I2:J2"/>
    <mergeCell ref="I3:J3"/>
    <mergeCell ref="A5:B9"/>
    <mergeCell ref="C5:G5"/>
    <mergeCell ref="H5:L5"/>
    <mergeCell ref="C6:C9"/>
    <mergeCell ref="D6:D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34A5DBCF-E2DA-4D23-9549-E8E78AF171A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faa5c77d-98fa-4e50-863f-182fb51ee117"/>
    <ds:schemaRef ds:uri="5470fdc2-d5b4-45ba-ae4a-b04105b307e7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2014-11-10T14:56:30Z</cp:lastPrinted>
  <dcterms:created xsi:type="dcterms:W3CDTF">2011-02-21T14:14:41Z</dcterms:created>
  <dcterms:modified xsi:type="dcterms:W3CDTF">2025-02-26T14:19:22Z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