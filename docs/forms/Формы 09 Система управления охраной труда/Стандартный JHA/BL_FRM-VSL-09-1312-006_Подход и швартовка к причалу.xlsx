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7FAB6326-7C4F-4D7B-8380-5C548CF90259}" xr6:coauthVersionLast="47" xr6:coauthVersionMax="47" xr10:uidLastSave="{00000000-0000-0000-0000-000000000000}"/>
  <bookViews>
    <workbookView xWindow="-120" yWindow="-120" windowWidth="29040" windowHeight="15720" tabRatio="307" xr2:uid="{00000000-000D-0000-FFFF-FFFF00000000}"/>
  </bookViews>
  <sheets>
    <sheet name="АСОР" sheetId="1" r:id="rId1"/>
    <sheet name="МОР" sheetId="4" r:id="rId2"/>
  </sheets>
  <definedNames>
    <definedName name="Strongly_emphasise_each_individual_s__71" localSheetId="0">АСОР!$O$55</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АСОР!$A$1:$M$45</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 i="1" l="1"/>
  <c r="U13" i="1"/>
  <c r="S14" i="1"/>
  <c r="U14" i="1"/>
  <c r="T13" i="1"/>
  <c r="V13" i="1"/>
  <c r="S9" i="1"/>
  <c r="U9" i="1"/>
  <c r="F9" i="1"/>
  <c r="S10" i="1"/>
  <c r="U10" i="1"/>
  <c r="F10" i="1"/>
  <c r="S11" i="1"/>
  <c r="U11" i="1"/>
  <c r="F11" i="1"/>
  <c r="S12" i="1"/>
  <c r="U12" i="1"/>
  <c r="F12" i="1"/>
  <c r="T22" i="1"/>
  <c r="V22" i="1"/>
  <c r="S22" i="1"/>
  <c r="U22" i="1"/>
  <c r="T21" i="1"/>
  <c r="V21" i="1"/>
  <c r="S21" i="1"/>
  <c r="U21" i="1"/>
  <c r="T20" i="1"/>
  <c r="V20" i="1"/>
  <c r="S20" i="1"/>
  <c r="U20" i="1"/>
  <c r="T19" i="1"/>
  <c r="V19" i="1"/>
  <c r="S19" i="1"/>
  <c r="U19" i="1"/>
  <c r="T18" i="1"/>
  <c r="V18" i="1"/>
  <c r="S18" i="1"/>
  <c r="U18" i="1"/>
  <c r="T17" i="1"/>
  <c r="V17" i="1"/>
  <c r="S17" i="1"/>
  <c r="U17" i="1"/>
  <c r="T16" i="1"/>
  <c r="V16" i="1"/>
  <c r="S16" i="1"/>
  <c r="U16" i="1"/>
  <c r="T15" i="1"/>
  <c r="V15" i="1"/>
  <c r="S15" i="1"/>
  <c r="U15" i="1"/>
  <c r="T14" i="1"/>
  <c r="V14" i="1"/>
  <c r="T12" i="1"/>
  <c r="V12" i="1"/>
  <c r="M12" i="1"/>
  <c r="T11" i="1"/>
  <c r="V11" i="1"/>
  <c r="M11" i="1"/>
  <c r="T10" i="1"/>
  <c r="V10" i="1"/>
  <c r="M10" i="1"/>
  <c r="T9" i="1"/>
  <c r="V9" i="1"/>
  <c r="M9" i="1"/>
  <c r="U8" i="1"/>
</calcChain>
</file>

<file path=xl/sharedStrings.xml><?xml version="1.0" encoding="utf-8"?>
<sst xmlns="http://schemas.openxmlformats.org/spreadsheetml/2006/main" count="173" uniqueCount="158">
  <si>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</si>
  <si>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</si>
  <si>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</si>
  <si>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</si>
  <si>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</si>
  <si>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B</t>
    </r>
  </si>
  <si>
    <r>
      <rPr>
        <sz val="12"/>
        <rFont val="Arial"/>
        <family val="2"/>
      </rPr>
      <t>D</t>
    </r>
  </si>
  <si>
    <r>
      <rPr>
        <sz val="12"/>
        <rFont val="Arial"/>
        <family val="2"/>
      </rPr>
      <t>D</t>
    </r>
  </si>
  <si>
    <t>Severity</t>
  </si>
  <si>
    <t>Likelihood</t>
  </si>
  <si>
    <t>Likelihood tranf initial</t>
  </si>
  <si>
    <t>Likelihood tranf residual</t>
  </si>
  <si>
    <t>Initial</t>
  </si>
  <si>
    <t>residual</t>
  </si>
  <si>
    <t xml:space="preserve">Risk </t>
  </si>
  <si>
    <t>A</t>
  </si>
  <si>
    <t>L</t>
  </si>
  <si>
    <t>B</t>
  </si>
  <si>
    <t>M</t>
  </si>
  <si>
    <t>C</t>
  </si>
  <si>
    <t>H</t>
  </si>
  <si>
    <t>D</t>
  </si>
  <si>
    <t>E</t>
  </si>
  <si>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</si>
  <si>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</si>
  <si>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</si>
  <si>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</si>
  <si>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</si>
  <si>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</si>
  <si>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</si>
  <si>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</si>
  <si>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</si>
  <si>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</si>
  <si>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</si>
  <si>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</si>
  <si>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</si>
  <si>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</si>
  <si>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</si>
  <si>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</si>
  <si>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</si>
  <si>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</si>
  <si>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</si>
  <si>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</si>
  <si>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</si>
  <si>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</si>
  <si>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</si>
  <si>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</si>
  <si>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</si>
  <si>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</si>
  <si>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</si>
  <si>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</si>
  <si>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</si>
  <si>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</si>
  <si>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</si>
  <si>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</si>
  <si>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FRM-VSL-006</t>
  </si>
  <si>
    <t>АНАЛИЗ СТЕПЕНИ ОПАСНОСТИ РАБОТ (АСОР)</t>
  </si>
  <si>
    <t>Название судна</t>
  </si>
  <si>
    <t xml:space="preserve"> Описание работ</t>
  </si>
  <si>
    <t>Швартовка отшвартовка к причалу.</t>
  </si>
  <si>
    <t>Номер оценки рисков</t>
  </si>
  <si>
    <t xml:space="preserve"> Дата</t>
  </si>
  <si>
    <t>Исходный риск</t>
  </si>
  <si>
    <t xml:space="preserve"> Оборудование</t>
  </si>
  <si>
    <t xml:space="preserve"> 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</si>
  <si>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</si>
  <si>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</si>
  <si>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</si>
  <si>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</si>
  <si>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</si>
  <si>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Меры контроля для снижения риска</t>
  </si>
  <si>
    <t>Риск</t>
  </si>
  <si>
    <t>Подход и швартовка к причалу</t>
  </si>
  <si>
    <t>Травмы персонала из-за повреждения или обрыва швартовного каната, неровностей причала или аварийного контакта с причалом. Повреждение имущества в результате чрезмерной нагрузки на швартовное оборудование или не штатного контакта с причалом. Не исключен летальный исход. Возможно повреждение швартовых канатов и/или кнехтов причала</t>
  </si>
  <si>
    <t>Перед началом работ необходимо обсудить использование интрументов и механизмов. Между экипажем буксира и береговыми матросами  должна быть налажена радиосвязь или четкие сигналы руками. Персонал на судне и причале должен использовать СИЗ (защитные каски, ботинки, перчатки, спасательные жилеты и защитные очки). Швартовные канаты должны быть сертифицированы и проверены перед использованием. Швартовное оборудование / точки крепления должны быть проверены перед швартовкой. Лица, находящиеся на причале, должны следить за тем, чтобы не поскользнуться на поверхности причала. Если используется постоянный причал, территория должна быть свободна от препятствий. Кранцевая защита должна быть в хорошем состоянии и штатно расположена. Перед швартовкой необходимо проверить работу двигателя судна и АПС. К причалу разрешается подходить только подтвержденному буксиру. Перед швартовкой необходимо получить разрешение от СУДС. Следуйте указаниям администрации порта (Тамань). Ходовые огни должны соответствовать навигационному состоянию.</t>
  </si>
  <si>
    <t>Неконтролируемое движение ошвартованного судна (у причала)</t>
  </si>
  <si>
    <t>Травмы персонала в результате скольжения, падения или падения между буксирм и причалом.  Повреждение трапа в результате перемещения судна. Потеря рабочего времени. Не исключена более серьезная травма. Повреждение трапа, требующее ремонта.</t>
  </si>
  <si>
    <t>Для предотвращения "раскачивания" буксира у причала необходимо использовать соответствующие швартовые линии. Пересадка должна осуществляться только после подтверждения капитана, что судно ошвартовано безопасно. Выбирайте место для швартовки, защищенное от волн и ветра.</t>
  </si>
  <si>
    <t xml:space="preserve">Неправильно установленный или неподходящий трап. 
</t>
  </si>
  <si>
    <t>Травмы персонала в результате поскальзывания, падения или падения между буксиром и причалом. Повреждение трапа из-за неправильной установки. Потеря рабочего времени. Не исключена более серьезная травма. Повреждение трапа, требующее ремонта.</t>
  </si>
  <si>
    <t>Трап должен быть: Оборудован защитной сеткой и боковыми поручнями. Установлен так, чтобы исключить ненужное движение.  Иметь протекторы для предотвращения скольжения. Изготовлен авторитетной компанией, сертифицирован и проверен.</t>
  </si>
  <si>
    <t>Человек за бортом</t>
  </si>
  <si>
    <t>Травма с потерей рабочего времени. Не исключен летальный исход.</t>
  </si>
  <si>
    <t>Защитные ограждения / леера и т.д. должны поддерживаться в хорошем состоянии - на причале и на борту буксира. Лоц. порты и проемы должны быть закрыты, когда буксир находится в море. Члены экипажа должны носить СИЗ, соответствующие выполняемой ими работе.  Спасательное оборудование должно регулярно проверяться и тестироваться.</t>
  </si>
  <si>
    <t>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</si>
  <si>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 xml:space="preserve"> 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</si>
  <si>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</si>
  <si>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</si>
  <si>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</si>
  <si>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</si>
  <si>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</si>
  <si>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</si>
  <si>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</si>
  <si>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</si>
  <si>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</si>
  <si>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</si>
  <si>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</si>
  <si>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</si>
  <si>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</si>
  <si>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</si>
  <si>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</si>
  <si>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If not, make the entry in the bridge/engineering dept logbook and commence the task / Если нет, внесите запись в журнал на мостике/в машинном отделении и приступайте к производству работ.</t>
  </si>
  <si>
    <t xml:space="preserve"> *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</si>
  <si>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ФИО</t>
  </si>
  <si>
    <t>Должность</t>
  </si>
  <si>
    <t>Подпись</t>
  </si>
  <si>
    <t>Замечания, если имеются «БЕЗОПАСНОСТЬ - МОЯ ЛИЧНАЯ ЦЕННОСТЬ»</t>
  </si>
  <si>
    <t>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</si>
  <si>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</si>
  <si>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</si>
  <si>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</si>
  <si>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</si>
  <si>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</si>
  <si>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</si>
  <si>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Люди</t>
  </si>
  <si>
    <t>Окружающая среда</t>
  </si>
  <si>
    <t>Имущество</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</si>
  <si>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</si>
  <si>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</si>
  <si>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Происходило в Компании в прошлом году или более одного раза в год в сфере морских судов обеспечения (на берегу или в плавании)</t>
  </si>
  <si>
    <t>Маловероятно</t>
  </si>
  <si>
    <t>Возможно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</si>
  <si>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</si>
  <si>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</si>
  <si>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</si>
  <si>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</si>
  <si>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</si>
  <si>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</si>
  <si>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</si>
  <si>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</si>
  <si>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</si>
  <si>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 xml:space="preserve"> Травма, ведущая к потере трудоспособности или к частичной нетрудоспособности</t>
  </si>
  <si>
    <t xml:space="preserve"> Задержка 12–48 часов</t>
  </si>
  <si>
    <t>Постоянная утрата трудоспособности или летальный исход</t>
  </si>
  <si>
    <t>Значительное воздействие
1-10 баррелей</t>
  </si>
  <si>
    <t>Значительное негативное воздействие</t>
  </si>
  <si>
    <t>Задержка 48 часов – 7 дней</t>
  </si>
  <si>
    <t>Более 1 смертельного случая</t>
  </si>
  <si>
    <t>Задержка более 7 дней</t>
  </si>
  <si>
    <t>Швартовое оборудование, СИЗ</t>
  </si>
  <si>
    <t>Учетная документация по инструктажам на рабочем месте</t>
  </si>
  <si>
    <r>
      <rPr>
        <i/>
        <sz val="10"/>
        <color rgb="FF000000"/>
        <rFont val="Arial"/>
        <family val="2"/>
        <charset val="204"/>
      </rPr>
      <t>Необходимо</t>
    </r>
    <r>
      <rPr>
        <sz val="10"/>
        <color rgb="FF000000"/>
        <rFont val="Arial"/>
        <family val="2"/>
        <charset val="204"/>
      </rPr>
      <t xml:space="preserve"> проверить следующие пункты:</t>
    </r>
  </si>
  <si>
    <t>File 09 / Папка 09</t>
  </si>
  <si>
    <t>Retention 3 Year / Срок хранения документа 3 года</t>
  </si>
  <si>
    <t>BL_FRM-VSL-09-1312-006</t>
  </si>
  <si>
    <t>Последствия</t>
  </si>
  <si>
    <t>Возрастающая вероятность</t>
  </si>
  <si>
    <t xml:space="preserve"> Репутация</t>
  </si>
  <si>
    <t xml:space="preserve"> График</t>
  </si>
  <si>
    <t xml:space="preserve"> Крайне маловероятно</t>
  </si>
  <si>
    <t xml:space="preserve"> Задержка 1–12 часов</t>
  </si>
  <si>
    <t>Умеренное воздействие
 менее - 1 баррель</t>
  </si>
  <si>
    <t>Умеренное повреждение 
&lt;50.000€ / евро</t>
  </si>
  <si>
    <t>Умеренное негативное воздействие</t>
  </si>
  <si>
    <t xml:space="preserve"> Значительное повреждение 
&lt;500.000€ / евро</t>
  </si>
  <si>
    <t>Сильное воздействие
&gt; 10  баррелей</t>
  </si>
  <si>
    <t>Обширное повреждение
&gt; 500.000€ / евро</t>
  </si>
  <si>
    <t>Сильное негативное воздействие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</si>
</sst>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sz val="8"/>
      <color rgb="FF006666"/>
      <name val="Arial Black"/>
      <family val="2"/>
      <charset val="204"/>
    </font>
    <font>
      <sz val="8"/>
      <color rgb="FF333399"/>
      <name val="Arial Black"/>
      <family val="2"/>
      <charset val="204"/>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199">
    <xf numFmtId="0" fontId="0" fillId="0" borderId="0" xfId="0"/>
    <xf numFmtId="0" fontId="13" fillId="2" borderId="0" xfId="0" applyFont="1" applyFill="1"/>
    <xf numFmtId="0" fontId="16" fillId="2" borderId="0" xfId="0" applyFont="1" applyFill="1" applyAlignment="1">
      <alignment horizontal="right" vertical="center"/>
    </xf>
    <xf numFmtId="0" fontId="0" fillId="2" borderId="0" xfId="0" applyFill="1" applyAlignment="1">
      <alignment vertical="center" wrapText="1"/>
    </xf>
    <xf numFmtId="0" fontId="15" fillId="2" borderId="0" xfId="0" applyFont="1" applyFill="1" applyAlignment="1">
      <alignment vertical="center"/>
    </xf>
    <xf numFmtId="0" fontId="2"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19" fillId="3" borderId="5" xfId="0" applyFont="1" applyFill="1" applyBorder="1" applyAlignment="1">
      <alignment horizontal="justify" vertical="top" wrapText="1"/>
    </xf>
    <xf numFmtId="0" fontId="0" fillId="2" borderId="0" xfId="0" applyFill="1"/>
    <xf numFmtId="0" fontId="17" fillId="0" borderId="6" xfId="0" applyFont="1" applyBorder="1" applyAlignment="1">
      <alignment horizontal="center" vertical="top" wrapText="1"/>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26" fillId="2" borderId="0" xfId="0" applyFont="1" applyFill="1" applyAlignment="1">
      <alignment horizontal="center" vertical="center" wrapText="1"/>
    </xf>
    <xf numFmtId="0" fontId="22" fillId="2" borderId="0" xfId="0" applyFont="1" applyFill="1" applyAlignment="1">
      <alignment horizontal="center"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6" fillId="4" borderId="10" xfId="0" applyFont="1" applyFill="1" applyBorder="1" applyAlignment="1">
      <alignment horizontal="center" vertical="center" wrapText="1"/>
    </xf>
    <xf numFmtId="0" fontId="26" fillId="4" borderId="11" xfId="0" applyFont="1" applyFill="1" applyBorder="1" applyAlignment="1">
      <alignment horizontal="center" vertical="center" wrapText="1"/>
    </xf>
    <xf numFmtId="0" fontId="22" fillId="5" borderId="1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7" fillId="4" borderId="11" xfId="0" applyFont="1" applyFill="1" applyBorder="1" applyAlignment="1">
      <alignment horizontal="center" vertical="center" wrapText="1"/>
    </xf>
    <xf numFmtId="0" fontId="27" fillId="6" borderId="3"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7" xfId="0" applyFont="1" applyFill="1" applyBorder="1" applyAlignment="1">
      <alignment horizontal="center" vertical="center" wrapText="1"/>
    </xf>
    <xf numFmtId="0" fontId="27" fillId="6" borderId="15"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11" fillId="2" borderId="0" xfId="0" applyFont="1" applyFill="1" applyAlignment="1">
      <alignment horizontal="left" vertical="center"/>
    </xf>
    <xf numFmtId="0" fontId="18" fillId="2" borderId="0" xfId="0" applyFont="1" applyFill="1" applyAlignment="1">
      <alignment horizontal="center" wrapText="1"/>
    </xf>
    <xf numFmtId="0" fontId="21" fillId="2" borderId="0" xfId="0" applyFont="1" applyFill="1" applyAlignment="1">
      <alignment horizontal="center" vertical="center" wrapText="1"/>
    </xf>
    <xf numFmtId="0" fontId="9" fillId="2" borderId="0" xfId="0" applyFont="1" applyFill="1" applyAlignment="1">
      <alignment horizontal="left" vertical="center"/>
    </xf>
    <xf numFmtId="0" fontId="3" fillId="2" borderId="0" xfId="0" applyFont="1" applyFill="1" applyAlignment="1">
      <alignment horizontal="left" vertical="center" indent="1"/>
    </xf>
    <xf numFmtId="0" fontId="25" fillId="2" borderId="18" xfId="0" applyFont="1" applyFill="1" applyBorder="1" applyAlignment="1">
      <alignment horizontal="center"/>
    </xf>
    <xf numFmtId="0" fontId="25" fillId="2" borderId="19" xfId="0" applyFont="1" applyFill="1" applyBorder="1" applyAlignment="1">
      <alignment horizontal="center"/>
    </xf>
    <xf numFmtId="0" fontId="13" fillId="2" borderId="19" xfId="0" applyFont="1" applyFill="1" applyBorder="1"/>
    <xf numFmtId="0" fontId="13" fillId="2" borderId="20" xfId="0" applyFont="1" applyFill="1" applyBorder="1"/>
    <xf numFmtId="0" fontId="3" fillId="2" borderId="28" xfId="0" applyFont="1" applyFill="1" applyBorder="1" applyAlignment="1">
      <alignment horizontal="left" vertical="center" indent="1"/>
    </xf>
    <xf numFmtId="0" fontId="15" fillId="2" borderId="29" xfId="0" applyFont="1" applyFill="1" applyBorder="1" applyAlignment="1">
      <alignment vertical="center"/>
    </xf>
    <xf numFmtId="0" fontId="0" fillId="2" borderId="29" xfId="0" applyFill="1" applyBorder="1" applyAlignment="1">
      <alignment vertical="center" wrapText="1"/>
    </xf>
    <xf numFmtId="0" fontId="0" fillId="2" borderId="28" xfId="0" applyFill="1" applyBorder="1" applyAlignment="1">
      <alignment vertical="center" wrapText="1"/>
    </xf>
    <xf numFmtId="0" fontId="13" fillId="2" borderId="18" xfId="0" applyFont="1" applyFill="1" applyBorder="1"/>
    <xf numFmtId="0" fontId="0" fillId="2" borderId="20" xfId="0" applyFill="1" applyBorder="1" applyAlignment="1">
      <alignment vertical="center" wrapText="1"/>
    </xf>
    <xf numFmtId="0" fontId="0" fillId="2" borderId="17" xfId="0" applyFill="1" applyBorder="1" applyAlignment="1">
      <alignment vertical="center" wrapText="1"/>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8" xfId="0" applyFont="1" applyFill="1" applyBorder="1" applyAlignment="1">
      <alignment wrapText="1"/>
    </xf>
    <xf numFmtId="0" fontId="5" fillId="2" borderId="29" xfId="0" applyFont="1" applyFill="1" applyBorder="1" applyAlignment="1">
      <alignment wrapText="1"/>
    </xf>
    <xf numFmtId="0" fontId="4" fillId="2" borderId="8"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7" fillId="0" borderId="6" xfId="0" applyFont="1" applyBorder="1" applyAlignment="1">
      <alignment horizontal="center" vertical="center" wrapText="1"/>
    </xf>
    <xf numFmtId="14" fontId="9" fillId="2" borderId="4" xfId="0" applyNumberFormat="1"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9" fillId="2" borderId="8" xfId="0" applyFont="1" applyFill="1" applyBorder="1" applyAlignment="1" applyProtection="1">
      <alignment horizontal="left" vertical="center" wrapText="1" shrinkToFit="1"/>
      <protection locked="0"/>
    </xf>
    <xf numFmtId="0" fontId="4" fillId="0" borderId="1" xfId="0" applyFont="1" applyBorder="1" applyAlignment="1" applyProtection="1">
      <alignment horizontal="left" vertical="center" wrapText="1"/>
      <protection locked="0"/>
    </xf>
    <xf numFmtId="0" fontId="33" fillId="0" borderId="4" xfId="0" applyFont="1" applyBorder="1" applyAlignment="1" applyProtection="1">
      <alignment horizontal="left" vertical="center" wrapText="1"/>
      <protection locked="0"/>
    </xf>
    <xf numFmtId="0" fontId="33" fillId="0" borderId="1" xfId="0" applyFont="1" applyBorder="1" applyAlignment="1" applyProtection="1">
      <alignment horizontal="left" vertical="center" wrapText="1"/>
      <protection locked="0"/>
    </xf>
    <xf numFmtId="0" fontId="11" fillId="2" borderId="28" xfId="0" applyFont="1" applyFill="1" applyBorder="1" applyAlignment="1">
      <alignment horizontal="center" vertical="center"/>
    </xf>
    <xf numFmtId="0" fontId="11" fillId="0" borderId="0" xfId="0" applyFont="1" applyAlignment="1">
      <alignment horizontal="center" vertical="center"/>
    </xf>
    <xf numFmtId="0" fontId="11" fillId="0" borderId="29" xfId="0" applyFont="1" applyBorder="1" applyAlignment="1">
      <alignment horizontal="center" vertical="center"/>
    </xf>
    <xf numFmtId="0" fontId="11" fillId="2" borderId="14"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vertical="center" wrapText="1"/>
    </xf>
    <xf numFmtId="0" fontId="9" fillId="0" borderId="4" xfId="0" applyFont="1" applyBorder="1" applyAlignment="1">
      <alignment vertical="center" wrapText="1"/>
    </xf>
    <xf numFmtId="0" fontId="16" fillId="2" borderId="28" xfId="0" applyFont="1" applyFill="1" applyBorder="1" applyAlignment="1">
      <alignment horizontal="center" vertical="center"/>
    </xf>
    <xf numFmtId="0" fontId="16" fillId="2" borderId="0" xfId="0" applyFont="1" applyFill="1" applyAlignment="1">
      <alignment horizontal="center" vertical="center"/>
    </xf>
    <xf numFmtId="0" fontId="16" fillId="2" borderId="29" xfId="0" applyFont="1" applyFill="1" applyBorder="1" applyAlignment="1">
      <alignment horizontal="center" vertical="center"/>
    </xf>
    <xf numFmtId="0" fontId="4" fillId="2" borderId="8" xfId="0" applyFont="1" applyFill="1" applyBorder="1" applyAlignment="1" applyProtection="1">
      <alignment horizontal="left" vertical="center" wrapText="1" shrinkToFit="1"/>
      <protection locked="0"/>
    </xf>
    <xf numFmtId="0" fontId="4" fillId="2" borderId="17" xfId="0" applyFont="1" applyFill="1" applyBorder="1" applyAlignment="1" applyProtection="1">
      <alignment horizontal="left" vertical="center" wrapText="1" shrinkToFit="1"/>
      <protection locked="0"/>
    </xf>
    <xf numFmtId="0" fontId="4" fillId="2" borderId="4" xfId="0" applyFont="1" applyFill="1" applyBorder="1" applyAlignment="1" applyProtection="1">
      <alignment horizontal="left" vertical="center" wrapText="1" shrinkToFit="1"/>
      <protection locked="0"/>
    </xf>
    <xf numFmtId="0" fontId="37" fillId="2" borderId="18" xfId="0" applyFont="1" applyFill="1" applyBorder="1" applyAlignment="1">
      <alignment horizontal="center" vertical="center" wrapText="1"/>
    </xf>
    <xf numFmtId="0" fontId="12" fillId="2" borderId="20"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22" xfId="0" applyFont="1" applyFill="1" applyBorder="1" applyAlignment="1">
      <alignment horizontal="center" vertical="center"/>
    </xf>
    <xf numFmtId="0" fontId="36" fillId="2" borderId="8" xfId="0" applyFont="1" applyFill="1" applyBorder="1" applyAlignment="1">
      <alignment horizontal="left" vertical="center"/>
    </xf>
    <xf numFmtId="0" fontId="7" fillId="2" borderId="17" xfId="0" applyFont="1" applyFill="1" applyBorder="1" applyAlignment="1">
      <alignment horizontal="left" vertical="center"/>
    </xf>
    <xf numFmtId="0" fontId="7" fillId="2" borderId="4" xfId="0" applyFont="1" applyFill="1" applyBorder="1" applyAlignment="1">
      <alignment horizontal="left" vertical="center"/>
    </xf>
    <xf numFmtId="0" fontId="36"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35"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 fillId="2" borderId="8" xfId="0" applyFont="1" applyFill="1" applyBorder="1" applyAlignment="1">
      <alignment vertical="center" wrapText="1"/>
    </xf>
    <xf numFmtId="0" fontId="3" fillId="2" borderId="17" xfId="0" applyFont="1" applyFill="1" applyBorder="1" applyAlignment="1">
      <alignment vertical="center" wrapText="1"/>
    </xf>
    <xf numFmtId="0" fontId="3" fillId="2" borderId="4" xfId="0" applyFont="1" applyFill="1" applyBorder="1" applyAlignment="1">
      <alignment vertical="center" wrapText="1"/>
    </xf>
    <xf numFmtId="0" fontId="40" fillId="2" borderId="8" xfId="0" applyFont="1" applyFill="1" applyBorder="1" applyAlignment="1">
      <alignment horizontal="left" vertical="center" wrapText="1"/>
    </xf>
    <xf numFmtId="0" fontId="42" fillId="2" borderId="17" xfId="0" applyFont="1" applyFill="1" applyBorder="1" applyAlignment="1">
      <alignment horizontal="left" vertical="center" wrapText="1"/>
    </xf>
    <xf numFmtId="0" fontId="42" fillId="2" borderId="4" xfId="0" applyFont="1" applyFill="1" applyBorder="1" applyAlignment="1">
      <alignment horizontal="left" vertical="center" wrapText="1"/>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9" fillId="2" borderId="8" xfId="0" applyFont="1" applyFill="1" applyBorder="1" applyAlignment="1" applyProtection="1">
      <alignment vertical="center" wrapText="1"/>
      <protection locked="0"/>
    </xf>
    <xf numFmtId="0" fontId="9" fillId="2" borderId="17"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11" fillId="2" borderId="8" xfId="0" applyFont="1" applyFill="1" applyBorder="1" applyAlignment="1">
      <alignment vertical="center" wrapText="1"/>
    </xf>
    <xf numFmtId="0" fontId="11" fillId="2" borderId="17" xfId="0" applyFont="1" applyFill="1" applyBorder="1" applyAlignment="1">
      <alignment vertical="center" wrapText="1"/>
    </xf>
    <xf numFmtId="0" fontId="11" fillId="2" borderId="4" xfId="0" applyFont="1" applyFill="1" applyBorder="1" applyAlignment="1">
      <alignment vertical="center" wrapText="1"/>
    </xf>
    <xf numFmtId="0" fontId="18" fillId="0" borderId="39" xfId="0" applyFont="1" applyBorder="1" applyAlignment="1">
      <alignment horizontal="center" vertical="center" wrapText="1"/>
    </xf>
    <xf numFmtId="0" fontId="0" fillId="0" borderId="31" xfId="0" applyBorder="1" applyAlignment="1">
      <alignment horizontal="center" vertical="center" wrapText="1"/>
    </xf>
    <xf numFmtId="0" fontId="0" fillId="0" borderId="0" xfId="0" applyAlignment="1">
      <alignment horizontal="center" vertical="center"/>
    </xf>
    <xf numFmtId="0" fontId="18" fillId="0" borderId="36" xfId="0" applyFont="1" applyBorder="1" applyAlignment="1">
      <alignment horizontal="center" vertical="center" wrapText="1"/>
    </xf>
    <xf numFmtId="0" fontId="0" fillId="0" borderId="37" xfId="0" applyBorder="1" applyAlignment="1">
      <alignment horizontal="center" vertical="center" wrapText="1"/>
    </xf>
    <xf numFmtId="0" fontId="18" fillId="0" borderId="38" xfId="0" applyFont="1" applyBorder="1" applyAlignment="1">
      <alignment horizontal="center" vertical="center" wrapText="1"/>
    </xf>
    <xf numFmtId="0" fontId="0" fillId="0" borderId="4" xfId="0" applyBorder="1" applyAlignment="1">
      <alignment horizontal="center" vertical="center" wrapText="1"/>
    </xf>
    <xf numFmtId="0" fontId="9" fillId="7" borderId="30" xfId="0" applyFont="1" applyFill="1" applyBorder="1" applyAlignment="1">
      <alignment horizontal="center" textRotation="90" wrapText="1"/>
    </xf>
    <xf numFmtId="0" fontId="4" fillId="0" borderId="32" xfId="0" applyFont="1" applyBorder="1" applyAlignment="1">
      <alignment horizontal="center" textRotation="90" wrapText="1"/>
    </xf>
    <xf numFmtId="0" fontId="9" fillId="7" borderId="33" xfId="0" applyFont="1" applyFill="1" applyBorder="1" applyAlignment="1">
      <alignment horizontal="center" textRotation="90" wrapText="1"/>
    </xf>
    <xf numFmtId="0" fontId="4" fillId="0" borderId="34" xfId="0" applyFont="1" applyBorder="1" applyAlignment="1">
      <alignment horizontal="center" textRotation="90" wrapText="1"/>
    </xf>
    <xf numFmtId="0" fontId="9" fillId="7" borderId="35" xfId="0" applyFont="1" applyFill="1" applyBorder="1" applyAlignment="1">
      <alignment horizontal="center" textRotation="90" wrapText="1"/>
    </xf>
    <xf numFmtId="0" fontId="4" fillId="0" borderId="5" xfId="0" applyFont="1" applyBorder="1" applyAlignment="1">
      <alignment horizontal="center" textRotation="90" wrapText="1"/>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38" fillId="2" borderId="0" xfId="0" applyFont="1" applyFill="1" applyAlignment="1">
      <alignment horizontal="center" vertical="center" wrapText="1"/>
    </xf>
    <xf numFmtId="0" fontId="6" fillId="7" borderId="25" xfId="0" applyFont="1" applyFill="1" applyBorder="1" applyAlignment="1">
      <alignment horizontal="justify" wrapText="1"/>
    </xf>
    <xf numFmtId="0" fontId="6" fillId="7" borderId="26" xfId="0" applyFont="1" applyFill="1" applyBorder="1" applyAlignment="1">
      <alignment horizontal="justify" wrapText="1"/>
    </xf>
    <xf numFmtId="0" fontId="6" fillId="7" borderId="27" xfId="0" applyFont="1" applyFill="1" applyBorder="1" applyAlignment="1">
      <alignment horizontal="justify" wrapText="1"/>
    </xf>
    <xf numFmtId="0" fontId="24" fillId="8" borderId="8" xfId="0" applyFont="1" applyFill="1" applyBorder="1" applyAlignment="1">
      <alignment horizontal="right" vertical="center" wrapText="1"/>
    </xf>
    <xf numFmtId="0" fontId="24" fillId="8" borderId="4" xfId="0" applyFont="1" applyFill="1" applyBorder="1" applyAlignment="1">
      <alignment horizontal="right" vertical="center" wrapText="1"/>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textRotation="90" wrapText="1"/>
    </xf>
    <xf numFmtId="0" fontId="28" fillId="8" borderId="8" xfId="0" applyFont="1" applyFill="1" applyBorder="1" applyAlignment="1">
      <alignment horizontal="center" vertical="center" wrapText="1"/>
    </xf>
    <xf numFmtId="0" fontId="28" fillId="8" borderId="17" xfId="0" applyFont="1" applyFill="1" applyBorder="1" applyAlignment="1">
      <alignment horizontal="center" vertical="center" wrapText="1"/>
    </xf>
    <xf numFmtId="0" fontId="28" fillId="8" borderId="4" xfId="0" applyFont="1" applyFill="1" applyBorder="1" applyAlignment="1">
      <alignment horizontal="center" vertical="center" wrapText="1"/>
    </xf>
    <xf numFmtId="14" fontId="24" fillId="8" borderId="8" xfId="0" applyNumberFormat="1" applyFont="1" applyFill="1" applyBorder="1" applyAlignment="1">
      <alignment horizontal="center" vertical="center" wrapText="1"/>
    </xf>
    <xf numFmtId="14" fontId="24" fillId="8" borderId="17" xfId="0" applyNumberFormat="1" applyFont="1" applyFill="1" applyBorder="1" applyAlignment="1">
      <alignment horizontal="center" vertical="center" wrapText="1"/>
    </xf>
    <xf numFmtId="14" fontId="24" fillId="8" borderId="4" xfId="0" applyNumberFormat="1" applyFont="1" applyFill="1" applyBorder="1" applyAlignment="1">
      <alignment horizontal="center" vertical="center" wrapText="1"/>
    </xf>
    <xf numFmtId="0" fontId="24" fillId="8" borderId="1" xfId="0" applyFont="1" applyFill="1" applyBorder="1" applyAlignment="1">
      <alignment horizontal="right" vertical="center" wrapText="1"/>
    </xf>
    <xf numFmtId="0" fontId="24" fillId="8" borderId="1" xfId="0" applyFont="1" applyFill="1" applyBorder="1" applyAlignment="1" applyProtection="1">
      <alignment horizontal="center" vertical="center" wrapText="1"/>
      <protection locked="0"/>
    </xf>
    <xf numFmtId="0" fontId="39" fillId="8" borderId="17" xfId="0" applyFont="1" applyFill="1" applyBorder="1" applyAlignment="1">
      <alignment horizontal="left" vertical="center" wrapText="1"/>
    </xf>
    <xf numFmtId="0" fontId="29" fillId="8" borderId="17" xfId="0" applyFont="1" applyFill="1" applyBorder="1" applyAlignment="1">
      <alignment horizontal="left" vertical="center" wrapText="1"/>
    </xf>
    <xf numFmtId="0" fontId="30" fillId="8" borderId="18" xfId="0" applyFont="1" applyFill="1" applyBorder="1" applyAlignment="1">
      <alignment vertical="center"/>
    </xf>
    <xf numFmtId="0" fontId="30" fillId="8" borderId="19" xfId="0" applyFont="1" applyFill="1" applyBorder="1" applyAlignment="1">
      <alignment vertical="center"/>
    </xf>
    <xf numFmtId="0" fontId="31" fillId="8" borderId="19" xfId="0" applyFont="1" applyFill="1" applyBorder="1" applyAlignment="1">
      <alignment horizontal="center"/>
    </xf>
    <xf numFmtId="0" fontId="32" fillId="8" borderId="19" xfId="0" applyFont="1" applyFill="1" applyBorder="1" applyAlignment="1">
      <alignment horizontal="left" vertical="center" indent="1"/>
    </xf>
    <xf numFmtId="0" fontId="28" fillId="8" borderId="19" xfId="0" applyFont="1" applyFill="1" applyBorder="1" applyAlignment="1">
      <alignment vertical="center"/>
    </xf>
    <xf numFmtId="0" fontId="28" fillId="8" borderId="19" xfId="0" applyFont="1" applyFill="1" applyBorder="1" applyAlignment="1">
      <alignment horizontal="left" vertical="center"/>
    </xf>
    <xf numFmtId="0" fontId="28" fillId="8" borderId="20" xfId="0" applyFont="1" applyFill="1" applyBorder="1" applyAlignment="1">
      <alignment horizontal="right" vertical="center"/>
    </xf>
    <xf numFmtId="0" fontId="23" fillId="8" borderId="8" xfId="0" applyFont="1" applyFill="1" applyBorder="1" applyAlignment="1">
      <alignment horizontal="left" vertical="center" wrapText="1"/>
    </xf>
    <xf numFmtId="0" fontId="23" fillId="8" borderId="4"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23" fillId="8" borderId="17" xfId="0" applyFont="1" applyFill="1" applyBorder="1" applyAlignment="1">
      <alignment horizontal="left" vertical="center" wrapText="1"/>
    </xf>
    <xf numFmtId="0" fontId="23" fillId="8" borderId="14" xfId="0" applyFont="1" applyFill="1" applyBorder="1" applyAlignment="1">
      <alignment horizontal="center" vertical="center" wrapText="1"/>
    </xf>
    <xf numFmtId="0" fontId="23" fillId="8" borderId="21" xfId="0" applyFont="1" applyFill="1" applyBorder="1" applyAlignment="1">
      <alignment horizontal="center" vertical="center" wrapText="1"/>
    </xf>
    <xf numFmtId="0" fontId="23" fillId="8" borderId="22" xfId="0" applyFont="1" applyFill="1" applyBorder="1" applyAlignment="1">
      <alignment horizontal="center" vertical="center" wrapText="1"/>
    </xf>
    <xf numFmtId="0" fontId="23" fillId="8" borderId="18" xfId="0" applyFont="1" applyFill="1" applyBorder="1" applyAlignment="1">
      <alignment horizontal="center" vertical="center" wrapText="1"/>
    </xf>
    <xf numFmtId="0" fontId="23" fillId="8" borderId="19" xfId="0" applyFont="1" applyFill="1" applyBorder="1" applyAlignment="1">
      <alignment horizontal="center" vertical="center" wrapText="1"/>
    </xf>
    <xf numFmtId="0" fontId="23" fillId="8" borderId="20" xfId="0" applyFont="1" applyFill="1" applyBorder="1" applyAlignment="1">
      <alignment horizontal="center" vertical="center" wrapText="1"/>
    </xf>
    <xf numFmtId="0" fontId="23" fillId="8" borderId="8" xfId="0" applyFont="1" applyFill="1" applyBorder="1" applyAlignment="1">
      <alignment vertical="center" wrapText="1"/>
    </xf>
    <xf numFmtId="0" fontId="23" fillId="8" borderId="4" xfId="0" applyFont="1" applyFill="1" applyBorder="1" applyAlignment="1">
      <alignment vertical="center" wrapText="1"/>
    </xf>
    <xf numFmtId="0" fontId="23" fillId="8" borderId="1" xfId="0" applyFont="1" applyFill="1" applyBorder="1" applyAlignment="1">
      <alignment vertical="center" wrapText="1"/>
    </xf>
    <xf numFmtId="0" fontId="23" fillId="8" borderId="8"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5" fillId="2" borderId="0" xfId="0" applyFont="1" applyFill="1" applyAlignment="1">
      <alignment horizontal="center"/>
    </xf>
    <xf numFmtId="0" fontId="14" fillId="2" borderId="0" xfId="0" applyFont="1" applyFill="1" applyAlignment="1">
      <alignment horizontal="center"/>
    </xf>
    <xf numFmtId="0" fontId="9" fillId="2" borderId="0" xfId="0" applyFont="1" applyFill="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horizontal="center" vertical="center" wrapText="1"/>
    </xf>
    <xf numFmtId="0" fontId="43" fillId="3" borderId="6" xfId="0" applyFont="1" applyFill="1" applyBorder="1" applyAlignment="1">
      <alignment horizontal="center" textRotation="90" wrapText="1"/>
    </xf>
    <xf numFmtId="0" fontId="43" fillId="3" borderId="23" xfId="0" applyFont="1" applyFill="1" applyBorder="1" applyAlignment="1">
      <alignment horizontal="center" textRotation="90" wrapText="1"/>
    </xf>
    <xf numFmtId="0" fontId="43" fillId="3" borderId="24" xfId="0" applyFont="1" applyFill="1" applyBorder="1" applyAlignment="1">
      <alignment horizontal="center" textRotation="90"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12</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0</xdr:col>
      <xdr:colOff>130969</xdr:colOff>
      <xdr:row>2</xdr:row>
      <xdr:rowOff>23812</xdr:rowOff>
    </xdr:from>
    <xdr:to>
      <xdr:col>1</xdr:col>
      <xdr:colOff>1750218</xdr:colOff>
      <xdr:row>2</xdr:row>
      <xdr:rowOff>206853</xdr:rowOff>
    </xdr:to>
    <xdr:pic>
      <xdr:nvPicPr>
        <xdr:cNvPr id="2" name="Рисунок 1" descr="bollard">
          <a:extLst>
            <a:ext uri="{FF2B5EF4-FFF2-40B4-BE49-F238E27FC236}">
              <a16:creationId xmlns:a16="http://schemas.microsoft.com/office/drawing/2014/main" id="{C2CCE0C7-DE35-4C13-86C0-4D6636B8C92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969" y="488156"/>
          <a:ext cx="2071687" cy="183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54F43325-E78F-4AC7-82C2-DA6283EEAAA8}"/>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F1281802-5806-4F3D-910D-7CA24C1657D2}"/>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06AF74A9-831C-4578-BE10-A886DDAFDEE6}"/>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396B8C42-B683-48CD-973D-B8DF10C659C9}"/>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A845AC83-2E93-47F3-A1EB-5EF28EC66A02}"/>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5F60E2E7-2BBF-43F2-B855-1956340A702A}"/>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3EC7D7FB-E6DA-4BFE-B045-28FABB064734}"/>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CB554024-A463-4BDB-8506-2FC49D0374B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56"/>
  <sheetViews>
    <sheetView tabSelected="1" zoomScale="80" zoomScaleNormal="80" zoomScalePageLayoutView="70" workbookViewId="0">
      <selection sqref="A1:B4"/>
    </sheetView>
  </sheetViews>
  <sheetFormatPr defaultColWidth="9.140625" defaultRowHeight="12.75" x14ac:dyDescent="0.2"/>
  <cols>
    <col min="1" max="1" width="6.85546875" style="3" customWidth="1"/>
    <col min="2" max="2" width="28.7109375" style="3" customWidth="1"/>
    <col min="3" max="3" width="66.140625" style="3" customWidth="1"/>
    <col min="4" max="4" width="4.85546875" style="3" customWidth="1"/>
    <col min="5" max="5" width="5.140625" style="3" customWidth="1"/>
    <col min="6" max="6" width="5.285156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285156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92"/>
      <c r="B1" s="93"/>
      <c r="C1" s="51"/>
      <c r="D1" s="52"/>
      <c r="E1" s="52"/>
      <c r="F1" s="52"/>
      <c r="G1" s="53"/>
      <c r="H1" s="54"/>
      <c r="I1" s="1"/>
      <c r="J1" s="59"/>
      <c r="K1" s="53"/>
      <c r="L1" s="53"/>
      <c r="M1" s="60"/>
      <c r="Q1" s="14" t="s">
        <v>8</v>
      </c>
      <c r="R1" s="14" t="s">
        <v>9</v>
      </c>
      <c r="S1" s="14" t="s">
        <v>10</v>
      </c>
      <c r="T1" s="14" t="s">
        <v>11</v>
      </c>
      <c r="U1" s="14" t="s">
        <v>12</v>
      </c>
      <c r="V1" s="14" t="s">
        <v>13</v>
      </c>
      <c r="W1" s="18" t="s">
        <v>14</v>
      </c>
    </row>
    <row r="2" spans="1:23" ht="25.5" customHeight="1" x14ac:dyDescent="0.2">
      <c r="A2" s="94"/>
      <c r="B2" s="95"/>
      <c r="C2" s="55"/>
      <c r="D2" s="50"/>
      <c r="E2" s="50"/>
      <c r="F2" s="50"/>
      <c r="G2" s="50"/>
      <c r="H2" s="56"/>
      <c r="I2" s="4"/>
      <c r="J2" s="78" t="s">
        <v>144</v>
      </c>
      <c r="K2" s="79"/>
      <c r="L2" s="79"/>
      <c r="M2" s="80"/>
      <c r="P2" s="7"/>
      <c r="Q2" s="14">
        <v>1</v>
      </c>
      <c r="R2" s="14" t="s">
        <v>15</v>
      </c>
      <c r="S2" s="15"/>
      <c r="T2" s="15"/>
      <c r="U2" s="15"/>
      <c r="V2" s="15"/>
      <c r="W2" s="18" t="s">
        <v>16</v>
      </c>
    </row>
    <row r="3" spans="1:23" ht="25.5" customHeight="1" x14ac:dyDescent="0.2">
      <c r="A3" s="94"/>
      <c r="B3" s="95"/>
      <c r="C3" s="86" t="s">
        <v>56</v>
      </c>
      <c r="D3" s="87"/>
      <c r="E3" s="87"/>
      <c r="F3" s="87"/>
      <c r="G3" s="87"/>
      <c r="H3" s="88"/>
      <c r="J3" s="78" t="s">
        <v>142</v>
      </c>
      <c r="K3" s="79"/>
      <c r="L3" s="79"/>
      <c r="M3" s="80"/>
      <c r="P3" s="7"/>
      <c r="Q3" s="14">
        <v>2</v>
      </c>
      <c r="R3" s="14" t="s">
        <v>17</v>
      </c>
      <c r="S3" s="15"/>
      <c r="T3" s="15"/>
      <c r="U3" s="15"/>
      <c r="V3" s="15"/>
      <c r="W3" s="18" t="s">
        <v>18</v>
      </c>
    </row>
    <row r="4" spans="1:23" ht="33.75" customHeight="1" x14ac:dyDescent="0.2">
      <c r="A4" s="96"/>
      <c r="B4" s="97"/>
      <c r="C4" s="58"/>
      <c r="H4" s="57"/>
      <c r="J4" s="81" t="s">
        <v>143</v>
      </c>
      <c r="K4" s="82"/>
      <c r="L4" s="82"/>
      <c r="M4" s="83"/>
      <c r="P4" s="7"/>
      <c r="Q4" s="14"/>
      <c r="R4" s="14"/>
      <c r="S4" s="15"/>
      <c r="T4" s="15"/>
      <c r="U4" s="15"/>
      <c r="V4" s="15"/>
      <c r="W4" s="18"/>
    </row>
    <row r="5" spans="1:23" ht="8.4499999999999993" customHeight="1" x14ac:dyDescent="0.2">
      <c r="A5" s="61"/>
      <c r="B5" s="61"/>
      <c r="C5" s="61"/>
      <c r="D5" s="61"/>
      <c r="E5" s="61"/>
      <c r="F5" s="61"/>
      <c r="G5" s="61"/>
      <c r="H5" s="61"/>
      <c r="I5" s="61"/>
      <c r="J5" s="61"/>
      <c r="K5" s="61"/>
      <c r="L5" s="61"/>
      <c r="M5" s="61"/>
      <c r="P5" s="7"/>
      <c r="Q5" s="14">
        <v>3</v>
      </c>
      <c r="R5" s="14" t="s">
        <v>19</v>
      </c>
      <c r="S5" s="15"/>
      <c r="T5" s="15"/>
      <c r="U5" s="15"/>
      <c r="V5" s="15"/>
      <c r="W5" s="18" t="s">
        <v>20</v>
      </c>
    </row>
    <row r="6" spans="1:23" s="7" customFormat="1" ht="57" customHeight="1" x14ac:dyDescent="0.2">
      <c r="A6" s="155" t="s">
        <v>57</v>
      </c>
      <c r="B6" s="156"/>
      <c r="C6" s="72"/>
      <c r="D6" s="62"/>
      <c r="E6" s="62"/>
      <c r="F6" s="63"/>
      <c r="G6" s="165" t="s">
        <v>58</v>
      </c>
      <c r="H6" s="74" t="s">
        <v>59</v>
      </c>
      <c r="I6" s="62"/>
      <c r="J6" s="166" t="s">
        <v>60</v>
      </c>
      <c r="K6" s="84" t="s">
        <v>55</v>
      </c>
      <c r="L6" s="84"/>
      <c r="M6" s="85"/>
      <c r="Q6" s="14">
        <v>4</v>
      </c>
      <c r="R6" s="14" t="s">
        <v>21</v>
      </c>
      <c r="S6" s="14"/>
      <c r="T6" s="14"/>
      <c r="U6" s="14"/>
      <c r="V6" s="14"/>
    </row>
    <row r="7" spans="1:23" s="7" customFormat="1" ht="36" customHeight="1" x14ac:dyDescent="0.2">
      <c r="A7" s="155" t="s">
        <v>61</v>
      </c>
      <c r="B7" s="156"/>
      <c r="C7" s="71"/>
      <c r="D7" s="162" t="s">
        <v>62</v>
      </c>
      <c r="E7" s="163"/>
      <c r="F7" s="164"/>
      <c r="G7" s="165" t="s">
        <v>63</v>
      </c>
      <c r="H7" s="130" t="s">
        <v>139</v>
      </c>
      <c r="I7" s="131"/>
      <c r="J7" s="132"/>
      <c r="K7" s="162" t="s">
        <v>64</v>
      </c>
      <c r="L7" s="163"/>
      <c r="M7" s="164"/>
      <c r="Q7" s="14">
        <v>5</v>
      </c>
      <c r="R7" s="14" t="s">
        <v>22</v>
      </c>
      <c r="S7" s="14"/>
      <c r="T7" s="14"/>
      <c r="U7" s="14"/>
      <c r="V7" s="14"/>
    </row>
    <row r="8" spans="1:23" ht="158.25" customHeight="1" x14ac:dyDescent="0.2">
      <c r="A8" s="157" t="s">
        <v>65</v>
      </c>
      <c r="B8" s="157" t="s">
        <v>66</v>
      </c>
      <c r="C8" s="157" t="s">
        <v>67</v>
      </c>
      <c r="D8" s="158" t="s">
        <v>68</v>
      </c>
      <c r="E8" s="158" t="s">
        <v>69</v>
      </c>
      <c r="F8" s="158" t="s">
        <v>62</v>
      </c>
      <c r="G8" s="159" t="s">
        <v>70</v>
      </c>
      <c r="H8" s="160"/>
      <c r="I8" s="160"/>
      <c r="J8" s="161"/>
      <c r="K8" s="158" t="s">
        <v>68</v>
      </c>
      <c r="L8" s="158" t="s">
        <v>69</v>
      </c>
      <c r="M8" s="158" t="s">
        <v>71</v>
      </c>
      <c r="Q8" s="14"/>
      <c r="R8" s="15"/>
      <c r="S8" s="15"/>
      <c r="T8" s="15"/>
      <c r="U8" s="15" t="str">
        <f>IF(L11="","",IF(N11="","",IF(M11+O11&lt;=5,$W$12,IF(M11+O11=6,$W$13,IF(M11+O11=7,$W$13,IF(M11+O11&gt;=8,$W$14,""))))))</f>
        <v/>
      </c>
      <c r="V8" s="15"/>
    </row>
    <row r="9" spans="1:23" ht="282.75" customHeight="1" x14ac:dyDescent="0.2">
      <c r="A9" s="73">
        <v>1</v>
      </c>
      <c r="B9" s="75" t="s">
        <v>72</v>
      </c>
      <c r="C9" s="76" t="s">
        <v>73</v>
      </c>
      <c r="D9" s="20">
        <v>4</v>
      </c>
      <c r="E9" s="13" t="s">
        <v>0</v>
      </c>
      <c r="F9" s="68" t="str">
        <f t="shared" ref="F9:F12" si="0">IF(D9="","",(IF(E9="","",IF(U9&lt;=1,"",IF(U9&lt;=5,$W$2,IF(U9=6,$W$3,IF(U9=7,$W$3,IF(U9&gt;=8,$W$5,""))))))))</f>
        <v>M</v>
      </c>
      <c r="G9" s="89" t="s">
        <v>74</v>
      </c>
      <c r="H9" s="90"/>
      <c r="I9" s="90"/>
      <c r="J9" s="91"/>
      <c r="K9" s="20">
        <v>1</v>
      </c>
      <c r="L9" s="13" t="s">
        <v>1</v>
      </c>
      <c r="M9" s="64" t="str">
        <f t="shared" ref="M9:M12" si="1">IF(K9="","",(IF(L9="","",IF(V9&lt;=1,"",IF(V9&lt;=5,$W$2,IF(V9=6,$W$3,IF(V9=7,$W$3,IF(V9&gt;=8,$W$5,""))))))))</f>
        <v>L</v>
      </c>
      <c r="Q9" s="14"/>
      <c r="R9" s="15"/>
      <c r="S9" s="19">
        <f>IF(E9="A",1,IF(E9="B",2,IF(E9="C",3,IF(E9="D",4,IF(E9="E",5,"")))))</f>
        <v>3</v>
      </c>
      <c r="T9" s="19">
        <f t="shared" ref="T9:T12" si="2">IF(L9="A",1,IF(L9="B",2,IF(L9="C",3,IF(L9="D",4,IF(L9="E",5,"")))))</f>
        <v>3</v>
      </c>
      <c r="U9" s="15">
        <f>D9+S9</f>
        <v>7</v>
      </c>
      <c r="V9" s="15">
        <f t="shared" ref="V9:V12" si="3">K9+T9</f>
        <v>4</v>
      </c>
    </row>
    <row r="10" spans="1:23" ht="108.75" customHeight="1" x14ac:dyDescent="0.2">
      <c r="A10" s="73">
        <v>2</v>
      </c>
      <c r="B10" s="75" t="s">
        <v>75</v>
      </c>
      <c r="C10" s="77" t="s">
        <v>76</v>
      </c>
      <c r="D10" s="20">
        <v>3</v>
      </c>
      <c r="E10" s="13" t="s">
        <v>2</v>
      </c>
      <c r="F10" s="68" t="str">
        <f t="shared" si="0"/>
        <v>M</v>
      </c>
      <c r="G10" s="89" t="s">
        <v>77</v>
      </c>
      <c r="H10" s="90"/>
      <c r="I10" s="90"/>
      <c r="J10" s="91"/>
      <c r="K10" s="20">
        <v>1</v>
      </c>
      <c r="L10" s="13" t="s">
        <v>3</v>
      </c>
      <c r="M10" s="64" t="str">
        <f t="shared" si="1"/>
        <v>L</v>
      </c>
      <c r="Q10" s="14"/>
      <c r="R10" s="15"/>
      <c r="S10" s="19">
        <f>IF(E10="A",1,IF(E10="B",2,IF(E10="C",3,IF(E10="D",4,IF(E10="E",5,"")))))</f>
        <v>3</v>
      </c>
      <c r="T10" s="19">
        <f t="shared" si="2"/>
        <v>3</v>
      </c>
      <c r="U10" s="15">
        <f>D10+S10</f>
        <v>6</v>
      </c>
      <c r="V10" s="15">
        <f t="shared" si="3"/>
        <v>4</v>
      </c>
    </row>
    <row r="11" spans="1:23" ht="117.75" customHeight="1" x14ac:dyDescent="0.2">
      <c r="A11" s="73">
        <v>3</v>
      </c>
      <c r="B11" s="77" t="s">
        <v>78</v>
      </c>
      <c r="C11" s="77" t="s">
        <v>79</v>
      </c>
      <c r="D11" s="20">
        <v>3</v>
      </c>
      <c r="E11" s="13" t="s">
        <v>4</v>
      </c>
      <c r="F11" s="68" t="str">
        <f t="shared" si="0"/>
        <v>L</v>
      </c>
      <c r="G11" s="89" t="s">
        <v>80</v>
      </c>
      <c r="H11" s="90"/>
      <c r="I11" s="90"/>
      <c r="J11" s="91"/>
      <c r="K11" s="20">
        <v>2</v>
      </c>
      <c r="L11" s="13" t="s">
        <v>5</v>
      </c>
      <c r="M11" s="64" t="str">
        <f t="shared" si="1"/>
        <v>L</v>
      </c>
      <c r="Q11" s="14"/>
      <c r="R11" s="15"/>
      <c r="S11" s="19">
        <f>IF(E11="A",1,IF(E11="B",2,IF(E11="C",3,IF(E11="D",4,IF(E11="E",5,"")))))</f>
        <v>2</v>
      </c>
      <c r="T11" s="19">
        <f t="shared" si="2"/>
        <v>2</v>
      </c>
      <c r="U11" s="15">
        <f>D11+S11</f>
        <v>5</v>
      </c>
      <c r="V11" s="15">
        <f t="shared" si="3"/>
        <v>4</v>
      </c>
    </row>
    <row r="12" spans="1:23" ht="123" customHeight="1" x14ac:dyDescent="0.2">
      <c r="A12" s="73">
        <v>4</v>
      </c>
      <c r="B12" s="77" t="s">
        <v>81</v>
      </c>
      <c r="C12" s="77" t="s">
        <v>82</v>
      </c>
      <c r="D12" s="20">
        <v>3</v>
      </c>
      <c r="E12" s="13" t="s">
        <v>6</v>
      </c>
      <c r="F12" s="68" t="str">
        <f t="shared" si="0"/>
        <v>M</v>
      </c>
      <c r="G12" s="89" t="s">
        <v>83</v>
      </c>
      <c r="H12" s="90"/>
      <c r="I12" s="90"/>
      <c r="J12" s="91"/>
      <c r="K12" s="20">
        <v>1</v>
      </c>
      <c r="L12" s="13" t="s">
        <v>7</v>
      </c>
      <c r="M12" s="64" t="str">
        <f t="shared" si="1"/>
        <v>L</v>
      </c>
      <c r="Q12" s="14"/>
      <c r="R12" s="15"/>
      <c r="S12" s="19">
        <f>IF(E12="A",1,IF(E12="B",2,IF(E12="C",3,IF(E12="D",4,IF(E12="E",5,"")))))</f>
        <v>4</v>
      </c>
      <c r="T12" s="19">
        <f t="shared" si="2"/>
        <v>4</v>
      </c>
      <c r="U12" s="15">
        <f>D12+S12</f>
        <v>7</v>
      </c>
      <c r="V12" s="15">
        <f t="shared" si="3"/>
        <v>5</v>
      </c>
    </row>
    <row r="13" spans="1:23" ht="54.75" customHeight="1" x14ac:dyDescent="0.2">
      <c r="A13" s="133" t="s">
        <v>84</v>
      </c>
      <c r="B13" s="134"/>
      <c r="C13" s="134"/>
      <c r="D13" s="134"/>
      <c r="E13" s="134"/>
      <c r="F13" s="134"/>
      <c r="G13" s="134"/>
      <c r="H13" s="134"/>
      <c r="I13" s="134"/>
      <c r="J13" s="134"/>
      <c r="K13" s="134"/>
      <c r="L13" s="134"/>
      <c r="M13" s="135"/>
      <c r="Q13" s="14"/>
      <c r="R13" s="15"/>
      <c r="S13" s="19" t="e">
        <f>IF(#REF!="A",1,IF(#REF!="B",2,IF(#REF!="C",3,IF(#REF!="D",4,IF(#REF!="E",5,"")))))</f>
        <v>#REF!</v>
      </c>
      <c r="T13" s="19" t="e">
        <f>IF(#REF!="A",1,IF(#REF!="B",2,IF(#REF!="C",3,IF(#REF!="D",4,IF(#REF!="E",5,"")))))</f>
        <v>#REF!</v>
      </c>
      <c r="U13" s="15" t="e">
        <f>#REF!+S13</f>
        <v>#REF!</v>
      </c>
      <c r="V13" s="15" t="e">
        <f>#REF!+T13</f>
        <v>#REF!</v>
      </c>
    </row>
    <row r="14" spans="1:23" ht="45.75" customHeight="1" x14ac:dyDescent="0.2">
      <c r="A14" s="167" t="s">
        <v>85</v>
      </c>
      <c r="B14" s="168"/>
      <c r="C14" s="168"/>
      <c r="D14" s="168"/>
      <c r="E14" s="168"/>
      <c r="F14" s="168"/>
      <c r="G14" s="168"/>
      <c r="H14" s="168"/>
      <c r="I14" s="168"/>
      <c r="J14" s="168"/>
      <c r="K14" s="168"/>
      <c r="L14" s="168"/>
      <c r="M14" s="168"/>
      <c r="Q14" s="14"/>
      <c r="R14" s="15"/>
      <c r="S14" s="19" t="e">
        <f>IF(#REF!="A",1,IF(#REF!="B",2,IF(#REF!="C",3,IF(#REF!="D",4,IF(#REF!="E",5,"")))))</f>
        <v>#REF!</v>
      </c>
      <c r="T14" s="19" t="e">
        <f>IF(#REF!="A",1,IF(#REF!="B",2,IF(#REF!="C",3,IF(#REF!="D",4,IF(#REF!="E",5,"")))))</f>
        <v>#REF!</v>
      </c>
      <c r="U14" s="15" t="e">
        <f>#REF!+S14</f>
        <v>#REF!</v>
      </c>
      <c r="V14" s="15" t="e">
        <f>#REF!+T14</f>
        <v>#REF!</v>
      </c>
    </row>
    <row r="15" spans="1:23" ht="32.25" customHeight="1" x14ac:dyDescent="0.35">
      <c r="A15" s="169" t="s">
        <v>140</v>
      </c>
      <c r="B15" s="170"/>
      <c r="C15" s="170"/>
      <c r="D15" s="171"/>
      <c r="E15" s="171"/>
      <c r="F15" s="171"/>
      <c r="G15" s="172"/>
      <c r="H15" s="173"/>
      <c r="I15" s="173"/>
      <c r="J15" s="173"/>
      <c r="K15" s="173"/>
      <c r="L15" s="174"/>
      <c r="M15" s="175"/>
      <c r="Q15" s="14"/>
      <c r="R15" s="15"/>
      <c r="S15" s="19" t="e">
        <f>IF(#REF!="A",1,IF(#REF!="B",2,IF(#REF!="C",3,IF(#REF!="D",4,IF(#REF!="E",5,"")))))</f>
        <v>#REF!</v>
      </c>
      <c r="T15" s="19" t="e">
        <f>IF(#REF!="A",1,IF(#REF!="B",2,IF(#REF!="C",3,IF(#REF!="D",4,IF(#REF!="E",5,"")))))</f>
        <v>#REF!</v>
      </c>
      <c r="U15" s="15" t="e">
        <f>#REF!+S15</f>
        <v>#REF!</v>
      </c>
      <c r="V15" s="15" t="e">
        <f>#REF!+T15</f>
        <v>#REF!</v>
      </c>
    </row>
    <row r="16" spans="1:23" ht="49.5" customHeight="1" x14ac:dyDescent="0.2">
      <c r="A16" s="113" t="s">
        <v>86</v>
      </c>
      <c r="B16" s="114"/>
      <c r="C16" s="114"/>
      <c r="D16" s="114"/>
      <c r="E16" s="114"/>
      <c r="F16" s="114"/>
      <c r="G16" s="114"/>
      <c r="H16" s="114"/>
      <c r="I16" s="114"/>
      <c r="J16" s="114"/>
      <c r="K16" s="114"/>
      <c r="L16" s="114"/>
      <c r="M16" s="115"/>
      <c r="Q16" s="14"/>
      <c r="R16" s="15"/>
      <c r="S16" s="19" t="e">
        <f>IF(#REF!="A",1,IF(#REF!="B",2,IF(#REF!="C",3,IF(#REF!="D",4,IF(#REF!="E",5,"")))))</f>
        <v>#REF!</v>
      </c>
      <c r="T16" s="19" t="e">
        <f>IF(#REF!="A",1,IF(#REF!="B",2,IF(#REF!="C",3,IF(#REF!="D",4,IF(#REF!="E",5,"")))))</f>
        <v>#REF!</v>
      </c>
      <c r="U16" s="15" t="e">
        <f>#REF!+S16</f>
        <v>#REF!</v>
      </c>
      <c r="V16" s="15" t="e">
        <f>#REF!+T16</f>
        <v>#REF!</v>
      </c>
    </row>
    <row r="17" spans="1:22" ht="47.25" customHeight="1" x14ac:dyDescent="0.2">
      <c r="A17" s="121" t="s">
        <v>141</v>
      </c>
      <c r="B17" s="122"/>
      <c r="C17" s="122"/>
      <c r="D17" s="122"/>
      <c r="E17" s="122"/>
      <c r="F17" s="122"/>
      <c r="G17" s="122"/>
      <c r="H17" s="122"/>
      <c r="I17" s="122"/>
      <c r="J17" s="122"/>
      <c r="K17" s="122"/>
      <c r="L17" s="122"/>
      <c r="M17" s="123"/>
      <c r="Q17" s="14"/>
      <c r="R17" s="15"/>
      <c r="S17" s="19" t="e">
        <f>IF(#REF!="A",1,IF(#REF!="B",2,IF(#REF!="C",3,IF(#REF!="D",4,IF(#REF!="E",5,"")))))</f>
        <v>#REF!</v>
      </c>
      <c r="T17" s="19" t="e">
        <f>IF(#REF!="A",1,IF(#REF!="B",2,IF(#REF!="C",3,IF(#REF!="D",4,IF(#REF!="E",5,"")))))</f>
        <v>#REF!</v>
      </c>
      <c r="U17" s="15" t="e">
        <f>#REF!+S17</f>
        <v>#REF!</v>
      </c>
      <c r="V17" s="15" t="e">
        <f>#REF!+T17</f>
        <v>#REF!</v>
      </c>
    </row>
    <row r="18" spans="1:22" ht="45" customHeight="1" x14ac:dyDescent="0.2">
      <c r="A18" s="65">
        <v>1</v>
      </c>
      <c r="B18" s="101" t="s">
        <v>87</v>
      </c>
      <c r="C18" s="116"/>
      <c r="D18" s="116"/>
      <c r="E18" s="116"/>
      <c r="F18" s="116"/>
      <c r="G18" s="116"/>
      <c r="H18" s="116"/>
      <c r="I18" s="116"/>
      <c r="J18" s="116"/>
      <c r="K18" s="116"/>
      <c r="L18" s="116"/>
      <c r="M18" s="117"/>
      <c r="Q18" s="14"/>
      <c r="R18" s="15"/>
      <c r="S18" s="19" t="e">
        <f>IF(#REF!="A",1,IF(#REF!="B",2,IF(#REF!="C",3,IF(#REF!="D",4,IF(#REF!="E",5,"")))))</f>
        <v>#REF!</v>
      </c>
      <c r="T18" s="19" t="e">
        <f>IF(#REF!="A",1,IF(#REF!="B",2,IF(#REF!="C",3,IF(#REF!="D",4,IF(#REF!="E",5,"")))))</f>
        <v>#REF!</v>
      </c>
      <c r="U18" s="15" t="e">
        <f>#REF!+S18</f>
        <v>#REF!</v>
      </c>
      <c r="V18" s="15" t="e">
        <f>#REF!+T18</f>
        <v>#REF!</v>
      </c>
    </row>
    <row r="19" spans="1:22" ht="45" customHeight="1" x14ac:dyDescent="0.2">
      <c r="A19" s="65">
        <v>2</v>
      </c>
      <c r="B19" s="98" t="s">
        <v>88</v>
      </c>
      <c r="C19" s="99"/>
      <c r="D19" s="99"/>
      <c r="E19" s="99"/>
      <c r="F19" s="99"/>
      <c r="G19" s="99"/>
      <c r="H19" s="99"/>
      <c r="I19" s="99"/>
      <c r="J19" s="99"/>
      <c r="K19" s="99"/>
      <c r="L19" s="99"/>
      <c r="M19" s="100"/>
      <c r="Q19" s="14"/>
      <c r="R19" s="15"/>
      <c r="S19" s="19" t="e">
        <f>IF(#REF!="A",1,IF(#REF!="B",2,IF(#REF!="C",3,IF(#REF!="D",4,IF(#REF!="E",5,"")))))</f>
        <v>#REF!</v>
      </c>
      <c r="T19" s="19" t="e">
        <f>IF(#REF!="A",1,IF(#REF!="B",2,IF(#REF!="C",3,IF(#REF!="D",4,IF(#REF!="E",5,"")))))</f>
        <v>#REF!</v>
      </c>
      <c r="U19" s="15" t="e">
        <f>#REF!+S19</f>
        <v>#REF!</v>
      </c>
      <c r="V19" s="15" t="e">
        <f>#REF!+T19</f>
        <v>#REF!</v>
      </c>
    </row>
    <row r="20" spans="1:22" ht="45" customHeight="1" x14ac:dyDescent="0.2">
      <c r="A20" s="65">
        <v>3</v>
      </c>
      <c r="B20" s="101" t="s">
        <v>89</v>
      </c>
      <c r="C20" s="116"/>
      <c r="D20" s="116"/>
      <c r="E20" s="116"/>
      <c r="F20" s="116"/>
      <c r="G20" s="116"/>
      <c r="H20" s="116"/>
      <c r="I20" s="116"/>
      <c r="J20" s="116"/>
      <c r="K20" s="116"/>
      <c r="L20" s="116"/>
      <c r="M20" s="117"/>
      <c r="Q20" s="14"/>
      <c r="R20" s="15"/>
      <c r="S20" s="19" t="e">
        <f>IF(#REF!="A",1,IF(#REF!="B",2,IF(#REF!="C",3,IF(#REF!="D",4,IF(#REF!="E",5,"")))))</f>
        <v>#REF!</v>
      </c>
      <c r="T20" s="19" t="e">
        <f>IF(#REF!="A",1,IF(#REF!="B",2,IF(#REF!="C",3,IF(#REF!="D",4,IF(#REF!="E",5,"")))))</f>
        <v>#REF!</v>
      </c>
      <c r="U20" s="15" t="e">
        <f>#REF!+S20</f>
        <v>#REF!</v>
      </c>
      <c r="V20" s="15" t="e">
        <f>#REF!+T20</f>
        <v>#REF!</v>
      </c>
    </row>
    <row r="21" spans="1:22" ht="45" customHeight="1" x14ac:dyDescent="0.2">
      <c r="A21" s="65">
        <v>4</v>
      </c>
      <c r="B21" s="98" t="s">
        <v>90</v>
      </c>
      <c r="C21" s="99"/>
      <c r="D21" s="99"/>
      <c r="E21" s="99"/>
      <c r="F21" s="99"/>
      <c r="G21" s="99"/>
      <c r="H21" s="99"/>
      <c r="I21" s="99"/>
      <c r="J21" s="99"/>
      <c r="K21" s="99"/>
      <c r="L21" s="99"/>
      <c r="M21" s="100"/>
      <c r="Q21" s="14"/>
      <c r="R21" s="15"/>
      <c r="S21" s="19" t="e">
        <f>IF(#REF!="A",1,IF(#REF!="B",2,IF(#REF!="C",3,IF(#REF!="D",4,IF(#REF!="E",5,"")))))</f>
        <v>#REF!</v>
      </c>
      <c r="T21" s="19" t="e">
        <f>IF(#REF!="A",1,IF(#REF!="B",2,IF(#REF!="C",3,IF(#REF!="D",4,IF(#REF!="E",5,"")))))</f>
        <v>#REF!</v>
      </c>
      <c r="U21" s="15" t="e">
        <f>#REF!+S21</f>
        <v>#REF!</v>
      </c>
      <c r="V21" s="15" t="e">
        <f>#REF!+T21</f>
        <v>#REF!</v>
      </c>
    </row>
    <row r="22" spans="1:22" ht="45" customHeight="1" x14ac:dyDescent="0.2">
      <c r="A22" s="65">
        <v>5</v>
      </c>
      <c r="B22" s="101" t="s">
        <v>91</v>
      </c>
      <c r="C22" s="102"/>
      <c r="D22" s="102"/>
      <c r="E22" s="102"/>
      <c r="F22" s="102"/>
      <c r="G22" s="102"/>
      <c r="H22" s="102"/>
      <c r="I22" s="102"/>
      <c r="J22" s="102"/>
      <c r="K22" s="102"/>
      <c r="L22" s="102"/>
      <c r="M22" s="103"/>
      <c r="Q22" s="14"/>
      <c r="R22" s="15"/>
      <c r="S22" s="19" t="e">
        <f>IF(#REF!="A",1,IF(#REF!="B",2,IF(#REF!="C",3,IF(#REF!="D",4,IF(#REF!="E",5,"")))))</f>
        <v>#REF!</v>
      </c>
      <c r="T22" s="19" t="e">
        <f>IF(#REF!="A",1,IF(#REF!="B",2,IF(#REF!="C",3,IF(#REF!="D",4,IF(#REF!="E",5,"")))))</f>
        <v>#REF!</v>
      </c>
      <c r="U22" s="15" t="e">
        <f>#REF!+S22</f>
        <v>#REF!</v>
      </c>
      <c r="V22" s="15" t="e">
        <f>#REF!+T22</f>
        <v>#REF!</v>
      </c>
    </row>
    <row r="23" spans="1:22" ht="45" customHeight="1" x14ac:dyDescent="0.2">
      <c r="A23" s="65">
        <v>6</v>
      </c>
      <c r="B23" s="98" t="s">
        <v>92</v>
      </c>
      <c r="C23" s="99"/>
      <c r="D23" s="99"/>
      <c r="E23" s="99"/>
      <c r="F23" s="99"/>
      <c r="G23" s="99"/>
      <c r="H23" s="99"/>
      <c r="I23" s="99"/>
      <c r="J23" s="99"/>
      <c r="K23" s="99"/>
      <c r="L23" s="99"/>
      <c r="M23" s="100"/>
    </row>
    <row r="24" spans="1:22" ht="45" customHeight="1" x14ac:dyDescent="0.2">
      <c r="A24" s="65">
        <v>7</v>
      </c>
      <c r="B24" s="101" t="s">
        <v>93</v>
      </c>
      <c r="C24" s="102"/>
      <c r="D24" s="102"/>
      <c r="E24" s="102"/>
      <c r="F24" s="102"/>
      <c r="G24" s="102"/>
      <c r="H24" s="102"/>
      <c r="I24" s="102"/>
      <c r="J24" s="102"/>
      <c r="K24" s="102"/>
      <c r="L24" s="102"/>
      <c r="M24" s="103"/>
    </row>
    <row r="25" spans="1:22" ht="45" customHeight="1" x14ac:dyDescent="0.2">
      <c r="A25" s="65">
        <v>8</v>
      </c>
      <c r="B25" s="101" t="s">
        <v>94</v>
      </c>
      <c r="C25" s="102"/>
      <c r="D25" s="102"/>
      <c r="E25" s="102"/>
      <c r="F25" s="102"/>
      <c r="G25" s="102"/>
      <c r="H25" s="102"/>
      <c r="I25" s="102"/>
      <c r="J25" s="102"/>
      <c r="K25" s="102"/>
      <c r="L25" s="102"/>
      <c r="M25" s="103"/>
    </row>
    <row r="26" spans="1:22" ht="45" customHeight="1" x14ac:dyDescent="0.2">
      <c r="A26" s="65">
        <v>9</v>
      </c>
      <c r="B26" s="101" t="s">
        <v>95</v>
      </c>
      <c r="C26" s="102"/>
      <c r="D26" s="102"/>
      <c r="E26" s="102"/>
      <c r="F26" s="102"/>
      <c r="G26" s="102"/>
      <c r="H26" s="102"/>
      <c r="I26" s="102"/>
      <c r="J26" s="102"/>
      <c r="K26" s="102"/>
      <c r="L26" s="102"/>
      <c r="M26" s="103"/>
    </row>
    <row r="27" spans="1:22" ht="45" customHeight="1" x14ac:dyDescent="0.2">
      <c r="A27" s="65">
        <v>10</v>
      </c>
      <c r="B27" s="104" t="s">
        <v>96</v>
      </c>
      <c r="C27" s="105"/>
      <c r="D27" s="105"/>
      <c r="E27" s="105"/>
      <c r="F27" s="105"/>
      <c r="G27" s="105"/>
      <c r="H27" s="105"/>
      <c r="I27" s="105"/>
      <c r="J27" s="105"/>
      <c r="K27" s="105"/>
      <c r="L27" s="105"/>
      <c r="M27" s="106"/>
    </row>
    <row r="28" spans="1:22" s="9" customFormat="1" ht="45" customHeight="1" x14ac:dyDescent="0.2">
      <c r="A28" s="65">
        <v>11</v>
      </c>
      <c r="B28" s="101" t="s">
        <v>97</v>
      </c>
      <c r="C28" s="102"/>
      <c r="D28" s="102"/>
      <c r="E28" s="102"/>
      <c r="F28" s="102"/>
      <c r="G28" s="102"/>
      <c r="H28" s="102"/>
      <c r="I28" s="102"/>
      <c r="J28" s="102"/>
      <c r="K28" s="102"/>
      <c r="L28" s="102"/>
      <c r="M28" s="103"/>
      <c r="N28" s="8"/>
      <c r="O28" s="8"/>
      <c r="P28" s="8"/>
      <c r="Q28" s="16"/>
    </row>
    <row r="29" spans="1:22" s="9" customFormat="1" ht="45" customHeight="1" x14ac:dyDescent="0.2">
      <c r="A29" s="65">
        <v>12</v>
      </c>
      <c r="B29" s="101" t="s">
        <v>98</v>
      </c>
      <c r="C29" s="102"/>
      <c r="D29" s="102"/>
      <c r="E29" s="102"/>
      <c r="F29" s="102"/>
      <c r="G29" s="102"/>
      <c r="H29" s="102"/>
      <c r="I29" s="102"/>
      <c r="J29" s="102"/>
      <c r="K29" s="102"/>
      <c r="L29" s="102"/>
      <c r="M29" s="103"/>
      <c r="N29" s="8"/>
      <c r="O29" s="8"/>
      <c r="P29" s="8"/>
      <c r="Q29" s="16"/>
    </row>
    <row r="30" spans="1:22" s="9" customFormat="1" ht="45" customHeight="1" x14ac:dyDescent="0.2">
      <c r="A30" s="65">
        <v>13</v>
      </c>
      <c r="B30" s="101" t="s">
        <v>99</v>
      </c>
      <c r="C30" s="102"/>
      <c r="D30" s="102"/>
      <c r="E30" s="102"/>
      <c r="F30" s="102"/>
      <c r="G30" s="102"/>
      <c r="H30" s="102"/>
      <c r="I30" s="102"/>
      <c r="J30" s="102"/>
      <c r="K30" s="102"/>
      <c r="L30" s="102"/>
      <c r="M30" s="103"/>
      <c r="N30" s="8"/>
      <c r="O30" s="8"/>
      <c r="P30" s="8"/>
      <c r="Q30" s="16"/>
    </row>
    <row r="31" spans="1:22" s="9" customFormat="1" ht="45" customHeight="1" x14ac:dyDescent="0.2">
      <c r="A31" s="65">
        <v>14</v>
      </c>
      <c r="B31" s="101" t="s">
        <v>100</v>
      </c>
      <c r="C31" s="102"/>
      <c r="D31" s="102"/>
      <c r="E31" s="102"/>
      <c r="F31" s="102"/>
      <c r="G31" s="102"/>
      <c r="H31" s="102"/>
      <c r="I31" s="102"/>
      <c r="J31" s="102"/>
      <c r="K31" s="102"/>
      <c r="L31" s="102"/>
      <c r="M31" s="103"/>
      <c r="N31" s="8"/>
      <c r="P31" s="8"/>
      <c r="Q31" s="16"/>
    </row>
    <row r="32" spans="1:22" s="9" customFormat="1" ht="45" customHeight="1" x14ac:dyDescent="0.2">
      <c r="A32" s="65">
        <v>15</v>
      </c>
      <c r="B32" s="101" t="s">
        <v>101</v>
      </c>
      <c r="C32" s="102"/>
      <c r="D32" s="102"/>
      <c r="E32" s="102"/>
      <c r="F32" s="102"/>
      <c r="G32" s="102"/>
      <c r="H32" s="102"/>
      <c r="I32" s="102"/>
      <c r="J32" s="102"/>
      <c r="K32" s="102"/>
      <c r="L32" s="102"/>
      <c r="M32" s="103"/>
      <c r="N32" s="8"/>
      <c r="P32" s="8"/>
      <c r="Q32" s="16"/>
    </row>
    <row r="33" spans="1:17" s="9" customFormat="1" ht="30" customHeight="1" x14ac:dyDescent="0.2">
      <c r="A33" s="118" t="s">
        <v>102</v>
      </c>
      <c r="B33" s="119"/>
      <c r="C33" s="119"/>
      <c r="D33" s="119"/>
      <c r="E33" s="119"/>
      <c r="F33" s="119"/>
      <c r="G33" s="119"/>
      <c r="H33" s="119"/>
      <c r="I33" s="119"/>
      <c r="J33" s="119"/>
      <c r="K33" s="119"/>
      <c r="L33" s="119"/>
      <c r="M33" s="120"/>
      <c r="N33" s="8"/>
      <c r="P33" s="8"/>
      <c r="Q33" s="16"/>
    </row>
    <row r="34" spans="1:17" s="9" customFormat="1" ht="18" customHeight="1" x14ac:dyDescent="0.2">
      <c r="A34" s="176" t="s">
        <v>103</v>
      </c>
      <c r="B34" s="177"/>
      <c r="C34" s="178" t="s">
        <v>104</v>
      </c>
      <c r="D34" s="176" t="s">
        <v>105</v>
      </c>
      <c r="E34" s="179"/>
      <c r="F34" s="179"/>
      <c r="G34" s="177"/>
      <c r="H34" s="176" t="s">
        <v>106</v>
      </c>
      <c r="I34" s="179"/>
      <c r="J34" s="179"/>
      <c r="K34" s="179"/>
      <c r="L34" s="179"/>
      <c r="M34" s="177"/>
      <c r="N34" s="8"/>
      <c r="P34" s="8"/>
      <c r="Q34" s="16"/>
    </row>
    <row r="35" spans="1:17" s="9" customFormat="1" ht="18" customHeight="1" x14ac:dyDescent="0.2">
      <c r="A35" s="107"/>
      <c r="B35" s="108"/>
      <c r="C35" s="6"/>
      <c r="D35" s="107"/>
      <c r="E35" s="109"/>
      <c r="F35" s="109"/>
      <c r="G35" s="108"/>
      <c r="H35" s="107"/>
      <c r="I35" s="109"/>
      <c r="J35" s="109"/>
      <c r="K35" s="109"/>
      <c r="L35" s="109"/>
      <c r="M35" s="108"/>
      <c r="N35" s="8"/>
      <c r="P35" s="8"/>
      <c r="Q35" s="16"/>
    </row>
    <row r="36" spans="1:17" s="9" customFormat="1" ht="18" customHeight="1" x14ac:dyDescent="0.2">
      <c r="A36" s="107"/>
      <c r="B36" s="108"/>
      <c r="C36" s="6"/>
      <c r="D36" s="107"/>
      <c r="E36" s="109"/>
      <c r="F36" s="109"/>
      <c r="G36" s="108"/>
      <c r="H36" s="107"/>
      <c r="I36" s="109"/>
      <c r="J36" s="109"/>
      <c r="K36" s="109"/>
      <c r="L36" s="109"/>
      <c r="M36" s="108"/>
      <c r="N36" s="8"/>
      <c r="P36" s="8"/>
      <c r="Q36" s="16"/>
    </row>
    <row r="37" spans="1:17" s="9" customFormat="1" ht="18" customHeight="1" x14ac:dyDescent="0.2">
      <c r="A37" s="107"/>
      <c r="B37" s="108"/>
      <c r="C37" s="6"/>
      <c r="D37" s="107"/>
      <c r="E37" s="109"/>
      <c r="F37" s="109"/>
      <c r="G37" s="108"/>
      <c r="H37" s="107"/>
      <c r="I37" s="109"/>
      <c r="J37" s="109"/>
      <c r="K37" s="109"/>
      <c r="L37" s="109"/>
      <c r="M37" s="108"/>
      <c r="N37" s="8"/>
      <c r="P37" s="8"/>
      <c r="Q37" s="16"/>
    </row>
    <row r="38" spans="1:17" s="9" customFormat="1" ht="18" customHeight="1" x14ac:dyDescent="0.2">
      <c r="A38" s="107"/>
      <c r="B38" s="108"/>
      <c r="C38" s="6"/>
      <c r="D38" s="107"/>
      <c r="E38" s="109"/>
      <c r="F38" s="109"/>
      <c r="G38" s="108"/>
      <c r="H38" s="107"/>
      <c r="I38" s="109"/>
      <c r="J38" s="109"/>
      <c r="K38" s="109"/>
      <c r="L38" s="109"/>
      <c r="M38" s="108"/>
      <c r="N38" s="8"/>
      <c r="P38" s="8"/>
      <c r="Q38" s="16"/>
    </row>
    <row r="39" spans="1:17" s="9" customFormat="1" ht="18" customHeight="1" x14ac:dyDescent="0.2">
      <c r="A39" s="107"/>
      <c r="B39" s="108"/>
      <c r="C39" s="6"/>
      <c r="D39" s="107"/>
      <c r="E39" s="109"/>
      <c r="F39" s="109"/>
      <c r="G39" s="108"/>
      <c r="H39" s="107"/>
      <c r="I39" s="109"/>
      <c r="J39" s="109"/>
      <c r="K39" s="109"/>
      <c r="L39" s="109"/>
      <c r="M39" s="108"/>
      <c r="N39" s="8"/>
      <c r="P39" s="8"/>
      <c r="Q39" s="16"/>
    </row>
    <row r="40" spans="1:17" s="9" customFormat="1" ht="34.5" customHeight="1" x14ac:dyDescent="0.2">
      <c r="A40" s="104" t="s">
        <v>107</v>
      </c>
      <c r="B40" s="105"/>
      <c r="C40" s="105"/>
      <c r="D40" s="105"/>
      <c r="E40" s="105"/>
      <c r="F40" s="105"/>
      <c r="G40" s="105"/>
      <c r="H40" s="105"/>
      <c r="I40" s="105"/>
      <c r="J40" s="105"/>
      <c r="K40" s="105"/>
      <c r="L40" s="105"/>
      <c r="M40" s="106"/>
      <c r="N40" s="8"/>
      <c r="P40" s="8"/>
      <c r="Q40" s="16"/>
    </row>
    <row r="41" spans="1:17" s="9" customFormat="1" ht="29.25" customHeight="1" x14ac:dyDescent="0.2">
      <c r="A41" s="186" t="s">
        <v>108</v>
      </c>
      <c r="B41" s="187"/>
      <c r="C41" s="188" t="s">
        <v>109</v>
      </c>
      <c r="D41" s="183" t="s">
        <v>110</v>
      </c>
      <c r="E41" s="184"/>
      <c r="F41" s="185"/>
      <c r="G41" s="124"/>
      <c r="H41" s="125"/>
      <c r="I41" s="125"/>
      <c r="J41" s="125"/>
      <c r="K41" s="125"/>
      <c r="L41" s="125"/>
      <c r="M41" s="126"/>
      <c r="N41" s="8"/>
      <c r="P41" s="8"/>
      <c r="Q41" s="16"/>
    </row>
    <row r="42" spans="1:17" s="9" customFormat="1" ht="21" customHeight="1" x14ac:dyDescent="0.2">
      <c r="A42" s="110"/>
      <c r="B42" s="112"/>
      <c r="C42" s="10"/>
      <c r="D42" s="180"/>
      <c r="E42" s="181"/>
      <c r="F42" s="182"/>
      <c r="G42" s="127"/>
      <c r="H42" s="128"/>
      <c r="I42" s="128"/>
      <c r="J42" s="128"/>
      <c r="K42" s="128"/>
      <c r="L42" s="128"/>
      <c r="M42" s="129"/>
      <c r="N42" s="8"/>
      <c r="P42" s="8"/>
      <c r="Q42" s="16"/>
    </row>
    <row r="43" spans="1:17" s="9" customFormat="1" ht="18.75" customHeight="1" x14ac:dyDescent="0.2">
      <c r="A43" s="66"/>
      <c r="B43" s="11"/>
      <c r="C43" s="11"/>
      <c r="D43" s="11"/>
      <c r="E43" s="11"/>
      <c r="F43" s="11"/>
      <c r="G43" s="11"/>
      <c r="H43" s="11"/>
      <c r="I43" s="11"/>
      <c r="J43" s="11"/>
      <c r="K43" s="11"/>
      <c r="L43" s="11"/>
      <c r="M43" s="67"/>
      <c r="Q43" s="17"/>
    </row>
    <row r="44" spans="1:17" ht="77.25" customHeight="1" x14ac:dyDescent="0.2">
      <c r="A44" s="189" t="s">
        <v>111</v>
      </c>
      <c r="B44" s="190"/>
      <c r="C44" s="110"/>
      <c r="D44" s="111"/>
      <c r="E44" s="111"/>
      <c r="F44" s="111"/>
      <c r="G44" s="111"/>
      <c r="H44" s="111"/>
      <c r="I44" s="111"/>
      <c r="J44" s="111"/>
      <c r="K44" s="111"/>
      <c r="L44" s="111"/>
      <c r="M44" s="112"/>
    </row>
    <row r="45" spans="1:17" ht="25.5" customHeight="1" x14ac:dyDescent="0.2">
      <c r="A45" s="118" t="s">
        <v>112</v>
      </c>
      <c r="B45" s="119"/>
      <c r="C45" s="119"/>
      <c r="D45" s="119"/>
      <c r="E45" s="119"/>
      <c r="F45" s="119"/>
      <c r="G45" s="119"/>
      <c r="H45" s="119"/>
      <c r="I45" s="119"/>
      <c r="J45" s="119"/>
      <c r="K45" s="119"/>
      <c r="L45" s="119"/>
      <c r="M45" s="120"/>
    </row>
    <row r="46" spans="1:17" ht="18.75" customHeight="1" x14ac:dyDescent="0.2"/>
    <row r="47" spans="1:17" ht="18.75" customHeight="1" x14ac:dyDescent="0.2"/>
    <row r="48" spans="1:17" ht="18.75" customHeight="1" x14ac:dyDescent="0.2"/>
    <row r="49" spans="1:13" ht="18.75" customHeight="1" x14ac:dyDescent="0.2"/>
    <row r="50" spans="1:13" ht="18.75" customHeight="1" x14ac:dyDescent="0.2"/>
    <row r="51" spans="1:13" ht="33.75" customHeight="1" x14ac:dyDescent="0.2"/>
    <row r="52" spans="1:13" ht="20.25" customHeight="1" x14ac:dyDescent="0.2"/>
    <row r="53" spans="1:13" ht="57.75" customHeight="1" x14ac:dyDescent="0.2"/>
    <row r="54" spans="1:13" s="11" customFormat="1" ht="15" customHeight="1" x14ac:dyDescent="0.2">
      <c r="A54" s="3"/>
      <c r="B54" s="3"/>
      <c r="C54" s="3"/>
      <c r="D54" s="3"/>
      <c r="E54" s="3"/>
      <c r="F54" s="3"/>
      <c r="G54" s="3"/>
      <c r="H54" s="3"/>
      <c r="I54" s="3"/>
      <c r="J54" s="3"/>
      <c r="K54" s="3"/>
      <c r="L54" s="3"/>
      <c r="M54" s="3"/>
    </row>
    <row r="55" spans="1:13" ht="119.25" customHeight="1" x14ac:dyDescent="0.2"/>
    <row r="56" spans="1:13" s="12" customFormat="1" ht="24" customHeight="1" x14ac:dyDescent="0.2">
      <c r="A56" s="3"/>
      <c r="B56" s="3"/>
      <c r="C56" s="3"/>
      <c r="D56" s="3"/>
      <c r="E56" s="3"/>
      <c r="F56" s="3"/>
      <c r="G56" s="3"/>
      <c r="H56" s="3"/>
      <c r="I56" s="3"/>
      <c r="J56" s="3"/>
      <c r="K56" s="3"/>
      <c r="L56" s="3"/>
      <c r="M56" s="3"/>
    </row>
  </sheetData>
  <sheetProtection formatCells="0" formatColumns="0" formatRows="0" insertColumns="0" insertRows="0" insertHyperlinks="0" deleteColumns="0" deleteRows="0" sort="0" autoFilter="0" pivotTables="0"/>
  <mergeCells count="62">
    <mergeCell ref="G41:M42"/>
    <mergeCell ref="A6:B6"/>
    <mergeCell ref="H7:J7"/>
    <mergeCell ref="A45:M45"/>
    <mergeCell ref="A7:B7"/>
    <mergeCell ref="A13:M13"/>
    <mergeCell ref="B26:M26"/>
    <mergeCell ref="B31:M31"/>
    <mergeCell ref="B28:M28"/>
    <mergeCell ref="B29:M29"/>
    <mergeCell ref="B30:M30"/>
    <mergeCell ref="K7:M7"/>
    <mergeCell ref="D7:F7"/>
    <mergeCell ref="D34:G34"/>
    <mergeCell ref="D35:G35"/>
    <mergeCell ref="A44:B44"/>
    <mergeCell ref="C44:M44"/>
    <mergeCell ref="A40:M40"/>
    <mergeCell ref="A16:M16"/>
    <mergeCell ref="B18:M18"/>
    <mergeCell ref="B19:M19"/>
    <mergeCell ref="B20:M20"/>
    <mergeCell ref="A33:M33"/>
    <mergeCell ref="A41:B41"/>
    <mergeCell ref="B23:M23"/>
    <mergeCell ref="A42:B42"/>
    <mergeCell ref="A17:M17"/>
    <mergeCell ref="H39:M39"/>
    <mergeCell ref="D38:G38"/>
    <mergeCell ref="D39:G39"/>
    <mergeCell ref="D41:F42"/>
    <mergeCell ref="A39:B39"/>
    <mergeCell ref="A38:B38"/>
    <mergeCell ref="A37:B37"/>
    <mergeCell ref="D37:G37"/>
    <mergeCell ref="H36:M36"/>
    <mergeCell ref="H37:M37"/>
    <mergeCell ref="H38:M38"/>
    <mergeCell ref="D36:G36"/>
    <mergeCell ref="B32:M32"/>
    <mergeCell ref="A36:B36"/>
    <mergeCell ref="H34:M34"/>
    <mergeCell ref="H35:M35"/>
    <mergeCell ref="A34:B34"/>
    <mergeCell ref="A35:B35"/>
    <mergeCell ref="B21:M21"/>
    <mergeCell ref="B22:M22"/>
    <mergeCell ref="B25:M25"/>
    <mergeCell ref="B24:M24"/>
    <mergeCell ref="B27:M27"/>
    <mergeCell ref="J2:M2"/>
    <mergeCell ref="J3:M3"/>
    <mergeCell ref="J4:M4"/>
    <mergeCell ref="K6:M6"/>
    <mergeCell ref="A14:M14"/>
    <mergeCell ref="C3:H3"/>
    <mergeCell ref="G12:J12"/>
    <mergeCell ref="G11:J11"/>
    <mergeCell ref="G10:J10"/>
    <mergeCell ref="G9:J9"/>
    <mergeCell ref="G8:J8"/>
    <mergeCell ref="A1:B4"/>
  </mergeCells>
  <phoneticPr fontId="0" type="noConversion"/>
  <conditionalFormatting sqref="F9:F12 M9:M12">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2 D9:D12" xr:uid="{00000000-0002-0000-0000-000000000000}">
      <formula1>$Q$2:$Q$7</formula1>
    </dataValidation>
    <dataValidation type="list" allowBlank="1" showInputMessage="1" showErrorMessage="1" sqref="L9:L12 E9:E12"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14"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52F5-3530-42BB-9F10-C00CDC871D57}">
  <dimension ref="A1:V34"/>
  <sheetViews>
    <sheetView showWhiteSpace="0" view="pageLayout" workbookViewId="0">
      <selection sqref="A1:C3"/>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151"/>
      <c r="B1" s="151"/>
      <c r="C1" s="151"/>
      <c r="D1" s="191"/>
      <c r="E1" s="191"/>
      <c r="F1" s="191"/>
      <c r="G1" s="1"/>
      <c r="H1" s="1"/>
      <c r="I1" s="192"/>
      <c r="J1" s="192"/>
      <c r="O1" s="14" t="s">
        <v>8</v>
      </c>
      <c r="P1" s="14" t="s">
        <v>9</v>
      </c>
      <c r="Q1" s="14" t="s">
        <v>10</v>
      </c>
      <c r="R1" s="14" t="s">
        <v>11</v>
      </c>
      <c r="S1" s="14" t="s">
        <v>12</v>
      </c>
      <c r="T1" s="14" t="s">
        <v>13</v>
      </c>
      <c r="U1" s="18" t="s">
        <v>14</v>
      </c>
      <c r="V1" s="2"/>
    </row>
    <row r="2" spans="1:22" ht="25.5" customHeight="1" x14ac:dyDescent="0.2">
      <c r="A2" s="151"/>
      <c r="B2" s="151"/>
      <c r="C2" s="151"/>
      <c r="D2" s="193" t="s">
        <v>113</v>
      </c>
      <c r="E2" s="138"/>
      <c r="F2" s="138"/>
      <c r="G2" s="138"/>
      <c r="H2" s="138"/>
      <c r="I2" s="194"/>
      <c r="J2" s="194"/>
      <c r="N2" s="7"/>
      <c r="O2" s="14">
        <v>1</v>
      </c>
      <c r="P2" s="14" t="s">
        <v>15</v>
      </c>
      <c r="Q2" s="15"/>
      <c r="R2" s="15"/>
      <c r="S2" s="15"/>
      <c r="T2" s="15"/>
      <c r="U2" s="18" t="s">
        <v>16</v>
      </c>
      <c r="V2" s="5"/>
    </row>
    <row r="3" spans="1:22" ht="25.5" customHeight="1" x14ac:dyDescent="0.2">
      <c r="A3" s="151"/>
      <c r="B3" s="151"/>
      <c r="C3" s="151"/>
      <c r="D3" s="49"/>
      <c r="E3" s="49"/>
      <c r="F3" s="49"/>
      <c r="G3" s="49"/>
      <c r="H3" s="49"/>
      <c r="I3" s="195"/>
      <c r="J3" s="195"/>
      <c r="K3" s="49"/>
      <c r="L3" s="49"/>
      <c r="M3" s="22"/>
    </row>
    <row r="4" spans="1:22" ht="17.45" customHeight="1" thickBot="1" x14ac:dyDescent="0.25">
      <c r="A4" s="46"/>
      <c r="B4" s="46"/>
      <c r="C4" s="46"/>
      <c r="D4" s="46"/>
      <c r="E4" s="46"/>
      <c r="F4" s="46"/>
      <c r="G4" s="46"/>
      <c r="H4" s="46"/>
      <c r="I4" s="46"/>
      <c r="J4" s="46"/>
      <c r="K4" s="46"/>
      <c r="L4" s="46"/>
      <c r="M4" s="22"/>
    </row>
    <row r="5" spans="1:22" ht="25.15" customHeight="1" thickBot="1" x14ac:dyDescent="0.25">
      <c r="A5" s="143" t="s">
        <v>68</v>
      </c>
      <c r="B5" s="144"/>
      <c r="C5" s="152" t="s">
        <v>145</v>
      </c>
      <c r="D5" s="153"/>
      <c r="E5" s="153"/>
      <c r="F5" s="153"/>
      <c r="G5" s="154"/>
      <c r="H5" s="152" t="s">
        <v>146</v>
      </c>
      <c r="I5" s="153"/>
      <c r="J5" s="153"/>
      <c r="K5" s="153"/>
      <c r="L5" s="154"/>
      <c r="M5" s="22"/>
    </row>
    <row r="6" spans="1:22" ht="20.25" customHeight="1" thickBot="1" x14ac:dyDescent="0.25">
      <c r="A6" s="145"/>
      <c r="B6" s="146"/>
      <c r="C6" s="196" t="s">
        <v>114</v>
      </c>
      <c r="D6" s="196" t="s">
        <v>115</v>
      </c>
      <c r="E6" s="196" t="s">
        <v>116</v>
      </c>
      <c r="F6" s="196" t="s">
        <v>147</v>
      </c>
      <c r="G6" s="196" t="s">
        <v>148</v>
      </c>
      <c r="H6" s="69" t="s">
        <v>23</v>
      </c>
      <c r="I6" s="69" t="s">
        <v>24</v>
      </c>
      <c r="J6" s="69" t="s">
        <v>25</v>
      </c>
      <c r="K6" s="21" t="s">
        <v>21</v>
      </c>
      <c r="L6" s="21" t="s">
        <v>22</v>
      </c>
      <c r="M6" s="22"/>
    </row>
    <row r="7" spans="1:22" ht="112.5" x14ac:dyDescent="0.2">
      <c r="A7" s="145"/>
      <c r="B7" s="146"/>
      <c r="C7" s="197"/>
      <c r="D7" s="197"/>
      <c r="E7" s="197"/>
      <c r="F7" s="197"/>
      <c r="G7" s="197"/>
      <c r="H7" s="70" t="s">
        <v>117</v>
      </c>
      <c r="I7" s="70" t="s">
        <v>118</v>
      </c>
      <c r="J7" s="70" t="s">
        <v>119</v>
      </c>
      <c r="K7" s="23" t="s">
        <v>41</v>
      </c>
      <c r="L7" s="23" t="s">
        <v>42</v>
      </c>
      <c r="M7" s="22"/>
    </row>
    <row r="8" spans="1:22" ht="12.75" customHeight="1" x14ac:dyDescent="0.2">
      <c r="A8" s="145"/>
      <c r="B8" s="146"/>
      <c r="C8" s="197"/>
      <c r="D8" s="197"/>
      <c r="E8" s="197"/>
      <c r="F8" s="197"/>
      <c r="G8" s="197"/>
      <c r="H8" s="149" t="s">
        <v>149</v>
      </c>
      <c r="I8" s="149" t="s">
        <v>120</v>
      </c>
      <c r="J8" s="149" t="s">
        <v>121</v>
      </c>
      <c r="K8" s="149" t="s">
        <v>43</v>
      </c>
      <c r="L8" s="149" t="s">
        <v>44</v>
      </c>
      <c r="M8" s="22"/>
    </row>
    <row r="9" spans="1:22" ht="40.5" customHeight="1" thickBot="1" x14ac:dyDescent="0.25">
      <c r="A9" s="147"/>
      <c r="B9" s="148"/>
      <c r="C9" s="198"/>
      <c r="D9" s="198"/>
      <c r="E9" s="198"/>
      <c r="F9" s="198"/>
      <c r="G9" s="198"/>
      <c r="H9" s="150"/>
      <c r="I9" s="150"/>
      <c r="J9" s="150"/>
      <c r="K9" s="150"/>
      <c r="L9" s="150"/>
      <c r="M9" s="22"/>
    </row>
    <row r="10" spans="1:22" ht="49.5" customHeight="1" x14ac:dyDescent="0.2">
      <c r="A10" s="139">
        <v>1</v>
      </c>
      <c r="B10" s="140"/>
      <c r="C10" s="38" t="s">
        <v>122</v>
      </c>
      <c r="D10" s="38" t="s">
        <v>123</v>
      </c>
      <c r="E10" s="38" t="s">
        <v>124</v>
      </c>
      <c r="F10" s="38" t="s">
        <v>125</v>
      </c>
      <c r="G10" s="39" t="s">
        <v>126</v>
      </c>
      <c r="H10" s="30" t="s">
        <v>26</v>
      </c>
      <c r="I10" s="31" t="s">
        <v>27</v>
      </c>
      <c r="J10" s="31" t="s">
        <v>28</v>
      </c>
      <c r="K10" s="40" t="s">
        <v>45</v>
      </c>
      <c r="L10" s="32" t="s">
        <v>46</v>
      </c>
      <c r="M10" s="22"/>
    </row>
    <row r="11" spans="1:22" ht="64.5" customHeight="1" x14ac:dyDescent="0.2">
      <c r="A11" s="141">
        <v>2</v>
      </c>
      <c r="B11" s="142"/>
      <c r="C11" s="24" t="s">
        <v>127</v>
      </c>
      <c r="D11" s="24" t="s">
        <v>128</v>
      </c>
      <c r="E11" s="38" t="s">
        <v>129</v>
      </c>
      <c r="F11" s="24" t="s">
        <v>130</v>
      </c>
      <c r="G11" s="28" t="s">
        <v>150</v>
      </c>
      <c r="H11" s="33" t="s">
        <v>29</v>
      </c>
      <c r="I11" s="34" t="s">
        <v>30</v>
      </c>
      <c r="J11" s="34" t="s">
        <v>31</v>
      </c>
      <c r="K11" s="35" t="s">
        <v>47</v>
      </c>
      <c r="L11" s="36" t="s">
        <v>48</v>
      </c>
      <c r="M11" s="22"/>
    </row>
    <row r="12" spans="1:22" ht="69" customHeight="1" x14ac:dyDescent="0.2">
      <c r="A12" s="141">
        <v>3</v>
      </c>
      <c r="B12" s="142"/>
      <c r="C12" s="24" t="s">
        <v>131</v>
      </c>
      <c r="D12" s="24" t="s">
        <v>151</v>
      </c>
      <c r="E12" s="38" t="s">
        <v>152</v>
      </c>
      <c r="F12" s="24" t="s">
        <v>153</v>
      </c>
      <c r="G12" s="28" t="s">
        <v>132</v>
      </c>
      <c r="H12" s="33" t="s">
        <v>32</v>
      </c>
      <c r="I12" s="34" t="s">
        <v>33</v>
      </c>
      <c r="J12" s="35" t="s">
        <v>34</v>
      </c>
      <c r="K12" s="35" t="s">
        <v>49</v>
      </c>
      <c r="L12" s="41" t="s">
        <v>50</v>
      </c>
      <c r="M12" s="22"/>
    </row>
    <row r="13" spans="1:22" ht="78.75" customHeight="1" x14ac:dyDescent="0.2">
      <c r="A13" s="141">
        <v>4</v>
      </c>
      <c r="B13" s="142"/>
      <c r="C13" s="24" t="s">
        <v>133</v>
      </c>
      <c r="D13" s="24" t="s">
        <v>134</v>
      </c>
      <c r="E13" s="38" t="s">
        <v>154</v>
      </c>
      <c r="F13" s="24" t="s">
        <v>135</v>
      </c>
      <c r="G13" s="28" t="s">
        <v>136</v>
      </c>
      <c r="H13" s="33" t="s">
        <v>35</v>
      </c>
      <c r="I13" s="35" t="s">
        <v>36</v>
      </c>
      <c r="J13" s="35" t="s">
        <v>37</v>
      </c>
      <c r="K13" s="42" t="s">
        <v>51</v>
      </c>
      <c r="L13" s="41" t="s">
        <v>52</v>
      </c>
      <c r="M13" s="22"/>
    </row>
    <row r="14" spans="1:22" ht="75" customHeight="1" thickBot="1" x14ac:dyDescent="0.25">
      <c r="A14" s="136">
        <v>5</v>
      </c>
      <c r="B14" s="137"/>
      <c r="C14" s="25" t="s">
        <v>137</v>
      </c>
      <c r="D14" s="25" t="s">
        <v>155</v>
      </c>
      <c r="E14" s="25" t="s">
        <v>156</v>
      </c>
      <c r="F14" s="25" t="s">
        <v>157</v>
      </c>
      <c r="G14" s="29" t="s">
        <v>138</v>
      </c>
      <c r="H14" s="45" t="s">
        <v>38</v>
      </c>
      <c r="I14" s="37" t="s">
        <v>39</v>
      </c>
      <c r="J14" s="43" t="s">
        <v>40</v>
      </c>
      <c r="K14" s="43" t="s">
        <v>53</v>
      </c>
      <c r="L14" s="44" t="s">
        <v>54</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ht="12" customHeight="1" x14ac:dyDescent="0.2">
      <c r="A25" s="22"/>
      <c r="B25" s="22"/>
      <c r="C25" s="22"/>
      <c r="D25" s="22"/>
      <c r="E25" s="22"/>
      <c r="F25" s="22"/>
      <c r="G25" s="22"/>
      <c r="H25" s="22"/>
      <c r="I25" s="22"/>
      <c r="J25" s="22"/>
      <c r="K25" s="22"/>
      <c r="L25" s="22"/>
      <c r="M25" s="22"/>
    </row>
    <row r="26" spans="1:13" ht="21.7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63"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A14:B14"/>
    <mergeCell ref="K8:K9"/>
    <mergeCell ref="L8:L9"/>
    <mergeCell ref="A10:B10"/>
    <mergeCell ref="A11:B11"/>
    <mergeCell ref="A12:B12"/>
    <mergeCell ref="A13:B13"/>
    <mergeCell ref="E6:E9"/>
    <mergeCell ref="F6:F9"/>
    <mergeCell ref="G6:G9"/>
    <mergeCell ref="H8:H9"/>
    <mergeCell ref="I8:I9"/>
    <mergeCell ref="J8:J9"/>
    <mergeCell ref="A1:C3"/>
    <mergeCell ref="I1:J1"/>
    <mergeCell ref="D2:H2"/>
    <mergeCell ref="I2:J2"/>
    <mergeCell ref="I3:J3"/>
    <mergeCell ref="A5:B9"/>
    <mergeCell ref="C5:G5"/>
    <mergeCell ref="H5:L5"/>
    <mergeCell ref="C6:C9"/>
    <mergeCell ref="D6:D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A5DBCF-E2DA-4D23-9549-E8E78AF171AB}">
  <ds:schemaRefs>
    <ds:schemaRef ds:uri="http://purl.org/dc/dcmitype/"/>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faa5c77d-98fa-4e50-863f-182fb51ee117"/>
    <ds:schemaRef ds:uri="5470fdc2-d5b4-45ba-ae4a-b04105b307e7"/>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4.xml><?xml version="1.0" encoding="utf-8"?>
<ds:datastoreItem xmlns:ds="http://schemas.openxmlformats.org/officeDocument/2006/customXml" ds:itemID="{EA921F7F-51B9-4976-A2B7-454C250767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2014-11-10T14:56:30Z</cp:lastPrinted>
  <dcterms:created xsi:type="dcterms:W3CDTF">2011-02-21T14:14:41Z</dcterms:created>
  <dcterms:modified xsi:type="dcterms:W3CDTF">2025-02-26T14:22:47Z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