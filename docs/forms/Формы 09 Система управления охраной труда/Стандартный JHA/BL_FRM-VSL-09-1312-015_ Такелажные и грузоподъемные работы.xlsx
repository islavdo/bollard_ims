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62EEA8A6-6C99-4712-91B4-6AA06C35953B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АСОР!$O$47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АСОР!$A$1:$M$48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M14" i="1"/>
  <c r="S14" i="1"/>
  <c r="T14" i="1"/>
  <c r="U14" i="1"/>
  <c r="V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<sst xmlns="http://schemas.openxmlformats.org/spreadsheetml/2006/main" count="178" uniqueCount="173">
  <si>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</si>
  <si>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</si>
  <si>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</si>
  <si>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</si>
  <si>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</si>
  <si>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</si>
  <si>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</si>
  <si>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</si>
  <si>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</si>
  <si>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</si>
  <si>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</si>
  <si>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</si>
  <si>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</si>
  <si>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</si>
  <si>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</si>
  <si>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</si>
  <si>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</si>
  <si>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</si>
  <si>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</si>
  <si>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</si>
  <si>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</si>
  <si>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</si>
  <si>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</si>
  <si>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</si>
  <si>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</si>
  <si>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</si>
  <si>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</si>
  <si>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</si>
  <si>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</si>
  <si>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</si>
  <si>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</si>
  <si>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</si>
  <si>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</si>
  <si>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</si>
  <si>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</si>
  <si>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</si>
  <si>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</si>
  <si>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</si>
  <si>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</si>
  <si>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</si>
  <si>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</si>
  <si>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</si>
  <si>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</si>
  <si>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t>АНАЛИЗ СТЕПЕНИ ОПАСНОСТИ РАБОТ (АСОР)</t>
  </si>
  <si>
    <t>Такелажные и грузоподъемные работы</t>
  </si>
  <si>
    <t>Номер оценки рисков</t>
  </si>
  <si>
    <t>FRM-VSL-015</t>
  </si>
  <si>
    <t xml:space="preserve"> Описание работ</t>
  </si>
  <si>
    <t xml:space="preserve"> Название судна</t>
  </si>
  <si>
    <t>Дата</t>
  </si>
  <si>
    <t xml:space="preserve"> Исходный риск</t>
  </si>
  <si>
    <t xml:space="preserve"> Оборудование</t>
  </si>
  <si>
    <t xml:space="preserve"> Остаточный риск</t>
  </si>
  <si>
    <t xml:space="preserve"> 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</si>
  <si>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</si>
  <si>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</si>
  <si>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</si>
  <si>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</si>
  <si>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</si>
  <si>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Меры контроля для снижения риска</t>
  </si>
  <si>
    <t>Риск</t>
  </si>
  <si>
    <t xml:space="preserve"> Подготовительные работы</t>
  </si>
  <si>
    <t xml:space="preserve"> Незапланированные подъемные операции или спланированные ненадлежащим образом</t>
  </si>
  <si>
    <t>1) Все подъемные операции должны быть спланированы и скоординированы в полном объеме.
2) Траектория подъема и участок разгрузки должны быть свободны от препятствий, потенциальных угроз и персонала.
3) Необходимо установить связь между такелажной бригадой и оператором крана.
4) Весь персонал должен знать план подъемных операций, включая свои функции и обязанности.
5) При планировании подъема следует воспользоваться такелажным справочником.</t>
  </si>
  <si>
    <t>Подготовительные работы</t>
  </si>
  <si>
    <t>Несоответствующее подъемное оборудование</t>
  </si>
  <si>
    <t>1) До выполнения подъема следует установить вес (БРН) и центр тяжести поднимаемого груза.
2) Используйте только сертифицированные стропы и скобы соответствующей классификации (с цветовой кодировкой).
3) До выполнения подъемной операции, во время и после нее следует контролировать все подъемное оборудование. Сообщайте обо всех повреждениях оборудования, дефектное оборудование должно быть удалено с рабочей площадки.</t>
  </si>
  <si>
    <t xml:space="preserve"> Подъемная операция</t>
  </si>
  <si>
    <t>Неконтролируемые подъемы.</t>
  </si>
  <si>
    <t>1) Рекомендуется выполнять подъем с четырех точек. Избегайте подъем с одной точки и подъем с использованием цепей.
2) Для большего контроля груза во время подъема используйте оттяжки.
3) Защищайте оборудование, которое потенциально может быть повреждено.
4) Между оператором крана и руководителем (сигнальщиком), контролирующим подъемную операцию, всегда должна поддерживаться связь. Руководитель работ, контролирующий подъемную операцию, всегда должен держать поднимаемый объект в поле зрения.</t>
  </si>
  <si>
    <t>Падение предметов.</t>
  </si>
  <si>
    <t>1) Убедитесь, что траектория подъема и участок разгрузки свободны от незадействованного персонала и препятствий.
2) Убедитесь в надлежащей установке и креплении такелажной оснастки к грузу.
3) Удалите или закрепите любой незакрепенный предмет на грузе.
4) Запрещается находиться под подвешенными грузами.
5) Для захвата оттяжек воспользуйтесь крюком или захватом.
6) Запрещается оставлять без внимания подвешенные грузы.</t>
  </si>
  <si>
    <t>Раздавливание</t>
  </si>
  <si>
    <t>1) Такелажники должны следить за тем, где они находятся во время выполнения подъема, чтобы обеспечить себе путь отхода для предотвращения раздавливания при попадании между грузом и каким-либо препятствием (поручни, контейнеры, переборки, и проч.).</t>
  </si>
  <si>
    <t>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</si>
  <si>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</si>
  <si>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</si>
  <si>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r>
      <rPr>
        <b/>
        <sz val="1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</si>
  <si>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</si>
  <si>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</si>
  <si>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</si>
  <si>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</si>
  <si>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</si>
  <si>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</si>
  <si>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</si>
  <si>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</si>
  <si>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 xml:space="preserve"> 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</si>
  <si>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</si>
  <si>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</si>
  <si>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</si>
  <si>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</si>
  <si>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 xml:space="preserve"> 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</si>
  <si>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If not, make the entry in the bridge/engineering dept logbook and commence the task /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</si>
  <si>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</si>
  <si>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</si>
  <si>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</si>
  <si>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</si>
  <si>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</si>
  <si>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</si>
  <si>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</si>
  <si>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</si>
  <si>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</si>
  <si>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</si>
  <si>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</si>
  <si>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</si>
  <si>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</si>
  <si>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</si>
  <si>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</si>
  <si>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</si>
  <si>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</si>
  <si>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</si>
  <si>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</si>
  <si>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 xml:space="preserve"> Крайне маловероятно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</si>
  <si>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</si>
  <si>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</si>
  <si>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</si>
  <si>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</si>
  <si>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</si>
  <si>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</si>
  <si>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</si>
  <si>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</si>
  <si>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</si>
  <si>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t>Инструменты, СИЗ, связь</t>
  </si>
  <si>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</si>
  <si>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</si>
  <si>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</si>
  <si>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</si>
  <si>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</si>
  <si>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</si>
  <si>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</si>
  <si>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</si>
  <si>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</si>
  <si>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</si>
  <si>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 xml:space="preserve"> Репутация</t>
  </si>
  <si>
    <t xml:space="preserve"> График</t>
  </si>
  <si>
    <t>D</t>
  </si>
  <si>
    <t>E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</si>
  <si>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</si>
  <si>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Occurred in the Company more than once in the last year (ashore or afloat)</t>
  </si>
  <si>
    <t>Occurred in the Company repeatedly in the last year (ashore or afloat)</t>
  </si>
  <si>
    <t>Маловероятно</t>
  </si>
  <si>
    <t>Возможно</t>
  </si>
  <si>
    <t>Likely</t>
  </si>
  <si>
    <t>Very Likely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</si>
  <si>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</si>
  <si>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</si>
  <si>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</si>
  <si>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</si>
  <si>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</si>
  <si>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1D</t>
  </si>
  <si>
    <t>1E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</si>
  <si>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</si>
  <si>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</si>
  <si>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</si>
  <si>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</si>
  <si>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2D</t>
  </si>
  <si>
    <t>2E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</si>
  <si>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</si>
  <si>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</si>
  <si>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</si>
  <si>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>3D</t>
  </si>
  <si>
    <t>3E</t>
  </si>
  <si>
    <t>Значительное воздействие
1-10 баррелей</t>
  </si>
  <si>
    <t>Значительное негативное воздействие</t>
  </si>
  <si>
    <t>4D</t>
  </si>
  <si>
    <t>4E</t>
  </si>
  <si>
    <t>Сильное воздействие
&gt; 10  баррелей</t>
  </si>
  <si>
    <t>Обширное повреждение
&gt; 500.000€ / евро</t>
  </si>
  <si>
    <t>5D</t>
  </si>
  <si>
    <t>5E</t>
  </si>
  <si>
    <t>File 09 / Папка 09</t>
  </si>
  <si>
    <t>Retention 3 Year / Срок хранения документа 3 года</t>
  </si>
  <si>
    <t>BL_FRM-VSL-09-1312-015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</si>
</sst>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b/>
      <sz val="12"/>
      <name val="Arial"/>
      <family val="2"/>
      <charset val="204"/>
    </font>
    <font>
      <sz val="8"/>
      <color rgb="FF333399"/>
      <name val="Arial Black"/>
      <family val="2"/>
      <charset val="204"/>
    </font>
    <font>
      <sz val="11"/>
      <color theme="0"/>
      <name val="Arial"/>
      <family val="2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8"/>
      <color rgb="FF006666"/>
      <name val="Arial Blac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2" fillId="2" borderId="0" xfId="0" applyFont="1" applyFill="1"/>
    <xf numFmtId="0" fontId="15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left" vertical="center" wrapText="1" shrinkToFi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31" fillId="0" borderId="21" xfId="0" applyFont="1" applyBorder="1" applyAlignment="1" applyProtection="1">
      <alignment horizontal="left" vertical="center" wrapText="1"/>
      <protection locked="0"/>
    </xf>
    <xf numFmtId="0" fontId="31" fillId="0" borderId="1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34" fillId="2" borderId="1" xfId="0" applyFont="1" applyFill="1" applyBorder="1" applyAlignment="1" applyProtection="1">
      <alignment horizontal="left" vertical="center" wrapText="1"/>
      <protection locked="0"/>
    </xf>
    <xf numFmtId="0" fontId="25" fillId="2" borderId="0" xfId="0" applyFont="1" applyFill="1" applyAlignment="1">
      <alignment horizontal="center"/>
    </xf>
    <xf numFmtId="0" fontId="24" fillId="8" borderId="1" xfId="0" applyFont="1" applyFill="1" applyBorder="1" applyAlignment="1">
      <alignment horizontal="righ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textRotation="90" wrapText="1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28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left" vertical="center"/>
    </xf>
    <xf numFmtId="0" fontId="28" fillId="8" borderId="21" xfId="0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vertical="center" wrapText="1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24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4" fillId="8" borderId="8" xfId="0" applyFont="1" applyFill="1" applyBorder="1" applyAlignment="1">
      <alignment horizontal="right" vertical="center" wrapText="1"/>
    </xf>
    <xf numFmtId="0" fontId="24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4" fontId="24" fillId="8" borderId="8" xfId="0" applyNumberFormat="1" applyFont="1" applyFill="1" applyBorder="1" applyAlignment="1">
      <alignment horizontal="center" vertical="center" wrapText="1"/>
    </xf>
    <xf numFmtId="14" fontId="24" fillId="8" borderId="17" xfId="0" applyNumberFormat="1" applyFont="1" applyFill="1" applyBorder="1" applyAlignment="1">
      <alignment horizontal="center" vertical="center" wrapText="1"/>
    </xf>
    <xf numFmtId="14" fontId="24" fillId="8" borderId="4" xfId="0" applyNumberFormat="1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left" vertical="center" wrapText="1"/>
    </xf>
    <xf numFmtId="0" fontId="23" fillId="8" borderId="17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3" fillId="8" borderId="8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7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vertical="center" wrapText="1"/>
    </xf>
    <xf numFmtId="0" fontId="34" fillId="2" borderId="8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>
      <alignment horizontal="left" vertical="center" wrapText="1"/>
    </xf>
    <xf numFmtId="0" fontId="23" fillId="8" borderId="18" xfId="0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36" fillId="8" borderId="19" xfId="0" applyFont="1" applyFill="1" applyBorder="1" applyAlignment="1">
      <alignment horizontal="left" vertical="center" wrapText="1"/>
    </xf>
    <xf numFmtId="0" fontId="30" fillId="8" borderId="8" xfId="0" applyFont="1" applyFill="1" applyBorder="1" applyAlignment="1">
      <alignment horizontal="left" vertical="center" wrapText="1"/>
    </xf>
    <xf numFmtId="0" fontId="30" fillId="8" borderId="17" xfId="0" applyFont="1" applyFill="1" applyBorder="1" applyAlignment="1">
      <alignment horizontal="left" vertical="center" wrapText="1"/>
    </xf>
    <xf numFmtId="0" fontId="0" fillId="8" borderId="17" xfId="0" applyFill="1" applyBorder="1" applyAlignment="1">
      <alignment wrapText="1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4" fillId="2" borderId="4" xfId="0" applyFont="1" applyFill="1" applyBorder="1" applyAlignment="1" applyProtection="1">
      <alignment horizontal="center" vertical="center" wrapText="1" shrinkToFit="1"/>
      <protection locked="0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23" fillId="8" borderId="17" xfId="0" applyFont="1" applyFill="1" applyBorder="1" applyAlignment="1">
      <alignment horizontal="center" vertical="center" wrapText="1"/>
    </xf>
    <xf numFmtId="0" fontId="39" fillId="2" borderId="18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8" fillId="3" borderId="6" xfId="0" applyFont="1" applyFill="1" applyBorder="1" applyAlignment="1">
      <alignment horizontal="center" textRotation="90" wrapText="1"/>
    </xf>
    <xf numFmtId="0" fontId="38" fillId="3" borderId="24" xfId="0" applyFont="1" applyFill="1" applyBorder="1" applyAlignment="1">
      <alignment horizontal="center" textRotation="90" wrapText="1"/>
    </xf>
    <xf numFmtId="0" fontId="38" fillId="3" borderId="25" xfId="0" applyFont="1" applyFill="1" applyBorder="1" applyAlignment="1">
      <alignment horizontal="center" textRotation="90" wrapText="1"/>
    </xf>
    <xf numFmtId="0" fontId="35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F53EB6E1-4805-4F01-AA71-219DE4B125C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DB5503DB-0277-4EFB-83DE-187D92A19C5A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BC755423-7408-47D6-A378-FB02DB74E3A6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65A417AA-00A9-4FB4-B844-3D60CFE862FD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5F8765-BBBC-4A54-A954-EE131B810DA5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3F4FAF8-25F4-442B-BA59-E53BA2E32828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F04C9C-565B-44A1-AC43-E4A3374D60DA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BE34B2-9D82-4B93-8689-0DA12B0D78AE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8E4BAD42-95A7-464E-99F2-B166F9D976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8"/>
  <sheetViews>
    <sheetView tabSelected="1" view="pageBreakPreview" zoomScale="80" zoomScaleNormal="75" zoomScaleSheetLayoutView="80" zoomScalePageLayoutView="73" workbookViewId="0">
      <selection sqref="A1:B4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64"/>
      <c r="B1" s="165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5" t="s">
        <v>1</v>
      </c>
      <c r="R1" s="15" t="s">
        <v>0</v>
      </c>
      <c r="S1" s="15" t="s">
        <v>5</v>
      </c>
      <c r="T1" s="15" t="s">
        <v>6</v>
      </c>
      <c r="U1" s="15" t="s">
        <v>13</v>
      </c>
      <c r="V1" s="15" t="s">
        <v>14</v>
      </c>
      <c r="W1" s="19" t="s">
        <v>12</v>
      </c>
    </row>
    <row r="2" spans="1:23" ht="25.5" customHeight="1" x14ac:dyDescent="0.2">
      <c r="A2" s="166"/>
      <c r="B2" s="167"/>
      <c r="C2" s="56"/>
      <c r="D2" s="51"/>
      <c r="E2" s="51"/>
      <c r="F2" s="51"/>
      <c r="G2" s="51"/>
      <c r="H2" s="57"/>
      <c r="I2" s="4"/>
      <c r="J2" s="170" t="s">
        <v>172</v>
      </c>
      <c r="K2" s="171"/>
      <c r="L2" s="171"/>
      <c r="M2" s="172"/>
      <c r="P2" s="7"/>
      <c r="Q2" s="15">
        <v>1</v>
      </c>
      <c r="R2" s="15" t="s">
        <v>7</v>
      </c>
      <c r="S2" s="16"/>
      <c r="T2" s="16"/>
      <c r="U2" s="16"/>
      <c r="V2" s="16"/>
      <c r="W2" s="19" t="s">
        <v>4</v>
      </c>
    </row>
    <row r="3" spans="1:23" ht="25.5" customHeight="1" x14ac:dyDescent="0.2">
      <c r="A3" s="166"/>
      <c r="B3" s="167"/>
      <c r="C3" s="176" t="s">
        <v>43</v>
      </c>
      <c r="D3" s="177"/>
      <c r="E3" s="177"/>
      <c r="F3" s="177"/>
      <c r="G3" s="177"/>
      <c r="H3" s="178"/>
      <c r="J3" s="170" t="s">
        <v>170</v>
      </c>
      <c r="K3" s="171"/>
      <c r="L3" s="171"/>
      <c r="M3" s="172"/>
      <c r="P3" s="7"/>
      <c r="Q3" s="15">
        <v>2</v>
      </c>
      <c r="R3" s="15" t="s">
        <v>8</v>
      </c>
      <c r="S3" s="16"/>
      <c r="T3" s="16"/>
      <c r="U3" s="16"/>
      <c r="V3" s="16"/>
      <c r="W3" s="19" t="s">
        <v>3</v>
      </c>
    </row>
    <row r="4" spans="1:23" ht="37.35" customHeight="1" x14ac:dyDescent="0.2">
      <c r="A4" s="168"/>
      <c r="B4" s="169"/>
      <c r="C4" s="59"/>
      <c r="H4" s="58"/>
      <c r="J4" s="173" t="s">
        <v>171</v>
      </c>
      <c r="K4" s="174"/>
      <c r="L4" s="174"/>
      <c r="M4" s="175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5">
        <v>3</v>
      </c>
      <c r="R5" s="15" t="s">
        <v>9</v>
      </c>
      <c r="S5" s="16"/>
      <c r="T5" s="16"/>
      <c r="U5" s="16"/>
      <c r="V5" s="16"/>
      <c r="W5" s="19" t="s">
        <v>2</v>
      </c>
    </row>
    <row r="6" spans="1:23" s="7" customFormat="1" ht="51.75" customHeight="1" x14ac:dyDescent="0.2">
      <c r="A6" s="102" t="s">
        <v>48</v>
      </c>
      <c r="B6" s="102"/>
      <c r="C6" s="73"/>
      <c r="D6" s="63"/>
      <c r="E6" s="63"/>
      <c r="F6" s="64"/>
      <c r="G6" s="87" t="s">
        <v>47</v>
      </c>
      <c r="H6" s="76" t="s">
        <v>44</v>
      </c>
      <c r="I6" s="63"/>
      <c r="J6" s="90" t="s">
        <v>45</v>
      </c>
      <c r="K6" s="159" t="s">
        <v>46</v>
      </c>
      <c r="L6" s="159"/>
      <c r="M6" s="160"/>
      <c r="Q6" s="15">
        <v>4</v>
      </c>
      <c r="R6" s="15" t="s">
        <v>10</v>
      </c>
      <c r="S6" s="15"/>
      <c r="T6" s="15"/>
      <c r="U6" s="15"/>
      <c r="V6" s="15"/>
    </row>
    <row r="7" spans="1:23" s="7" customFormat="1" ht="40.35" customHeight="1" x14ac:dyDescent="0.2">
      <c r="A7" s="107" t="s">
        <v>49</v>
      </c>
      <c r="B7" s="108"/>
      <c r="C7" s="72"/>
      <c r="D7" s="115" t="s">
        <v>50</v>
      </c>
      <c r="E7" s="116"/>
      <c r="F7" s="116"/>
      <c r="G7" s="87" t="s">
        <v>51</v>
      </c>
      <c r="H7" s="103" t="s">
        <v>122</v>
      </c>
      <c r="I7" s="104"/>
      <c r="J7" s="105"/>
      <c r="K7" s="115" t="s">
        <v>52</v>
      </c>
      <c r="L7" s="116"/>
      <c r="M7" s="117"/>
      <c r="Q7" s="15">
        <v>5</v>
      </c>
      <c r="R7" s="15" t="s">
        <v>11</v>
      </c>
      <c r="S7" s="15"/>
      <c r="T7" s="15"/>
      <c r="U7" s="15"/>
      <c r="V7" s="15"/>
    </row>
    <row r="8" spans="1:23" ht="81" customHeight="1" x14ac:dyDescent="0.2">
      <c r="A8" s="88" t="s">
        <v>53</v>
      </c>
      <c r="B8" s="88" t="s">
        <v>54</v>
      </c>
      <c r="C8" s="88" t="s">
        <v>55</v>
      </c>
      <c r="D8" s="89" t="s">
        <v>56</v>
      </c>
      <c r="E8" s="89" t="s">
        <v>57</v>
      </c>
      <c r="F8" s="89" t="s">
        <v>58</v>
      </c>
      <c r="G8" s="161" t="s">
        <v>59</v>
      </c>
      <c r="H8" s="162"/>
      <c r="I8" s="163"/>
      <c r="J8" s="125"/>
      <c r="K8" s="89" t="s">
        <v>56</v>
      </c>
      <c r="L8" s="89" t="s">
        <v>57</v>
      </c>
      <c r="M8" s="89" t="s">
        <v>60</v>
      </c>
      <c r="Q8" s="15"/>
      <c r="R8" s="16"/>
      <c r="S8" s="16"/>
      <c r="T8" s="16"/>
      <c r="U8" s="16" t="str">
        <f>IF(L11="","",IF(N11="","",IF(M11+O11&lt;=5,$W$12,IF(M11+O11=6,$W$13,IF(M11+O11=7,$W$13,IF(M11+O11&gt;=8,$W$14,""))))))</f>
        <v/>
      </c>
      <c r="V8" s="16"/>
    </row>
    <row r="9" spans="1:23" ht="168" customHeight="1" x14ac:dyDescent="0.2">
      <c r="A9" s="74">
        <v>1</v>
      </c>
      <c r="B9" s="77" t="s">
        <v>64</v>
      </c>
      <c r="C9" s="78" t="s">
        <v>62</v>
      </c>
      <c r="D9" s="21">
        <v>3</v>
      </c>
      <c r="E9" s="13" t="s">
        <v>30</v>
      </c>
      <c r="F9" s="69" t="str">
        <f t="shared" ref="F9:F14" si="0">IF(D9="","",(IF(E9="","",IF(U9&lt;=1,"",IF(U9&lt;=5,$W$2,IF(U9=6,$W$3,IF(U9=7,$W$3,IF(U9&gt;=8,$W$5,""))))))))</f>
        <v>M</v>
      </c>
      <c r="G9" s="155" t="s">
        <v>63</v>
      </c>
      <c r="H9" s="156"/>
      <c r="I9" s="157"/>
      <c r="J9" s="158"/>
      <c r="K9" s="21">
        <v>1</v>
      </c>
      <c r="L9" s="13" t="s">
        <v>31</v>
      </c>
      <c r="M9" s="65" t="str">
        <f t="shared" ref="M9:M14" si="1">IF(K9="","",(IF(L9="","",IF(V9&lt;=1,"",IF(V9&lt;=5,$W$2,IF(V9=6,$W$3,IF(V9=7,$W$3,IF(V9&gt;=8,$W$5,""))))))))</f>
        <v>L</v>
      </c>
      <c r="Q9" s="15"/>
      <c r="R9" s="16"/>
      <c r="S9" s="20">
        <f t="shared" ref="S9:S14" si="2">IF(E9="A",1,IF(E9="B",2,IF(E9="C",3,IF(E9="D",4,IF(E9="E",5,"")))))</f>
        <v>4</v>
      </c>
      <c r="T9" s="20">
        <f t="shared" ref="T9:T14" si="3">IF(L9="A",1,IF(L9="B",2,IF(L9="C",3,IF(L9="D",4,IF(L9="E",5,"")))))</f>
        <v>4</v>
      </c>
      <c r="U9" s="16">
        <f t="shared" ref="U9:U14" si="4">D9+S9</f>
        <v>7</v>
      </c>
      <c r="V9" s="16">
        <f t="shared" ref="V9:V14" si="5">K9+T9</f>
        <v>5</v>
      </c>
    </row>
    <row r="10" spans="1:23" ht="140.1" customHeight="1" x14ac:dyDescent="0.2">
      <c r="A10" s="74">
        <v>2</v>
      </c>
      <c r="B10" s="77" t="s">
        <v>61</v>
      </c>
      <c r="C10" s="78" t="s">
        <v>65</v>
      </c>
      <c r="D10" s="21">
        <v>3</v>
      </c>
      <c r="E10" s="13" t="s">
        <v>32</v>
      </c>
      <c r="F10" s="69" t="str">
        <f t="shared" si="0"/>
        <v>M</v>
      </c>
      <c r="G10" s="155" t="s">
        <v>66</v>
      </c>
      <c r="H10" s="156"/>
      <c r="I10" s="157"/>
      <c r="J10" s="158"/>
      <c r="K10" s="21">
        <v>1</v>
      </c>
      <c r="L10" s="13" t="s">
        <v>33</v>
      </c>
      <c r="M10" s="65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7</v>
      </c>
      <c r="V10" s="16">
        <f t="shared" si="5"/>
        <v>5</v>
      </c>
    </row>
    <row r="11" spans="1:23" ht="171.6" customHeight="1" x14ac:dyDescent="0.2">
      <c r="A11" s="74">
        <v>3</v>
      </c>
      <c r="B11" s="77" t="s">
        <v>67</v>
      </c>
      <c r="C11" s="78" t="s">
        <v>68</v>
      </c>
      <c r="D11" s="21">
        <v>3</v>
      </c>
      <c r="E11" s="13" t="s">
        <v>34</v>
      </c>
      <c r="F11" s="69" t="str">
        <f t="shared" si="0"/>
        <v>M</v>
      </c>
      <c r="G11" s="155" t="s">
        <v>69</v>
      </c>
      <c r="H11" s="156"/>
      <c r="I11" s="157"/>
      <c r="J11" s="158"/>
      <c r="K11" s="21">
        <v>2</v>
      </c>
      <c r="L11" s="13" t="s">
        <v>35</v>
      </c>
      <c r="M11" s="65" t="str">
        <f t="shared" si="1"/>
        <v>M</v>
      </c>
      <c r="Q11" s="15"/>
      <c r="R11" s="16"/>
      <c r="S11" s="20">
        <f t="shared" si="2"/>
        <v>4</v>
      </c>
      <c r="T11" s="20">
        <f t="shared" si="3"/>
        <v>4</v>
      </c>
      <c r="U11" s="16">
        <f t="shared" si="4"/>
        <v>7</v>
      </c>
      <c r="V11" s="16">
        <f t="shared" si="5"/>
        <v>6</v>
      </c>
    </row>
    <row r="12" spans="1:23" ht="135" customHeight="1" x14ac:dyDescent="0.2">
      <c r="A12" s="74">
        <v>4</v>
      </c>
      <c r="B12" s="77" t="s">
        <v>67</v>
      </c>
      <c r="C12" s="78" t="s">
        <v>70</v>
      </c>
      <c r="D12" s="21">
        <v>3</v>
      </c>
      <c r="E12" s="13" t="s">
        <v>36</v>
      </c>
      <c r="F12" s="69" t="str">
        <f t="shared" si="0"/>
        <v>M</v>
      </c>
      <c r="G12" s="155" t="s">
        <v>71</v>
      </c>
      <c r="H12" s="156"/>
      <c r="I12" s="157"/>
      <c r="J12" s="158"/>
      <c r="K12" s="21">
        <v>1</v>
      </c>
      <c r="L12" s="13" t="s">
        <v>37</v>
      </c>
      <c r="M12" s="65" t="str">
        <f t="shared" si="1"/>
        <v>L</v>
      </c>
      <c r="Q12" s="15"/>
      <c r="R12" s="16"/>
      <c r="S12" s="20">
        <f t="shared" si="2"/>
        <v>4</v>
      </c>
      <c r="T12" s="20">
        <f t="shared" si="3"/>
        <v>4</v>
      </c>
      <c r="U12" s="16">
        <f t="shared" si="4"/>
        <v>7</v>
      </c>
      <c r="V12" s="16">
        <f t="shared" si="5"/>
        <v>5</v>
      </c>
    </row>
    <row r="13" spans="1:23" ht="81.599999999999994" customHeight="1" x14ac:dyDescent="0.2">
      <c r="A13" s="74">
        <v>5</v>
      </c>
      <c r="B13" s="77" t="s">
        <v>67</v>
      </c>
      <c r="C13" s="78" t="s">
        <v>72</v>
      </c>
      <c r="D13" s="21">
        <v>3</v>
      </c>
      <c r="E13" s="13" t="s">
        <v>38</v>
      </c>
      <c r="F13" s="69" t="str">
        <f t="shared" si="0"/>
        <v>M</v>
      </c>
      <c r="G13" s="155" t="s">
        <v>73</v>
      </c>
      <c r="H13" s="156"/>
      <c r="I13" s="157"/>
      <c r="J13" s="158"/>
      <c r="K13" s="21">
        <v>1</v>
      </c>
      <c r="L13" s="13" t="s">
        <v>39</v>
      </c>
      <c r="M13" s="65" t="str">
        <f t="shared" si="1"/>
        <v>L</v>
      </c>
      <c r="Q13" s="15"/>
      <c r="R13" s="16"/>
      <c r="S13" s="20">
        <f t="shared" si="2"/>
        <v>4</v>
      </c>
      <c r="T13" s="20">
        <f t="shared" si="3"/>
        <v>4</v>
      </c>
      <c r="U13" s="16">
        <f t="shared" si="4"/>
        <v>7</v>
      </c>
      <c r="V13" s="16">
        <f t="shared" si="5"/>
        <v>5</v>
      </c>
    </row>
    <row r="14" spans="1:23" ht="15" x14ac:dyDescent="0.2">
      <c r="A14" s="74">
        <v>6</v>
      </c>
      <c r="B14" s="75"/>
      <c r="C14" s="14"/>
      <c r="D14" s="21"/>
      <c r="E14" s="13"/>
      <c r="F14" s="69" t="str">
        <f t="shared" si="0"/>
        <v/>
      </c>
      <c r="G14" s="152"/>
      <c r="H14" s="153"/>
      <c r="I14" s="153"/>
      <c r="J14" s="154"/>
      <c r="K14" s="21"/>
      <c r="L14" s="13"/>
      <c r="M14" s="65" t="str">
        <f t="shared" si="1"/>
        <v/>
      </c>
      <c r="Q14" s="15"/>
      <c r="R14" s="16"/>
      <c r="S14" s="20" t="str">
        <f t="shared" si="2"/>
        <v/>
      </c>
      <c r="T14" s="20" t="str">
        <f t="shared" si="3"/>
        <v/>
      </c>
      <c r="U14" s="16" t="e">
        <f t="shared" si="4"/>
        <v>#VALUE!</v>
      </c>
      <c r="V14" s="16" t="e">
        <f t="shared" si="5"/>
        <v>#VALUE!</v>
      </c>
    </row>
    <row r="15" spans="1:23" x14ac:dyDescent="0.2">
      <c r="A15" s="59"/>
      <c r="M15" s="58"/>
    </row>
    <row r="16" spans="1:23" ht="32.450000000000003" customHeight="1" x14ac:dyDescent="0.2">
      <c r="A16" s="109" t="s">
        <v>74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1"/>
    </row>
    <row r="17" spans="1:17" ht="35.450000000000003" customHeight="1" x14ac:dyDescent="0.2">
      <c r="A17" s="148" t="s">
        <v>75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</row>
    <row r="18" spans="1:17" ht="22.5" customHeight="1" x14ac:dyDescent="0.2">
      <c r="A18" s="149" t="s">
        <v>76</v>
      </c>
      <c r="B18" s="150"/>
      <c r="C18" s="150"/>
      <c r="D18" s="151"/>
      <c r="E18" s="151"/>
      <c r="F18" s="151"/>
      <c r="G18" s="151"/>
      <c r="H18" s="91"/>
      <c r="I18" s="91"/>
      <c r="J18" s="91"/>
      <c r="K18" s="91"/>
      <c r="L18" s="92"/>
      <c r="M18" s="93"/>
    </row>
    <row r="19" spans="1:17" ht="47.1" customHeight="1" x14ac:dyDescent="0.2">
      <c r="A19" s="132" t="s">
        <v>77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4"/>
    </row>
    <row r="20" spans="1:17" s="9" customFormat="1" ht="21.95" customHeight="1" x14ac:dyDescent="0.2">
      <c r="A20" s="138" t="s">
        <v>123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4"/>
      <c r="N20" s="8"/>
      <c r="O20" s="8"/>
      <c r="P20" s="8"/>
      <c r="Q20" s="17"/>
    </row>
    <row r="21" spans="1:17" s="9" customFormat="1" ht="45" customHeight="1" x14ac:dyDescent="0.2">
      <c r="A21" s="66">
        <v>1</v>
      </c>
      <c r="B21" s="112" t="s">
        <v>78</v>
      </c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4"/>
      <c r="N21" s="8"/>
      <c r="O21" s="8"/>
      <c r="P21" s="8"/>
      <c r="Q21" s="17"/>
    </row>
    <row r="22" spans="1:17" s="9" customFormat="1" ht="45" customHeight="1" x14ac:dyDescent="0.2">
      <c r="A22" s="66">
        <v>2</v>
      </c>
      <c r="B22" s="112" t="s">
        <v>79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4"/>
      <c r="N22" s="8"/>
      <c r="O22" s="8"/>
      <c r="P22" s="8"/>
      <c r="Q22" s="17"/>
    </row>
    <row r="23" spans="1:17" s="9" customFormat="1" ht="45" customHeight="1" x14ac:dyDescent="0.2">
      <c r="A23" s="66">
        <v>3</v>
      </c>
      <c r="B23" s="112" t="s">
        <v>80</v>
      </c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4"/>
      <c r="N23" s="8"/>
      <c r="P23" s="8"/>
      <c r="Q23" s="17"/>
    </row>
    <row r="24" spans="1:17" s="9" customFormat="1" ht="45" customHeight="1" x14ac:dyDescent="0.2">
      <c r="A24" s="66">
        <v>4</v>
      </c>
      <c r="B24" s="112" t="s">
        <v>81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4"/>
      <c r="N24" s="8"/>
      <c r="P24" s="8"/>
      <c r="Q24" s="17"/>
    </row>
    <row r="25" spans="1:17" s="9" customFormat="1" ht="45" customHeight="1" x14ac:dyDescent="0.2">
      <c r="A25" s="66">
        <v>5</v>
      </c>
      <c r="B25" s="112" t="s">
        <v>82</v>
      </c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4"/>
      <c r="N25" s="8"/>
      <c r="P25" s="8"/>
      <c r="Q25" s="17"/>
    </row>
    <row r="26" spans="1:17" s="9" customFormat="1" ht="45" customHeight="1" x14ac:dyDescent="0.2">
      <c r="A26" s="66">
        <v>6</v>
      </c>
      <c r="B26" s="112" t="s">
        <v>83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8"/>
      <c r="P26" s="8"/>
      <c r="Q26" s="17"/>
    </row>
    <row r="27" spans="1:17" s="9" customFormat="1" ht="45" customHeight="1" x14ac:dyDescent="0.2">
      <c r="A27" s="66">
        <v>7</v>
      </c>
      <c r="B27" s="112" t="s">
        <v>84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8"/>
      <c r="P27" s="8"/>
      <c r="Q27" s="17"/>
    </row>
    <row r="28" spans="1:17" s="9" customFormat="1" ht="45" customHeight="1" x14ac:dyDescent="0.2">
      <c r="A28" s="66">
        <v>8</v>
      </c>
      <c r="B28" s="112" t="s">
        <v>85</v>
      </c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8"/>
      <c r="P28" s="8"/>
      <c r="Q28" s="17"/>
    </row>
    <row r="29" spans="1:17" s="9" customFormat="1" ht="45" customHeight="1" x14ac:dyDescent="0.2">
      <c r="A29" s="66">
        <v>9</v>
      </c>
      <c r="B29" s="112" t="s">
        <v>86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8"/>
      <c r="P29" s="8"/>
      <c r="Q29" s="17"/>
    </row>
    <row r="30" spans="1:17" s="9" customFormat="1" ht="45" customHeight="1" x14ac:dyDescent="0.2">
      <c r="A30" s="66">
        <v>10</v>
      </c>
      <c r="B30" s="129" t="s">
        <v>87</v>
      </c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4"/>
      <c r="N30" s="8"/>
      <c r="P30" s="8"/>
      <c r="Q30" s="17"/>
    </row>
    <row r="31" spans="1:17" s="9" customFormat="1" ht="45" customHeight="1" x14ac:dyDescent="0.2">
      <c r="A31" s="66">
        <v>11</v>
      </c>
      <c r="B31" s="112" t="s">
        <v>88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4"/>
      <c r="N31" s="8"/>
      <c r="P31" s="8"/>
      <c r="Q31" s="17"/>
    </row>
    <row r="32" spans="1:17" s="9" customFormat="1" ht="45" customHeight="1" x14ac:dyDescent="0.2">
      <c r="A32" s="66">
        <v>12</v>
      </c>
      <c r="B32" s="112" t="s">
        <v>89</v>
      </c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4"/>
      <c r="N32" s="8"/>
      <c r="P32" s="8"/>
      <c r="Q32" s="17"/>
    </row>
    <row r="33" spans="1:17" s="9" customFormat="1" ht="45" customHeight="1" x14ac:dyDescent="0.2">
      <c r="A33" s="66">
        <v>13</v>
      </c>
      <c r="B33" s="112" t="s">
        <v>90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4"/>
      <c r="N33" s="8"/>
      <c r="P33" s="8"/>
      <c r="Q33" s="17"/>
    </row>
    <row r="34" spans="1:17" s="9" customFormat="1" ht="45" customHeight="1" x14ac:dyDescent="0.2">
      <c r="A34" s="66">
        <v>14</v>
      </c>
      <c r="B34" s="112" t="s">
        <v>91</v>
      </c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  <c r="N34" s="8"/>
      <c r="P34" s="8"/>
      <c r="Q34" s="17"/>
    </row>
    <row r="35" spans="1:17" s="9" customFormat="1" ht="45" customHeight="1" x14ac:dyDescent="0.2">
      <c r="A35" s="66">
        <v>15</v>
      </c>
      <c r="B35" s="112" t="s">
        <v>92</v>
      </c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4"/>
      <c r="Q35" s="18"/>
    </row>
    <row r="36" spans="1:17" ht="43.5" customHeight="1" x14ac:dyDescent="0.2">
      <c r="A36" s="106" t="s">
        <v>93</v>
      </c>
      <c r="B36" s="106"/>
      <c r="C36" s="106"/>
      <c r="D36" s="106"/>
      <c r="E36" s="106"/>
      <c r="F36" s="106"/>
      <c r="G36" s="106"/>
      <c r="H36" s="135"/>
      <c r="I36" s="135"/>
      <c r="J36" s="135"/>
      <c r="K36" s="135"/>
      <c r="L36" s="135"/>
      <c r="M36" s="135"/>
    </row>
    <row r="37" spans="1:17" ht="27.95" customHeight="1" x14ac:dyDescent="0.2">
      <c r="A37" s="118" t="s">
        <v>94</v>
      </c>
      <c r="B37" s="120"/>
      <c r="C37" s="94" t="s">
        <v>95</v>
      </c>
      <c r="D37" s="118" t="s">
        <v>96</v>
      </c>
      <c r="E37" s="119"/>
      <c r="F37" s="119"/>
      <c r="G37" s="120"/>
      <c r="H37" s="118" t="s">
        <v>97</v>
      </c>
      <c r="I37" s="119"/>
      <c r="J37" s="119"/>
      <c r="K37" s="119"/>
      <c r="L37" s="119"/>
      <c r="M37" s="120"/>
    </row>
    <row r="38" spans="1:17" ht="18" customHeight="1" x14ac:dyDescent="0.2">
      <c r="A38" s="137"/>
      <c r="B38" s="123"/>
      <c r="C38" s="85"/>
      <c r="D38" s="121"/>
      <c r="E38" s="122"/>
      <c r="F38" s="122"/>
      <c r="G38" s="123"/>
      <c r="H38" s="145"/>
      <c r="I38" s="146"/>
      <c r="J38" s="146"/>
      <c r="K38" s="146"/>
      <c r="L38" s="146"/>
      <c r="M38" s="147"/>
    </row>
    <row r="39" spans="1:17" ht="18" customHeight="1" x14ac:dyDescent="0.2">
      <c r="A39" s="137"/>
      <c r="B39" s="123"/>
      <c r="C39" s="85"/>
      <c r="D39" s="79"/>
      <c r="E39" s="80"/>
      <c r="F39" s="80"/>
      <c r="G39" s="81"/>
      <c r="H39" s="83"/>
      <c r="I39" s="84"/>
      <c r="J39" s="84"/>
      <c r="K39" s="84"/>
      <c r="L39" s="84"/>
      <c r="M39" s="82"/>
    </row>
    <row r="40" spans="1:17" ht="18" customHeight="1" x14ac:dyDescent="0.2">
      <c r="A40" s="79"/>
      <c r="B40" s="81"/>
      <c r="C40" s="6"/>
      <c r="D40" s="79"/>
      <c r="E40" s="80"/>
      <c r="F40" s="80"/>
      <c r="G40" s="81"/>
      <c r="H40" s="83"/>
      <c r="I40" s="84"/>
      <c r="J40" s="84"/>
      <c r="K40" s="84"/>
      <c r="L40" s="84"/>
      <c r="M40" s="82"/>
    </row>
    <row r="41" spans="1:17" ht="18" customHeight="1" x14ac:dyDescent="0.2">
      <c r="A41" s="79"/>
      <c r="B41" s="81"/>
      <c r="C41" s="6"/>
      <c r="D41" s="79"/>
      <c r="E41" s="80"/>
      <c r="F41" s="80"/>
      <c r="G41" s="81"/>
      <c r="H41" s="83"/>
      <c r="I41" s="84"/>
      <c r="J41" s="84"/>
      <c r="K41" s="84"/>
      <c r="L41" s="84"/>
      <c r="M41" s="82"/>
    </row>
    <row r="42" spans="1:17" ht="18" customHeight="1" x14ac:dyDescent="0.2">
      <c r="A42" s="79"/>
      <c r="B42" s="81"/>
      <c r="C42" s="6"/>
      <c r="D42" s="79"/>
      <c r="E42" s="80"/>
      <c r="F42" s="80"/>
      <c r="G42" s="81"/>
      <c r="H42" s="83"/>
      <c r="I42" s="84"/>
      <c r="J42" s="84"/>
      <c r="K42" s="84"/>
      <c r="L42" s="84"/>
      <c r="M42" s="82"/>
    </row>
    <row r="43" spans="1:17" ht="30.95" customHeight="1" x14ac:dyDescent="0.2">
      <c r="A43" s="129" t="s">
        <v>98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1"/>
    </row>
    <row r="44" spans="1:17" ht="33.6" customHeight="1" x14ac:dyDescent="0.2">
      <c r="A44" s="136" t="s">
        <v>99</v>
      </c>
      <c r="B44" s="136"/>
      <c r="C44" s="95" t="s">
        <v>100</v>
      </c>
      <c r="D44" s="139" t="s">
        <v>101</v>
      </c>
      <c r="E44" s="140"/>
      <c r="F44" s="141"/>
      <c r="G44" s="96"/>
      <c r="H44" s="97"/>
      <c r="I44" s="97"/>
      <c r="J44" s="97"/>
      <c r="K44" s="97"/>
      <c r="L44" s="97"/>
      <c r="M44" s="98"/>
    </row>
    <row r="45" spans="1:17" ht="24" customHeight="1" x14ac:dyDescent="0.2">
      <c r="A45" s="137"/>
      <c r="B45" s="128"/>
      <c r="C45" s="10"/>
      <c r="D45" s="142"/>
      <c r="E45" s="143"/>
      <c r="F45" s="144"/>
      <c r="G45" s="99"/>
      <c r="H45" s="100"/>
      <c r="I45" s="100"/>
      <c r="J45" s="100"/>
      <c r="K45" s="100"/>
      <c r="L45" s="100"/>
      <c r="M45" s="101"/>
    </row>
    <row r="46" spans="1:17" s="11" customFormat="1" ht="15" customHeight="1" x14ac:dyDescent="0.2">
      <c r="A46" s="67"/>
      <c r="M46" s="68"/>
    </row>
    <row r="47" spans="1:17" ht="86.1" customHeight="1" x14ac:dyDescent="0.2">
      <c r="A47" s="124" t="s">
        <v>102</v>
      </c>
      <c r="B47" s="125"/>
      <c r="C47" s="126"/>
      <c r="D47" s="127"/>
      <c r="E47" s="127"/>
      <c r="F47" s="127"/>
      <c r="G47" s="127"/>
      <c r="H47" s="127"/>
      <c r="I47" s="127"/>
      <c r="J47" s="127"/>
      <c r="K47" s="127"/>
      <c r="L47" s="127"/>
      <c r="M47" s="128"/>
    </row>
    <row r="48" spans="1:17" s="12" customFormat="1" ht="24" customHeight="1" x14ac:dyDescent="0.2">
      <c r="A48" s="106" t="s">
        <v>103</v>
      </c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</row>
  </sheetData>
  <sheetProtection formatCells="0" formatColumns="0" formatRows="0" insertColumns="0" insertRows="0" insertHyperlinks="0" deleteColumns="0" deleteRows="0" sort="0" autoFilter="0" pivotTables="0"/>
  <mergeCells count="54">
    <mergeCell ref="A1:B4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A37:B37"/>
    <mergeCell ref="A38:B38"/>
    <mergeCell ref="A39:B39"/>
    <mergeCell ref="A17:M17"/>
    <mergeCell ref="B24:M24"/>
    <mergeCell ref="B25:M25"/>
    <mergeCell ref="B28:M28"/>
    <mergeCell ref="B27:M27"/>
    <mergeCell ref="A18:G18"/>
    <mergeCell ref="C47:M47"/>
    <mergeCell ref="A43:M43"/>
    <mergeCell ref="A19:M19"/>
    <mergeCell ref="B21:M21"/>
    <mergeCell ref="B22:M22"/>
    <mergeCell ref="B23:M23"/>
    <mergeCell ref="A36:M36"/>
    <mergeCell ref="A44:B44"/>
    <mergeCell ref="B26:M26"/>
    <mergeCell ref="A45:B45"/>
    <mergeCell ref="A20:M20"/>
    <mergeCell ref="D44:F45"/>
    <mergeCell ref="B30:M30"/>
    <mergeCell ref="B35:M35"/>
    <mergeCell ref="H37:M37"/>
    <mergeCell ref="H38:M38"/>
    <mergeCell ref="G44:M45"/>
    <mergeCell ref="A6:B6"/>
    <mergeCell ref="H7:J7"/>
    <mergeCell ref="A48:M48"/>
    <mergeCell ref="A7:B7"/>
    <mergeCell ref="A16:M16"/>
    <mergeCell ref="B29:M29"/>
    <mergeCell ref="B34:M34"/>
    <mergeCell ref="B31:M31"/>
    <mergeCell ref="B32:M32"/>
    <mergeCell ref="B33:M33"/>
    <mergeCell ref="K7:M7"/>
    <mergeCell ref="D7:F7"/>
    <mergeCell ref="D37:G37"/>
    <mergeCell ref="D38:G38"/>
    <mergeCell ref="A47:B47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7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C8E5-14F8-44E8-8E6E-96B47DA8B7B1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0"/>
      <c r="B1" s="190"/>
      <c r="C1" s="190"/>
      <c r="D1" s="86"/>
      <c r="E1" s="86"/>
      <c r="F1" s="86"/>
      <c r="G1" s="1"/>
      <c r="H1" s="1"/>
      <c r="I1" s="191"/>
      <c r="J1" s="191"/>
      <c r="O1" s="15" t="s">
        <v>124</v>
      </c>
      <c r="P1" s="15" t="s">
        <v>125</v>
      </c>
      <c r="Q1" s="15" t="s">
        <v>126</v>
      </c>
      <c r="R1" s="15" t="s">
        <v>127</v>
      </c>
      <c r="S1" s="15" t="s">
        <v>128</v>
      </c>
      <c r="T1" s="15" t="s">
        <v>129</v>
      </c>
      <c r="U1" s="19" t="s">
        <v>130</v>
      </c>
      <c r="V1" s="2"/>
    </row>
    <row r="2" spans="1:22" ht="25.5" customHeight="1" x14ac:dyDescent="0.2">
      <c r="A2" s="190"/>
      <c r="B2" s="190"/>
      <c r="C2" s="190"/>
      <c r="D2" s="192" t="s">
        <v>104</v>
      </c>
      <c r="E2" s="177"/>
      <c r="F2" s="177"/>
      <c r="G2" s="177"/>
      <c r="H2" s="177"/>
      <c r="I2" s="193"/>
      <c r="J2" s="193"/>
      <c r="N2" s="7"/>
      <c r="O2" s="15">
        <v>1</v>
      </c>
      <c r="P2" s="15" t="s">
        <v>131</v>
      </c>
      <c r="Q2" s="16"/>
      <c r="R2" s="16"/>
      <c r="S2" s="16"/>
      <c r="T2" s="16"/>
      <c r="U2" s="19" t="s">
        <v>132</v>
      </c>
      <c r="V2" s="5"/>
    </row>
    <row r="3" spans="1:22" ht="25.5" customHeight="1" x14ac:dyDescent="0.2">
      <c r="A3" s="190"/>
      <c r="B3" s="190"/>
      <c r="C3" s="190"/>
      <c r="D3" s="50"/>
      <c r="E3" s="50"/>
      <c r="F3" s="50"/>
      <c r="G3" s="50"/>
      <c r="H3" s="50"/>
      <c r="I3" s="194"/>
      <c r="J3" s="194"/>
      <c r="K3" s="50"/>
      <c r="L3" s="50"/>
      <c r="M3" s="23"/>
    </row>
    <row r="4" spans="1:22" ht="17.45" customHeight="1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5.15" customHeight="1" thickBot="1" x14ac:dyDescent="0.25">
      <c r="A5" s="195" t="s">
        <v>56</v>
      </c>
      <c r="B5" s="196"/>
      <c r="C5" s="201" t="s">
        <v>105</v>
      </c>
      <c r="D5" s="202"/>
      <c r="E5" s="202"/>
      <c r="F5" s="202"/>
      <c r="G5" s="203"/>
      <c r="H5" s="201" t="s">
        <v>106</v>
      </c>
      <c r="I5" s="202"/>
      <c r="J5" s="202"/>
      <c r="K5" s="202"/>
      <c r="L5" s="203"/>
      <c r="M5" s="23"/>
    </row>
    <row r="6" spans="1:22" ht="20.25" customHeight="1" thickBot="1" x14ac:dyDescent="0.25">
      <c r="A6" s="197"/>
      <c r="B6" s="198"/>
      <c r="C6" s="187" t="s">
        <v>107</v>
      </c>
      <c r="D6" s="187" t="s">
        <v>108</v>
      </c>
      <c r="E6" s="187" t="s">
        <v>109</v>
      </c>
      <c r="F6" s="187" t="s">
        <v>133</v>
      </c>
      <c r="G6" s="187" t="s">
        <v>134</v>
      </c>
      <c r="H6" s="70" t="s">
        <v>40</v>
      </c>
      <c r="I6" s="70" t="s">
        <v>41</v>
      </c>
      <c r="J6" s="70" t="s">
        <v>42</v>
      </c>
      <c r="K6" s="22" t="s">
        <v>135</v>
      </c>
      <c r="L6" s="22" t="s">
        <v>136</v>
      </c>
      <c r="M6" s="23"/>
    </row>
    <row r="7" spans="1:22" ht="112.5" x14ac:dyDescent="0.2">
      <c r="A7" s="197"/>
      <c r="B7" s="198"/>
      <c r="C7" s="188"/>
      <c r="D7" s="188"/>
      <c r="E7" s="188"/>
      <c r="F7" s="188"/>
      <c r="G7" s="188"/>
      <c r="H7" s="71" t="s">
        <v>110</v>
      </c>
      <c r="I7" s="71" t="s">
        <v>111</v>
      </c>
      <c r="J7" s="71" t="s">
        <v>137</v>
      </c>
      <c r="K7" s="24" t="s">
        <v>138</v>
      </c>
      <c r="L7" s="24" t="s">
        <v>139</v>
      </c>
      <c r="M7" s="23"/>
    </row>
    <row r="8" spans="1:22" ht="12.75" customHeight="1" x14ac:dyDescent="0.2">
      <c r="A8" s="197"/>
      <c r="B8" s="198"/>
      <c r="C8" s="188"/>
      <c r="D8" s="188"/>
      <c r="E8" s="188"/>
      <c r="F8" s="188"/>
      <c r="G8" s="188"/>
      <c r="H8" s="181" t="s">
        <v>112</v>
      </c>
      <c r="I8" s="181" t="s">
        <v>140</v>
      </c>
      <c r="J8" s="181" t="s">
        <v>141</v>
      </c>
      <c r="K8" s="181" t="s">
        <v>142</v>
      </c>
      <c r="L8" s="181" t="s">
        <v>143</v>
      </c>
      <c r="M8" s="23"/>
    </row>
    <row r="9" spans="1:22" ht="40.5" customHeight="1" thickBot="1" x14ac:dyDescent="0.25">
      <c r="A9" s="199"/>
      <c r="B9" s="200"/>
      <c r="C9" s="189"/>
      <c r="D9" s="189"/>
      <c r="E9" s="189"/>
      <c r="F9" s="189"/>
      <c r="G9" s="189"/>
      <c r="H9" s="182"/>
      <c r="I9" s="182"/>
      <c r="J9" s="182"/>
      <c r="K9" s="182"/>
      <c r="L9" s="182"/>
      <c r="M9" s="23"/>
    </row>
    <row r="10" spans="1:22" ht="49.5" customHeight="1" x14ac:dyDescent="0.2">
      <c r="A10" s="183">
        <v>1</v>
      </c>
      <c r="B10" s="184"/>
      <c r="C10" s="39" t="s">
        <v>144</v>
      </c>
      <c r="D10" s="39" t="s">
        <v>145</v>
      </c>
      <c r="E10" s="39" t="s">
        <v>146</v>
      </c>
      <c r="F10" s="39" t="s">
        <v>147</v>
      </c>
      <c r="G10" s="40" t="s">
        <v>148</v>
      </c>
      <c r="H10" s="31" t="s">
        <v>15</v>
      </c>
      <c r="I10" s="32" t="s">
        <v>16</v>
      </c>
      <c r="J10" s="32" t="s">
        <v>17</v>
      </c>
      <c r="K10" s="41" t="s">
        <v>149</v>
      </c>
      <c r="L10" s="33" t="s">
        <v>150</v>
      </c>
      <c r="M10" s="23"/>
    </row>
    <row r="11" spans="1:22" ht="64.5" customHeight="1" x14ac:dyDescent="0.2">
      <c r="A11" s="185">
        <v>2</v>
      </c>
      <c r="B11" s="186"/>
      <c r="C11" s="25" t="s">
        <v>151</v>
      </c>
      <c r="D11" s="25" t="s">
        <v>152</v>
      </c>
      <c r="E11" s="39" t="s">
        <v>153</v>
      </c>
      <c r="F11" s="25" t="s">
        <v>154</v>
      </c>
      <c r="G11" s="29" t="s">
        <v>113</v>
      </c>
      <c r="H11" s="34" t="s">
        <v>18</v>
      </c>
      <c r="I11" s="35" t="s">
        <v>19</v>
      </c>
      <c r="J11" s="35" t="s">
        <v>20</v>
      </c>
      <c r="K11" s="36" t="s">
        <v>155</v>
      </c>
      <c r="L11" s="37" t="s">
        <v>156</v>
      </c>
      <c r="M11" s="23"/>
    </row>
    <row r="12" spans="1:22" ht="69" customHeight="1" x14ac:dyDescent="0.2">
      <c r="A12" s="185">
        <v>3</v>
      </c>
      <c r="B12" s="186"/>
      <c r="C12" s="25" t="s">
        <v>114</v>
      </c>
      <c r="D12" s="25" t="s">
        <v>157</v>
      </c>
      <c r="E12" s="39" t="s">
        <v>158</v>
      </c>
      <c r="F12" s="25" t="s">
        <v>159</v>
      </c>
      <c r="G12" s="29" t="s">
        <v>115</v>
      </c>
      <c r="H12" s="34" t="s">
        <v>21</v>
      </c>
      <c r="I12" s="35" t="s">
        <v>22</v>
      </c>
      <c r="J12" s="36" t="s">
        <v>23</v>
      </c>
      <c r="K12" s="36" t="s">
        <v>160</v>
      </c>
      <c r="L12" s="42" t="s">
        <v>161</v>
      </c>
      <c r="M12" s="23"/>
    </row>
    <row r="13" spans="1:22" ht="78.75" customHeight="1" x14ac:dyDescent="0.2">
      <c r="A13" s="185">
        <v>4</v>
      </c>
      <c r="B13" s="186"/>
      <c r="C13" s="25" t="s">
        <v>116</v>
      </c>
      <c r="D13" s="25" t="s">
        <v>162</v>
      </c>
      <c r="E13" s="39" t="s">
        <v>117</v>
      </c>
      <c r="F13" s="25" t="s">
        <v>163</v>
      </c>
      <c r="G13" s="29" t="s">
        <v>118</v>
      </c>
      <c r="H13" s="34" t="s">
        <v>24</v>
      </c>
      <c r="I13" s="36" t="s">
        <v>25</v>
      </c>
      <c r="J13" s="36" t="s">
        <v>26</v>
      </c>
      <c r="K13" s="43" t="s">
        <v>164</v>
      </c>
      <c r="L13" s="42" t="s">
        <v>165</v>
      </c>
      <c r="M13" s="23"/>
    </row>
    <row r="14" spans="1:22" ht="75" customHeight="1" thickBot="1" x14ac:dyDescent="0.25">
      <c r="A14" s="179">
        <v>5</v>
      </c>
      <c r="B14" s="180"/>
      <c r="C14" s="26" t="s">
        <v>119</v>
      </c>
      <c r="D14" s="26" t="s">
        <v>166</v>
      </c>
      <c r="E14" s="26" t="s">
        <v>167</v>
      </c>
      <c r="F14" s="26" t="s">
        <v>120</v>
      </c>
      <c r="G14" s="30" t="s">
        <v>121</v>
      </c>
      <c r="H14" s="46" t="s">
        <v>27</v>
      </c>
      <c r="I14" s="38" t="s">
        <v>28</v>
      </c>
      <c r="J14" s="44" t="s">
        <v>29</v>
      </c>
      <c r="K14" s="44" t="s">
        <v>168</v>
      </c>
      <c r="L14" s="45" t="s">
        <v>169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30.75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2" customHeight="1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21.75" customHeight="1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63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idden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C6:C9"/>
    <mergeCell ref="D6:D9"/>
    <mergeCell ref="A1:C3"/>
    <mergeCell ref="I1:J1"/>
    <mergeCell ref="D2:H2"/>
    <mergeCell ref="I2:J2"/>
    <mergeCell ref="I3:J3"/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5:B9"/>
    <mergeCell ref="C5:G5"/>
    <mergeCell ref="H5:L5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faa5c77d-98fa-4e50-863f-182fb51ee117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2018-09-20T07:18:42Z</cp:lastPrinted>
  <dcterms:created xsi:type="dcterms:W3CDTF">2011-02-21T14:14:41Z</dcterms:created>
  <dcterms:modified xsi:type="dcterms:W3CDTF">2025-02-26T14:44:33Z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