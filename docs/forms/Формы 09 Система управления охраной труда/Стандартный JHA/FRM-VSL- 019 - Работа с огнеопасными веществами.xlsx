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040" windowHeight="8625" tabRatio="307"/>
  </bookViews>
  <sheets>
    <sheet name="АСОР" sheetId="1" r:id="rId1"/>
    <sheet name="Risk Assessment Matrix" sheetId="3" r:id="rId2"/>
  </sheets>
  <definedNames>
    <definedName name="Strongly_emphasise_each_individual_s__71" localSheetId="1">'Risk Assessment Matrix'!#REF!</definedName>
    <definedName name="Strongly_emphasise_each_individual_s__71" localSheetId="0">АСОР!$O$48</definedName>
    <definedName name="_xlnm.Print_Titles" localSheetId="1">'Risk Assessment Matrix'!$1:$2</definedName>
    <definedName name="_xlnm.Print_Titles" localSheetId="0">АСОР!$1:$5</definedName>
    <definedName name="_xlnm.Print_Area" localSheetId="1">'Risk Assessment Matrix'!$A$1:$V$32</definedName>
    <definedName name="_xlnm.Print_Area" localSheetId="0">АСОР!$A$1:$M$49</definedName>
  </definedNames>
  <calcPr calcId="162913" concurrentCalc="0"/>
</workbook>
</file>

<file path=xl/calcChain.xml><?xml version="1.0" encoding="utf-8"?>
<calcChain xmlns="http://schemas.openxmlformats.org/spreadsheetml/2006/main">
  <c r="T14" i="1" l="1"/>
  <c r="V14" i="1"/>
  <c r="S14" i="1"/>
  <c r="U14" i="1"/>
  <c r="M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<sst xmlns="http://schemas.openxmlformats.org/spreadsheetml/2006/main" count="182" uniqueCount="172">
  <si>
    <r>
      <rPr>
        <b/>
        <sz val="14"/>
        <rFont val="Arial"/>
        <family val="2"/>
      </rPr>
      <t>FRM-VSL-09-1301-001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</si>
  <si>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</si>
  <si>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</si>
  <si>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</si>
  <si>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</si>
  <si>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</si>
  <si>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</si>
  <si>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</si>
  <si>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</si>
  <si>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</si>
  <si>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</si>
  <si>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</si>
  <si>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</si>
  <si>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</si>
  <si>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</si>
  <si>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</si>
  <si>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</si>
  <si>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</si>
  <si>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</si>
  <si>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</si>
  <si>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</si>
  <si>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</si>
  <si>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</si>
  <si>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</si>
  <si>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</si>
  <si>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</si>
  <si>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</si>
  <si>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</si>
  <si>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</si>
  <si>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</si>
  <si>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</si>
  <si>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</si>
  <si>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</si>
  <si>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</si>
  <si>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</si>
  <si>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</si>
  <si>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</si>
  <si>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</si>
  <si>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</si>
  <si>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</si>
  <si>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</si>
  <si>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</si>
  <si>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</si>
  <si>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</si>
  <si>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</si>
  <si>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</si>
  <si>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</si>
  <si>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</si>
  <si>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</si>
  <si>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</si>
  <si>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</si>
  <si>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</si>
  <si>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</si>
  <si>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</si>
  <si>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</si>
  <si>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</si>
  <si>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</si>
  <si>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</si>
  <si>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</si>
  <si>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</si>
  <si>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</si>
  <si>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</si>
  <si>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</si>
  <si>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</si>
  <si>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</si>
  <si>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</si>
  <si>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</si>
  <si>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</si>
  <si>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</si>
  <si>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</si>
  <si>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</si>
  <si>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</si>
  <si>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Описание работ</t>
  </si>
  <si>
    <t>Работа с огнеопасными веществами</t>
  </si>
  <si>
    <t>Номер оценки рисков</t>
  </si>
  <si>
    <t>Файл 09</t>
  </si>
  <si>
    <t>Срок хранения 3 года</t>
  </si>
  <si>
    <t>FRM-VSL-019</t>
  </si>
  <si>
    <t>Название судна</t>
  </si>
  <si>
    <t>Дата</t>
  </si>
  <si>
    <t xml:space="preserve"> Исходный риск</t>
  </si>
  <si>
    <t xml:space="preserve"> Оборудование</t>
  </si>
  <si>
    <t xml:space="preserve"> Остаточный риск</t>
  </si>
  <si>
    <t>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</si>
  <si>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</si>
  <si>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</si>
  <si>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</si>
  <si>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</si>
  <si>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</si>
  <si>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</si>
  <si>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</si>
  <si>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>Разливы</t>
  </si>
  <si>
    <t>Пожар и/или взрыв</t>
  </si>
  <si>
    <t>1) Паспорта безопасности материала должны быть в наличии в течение периода использования вещества.
2) Пользователь должен знать надлежащие процедуры обработки применительно к веществам.
3) Хранение и транспортировка вещества должны осуществляться безопасным способом (см. паспорт безопасности).
4) Крышки должны быть обратно установлены после использования, а контейнеры возвращены в места хранения.
5)  Источники возгорания должны быть устранены или взяты под соответствующий контроль.
6) Огнетушители, пожарные рукава, барабаны и/или пожарные покрывала должны находиться поблизости на случай пожара.</t>
  </si>
  <si>
    <t>1) На рабочую площадку следует брать только необходимое количество.
2) Работники должны использовать весь комплект СИЗ при устранении разлива (см. паспорт безопасности).
3) Разливы должны быть локализованы с использованием абсорбирующих материалов и утилизированы безопасным методом.</t>
  </si>
  <si>
    <t>Вдыхание - чрезмерное воздействие</t>
  </si>
  <si>
    <t>1) Индивидуальное воздействие должно быть ниже предельно-допустимых норм профессионального воздействия.
2) При обращении с опасными для здоровья веществами используйте соответствующие средства защиты органов дыхания.
3) Использование дыхательного аппарата обязательно (при необходимости), если работы выполняются в замкнутом пространстве/сосудах и т.д.</t>
  </si>
  <si>
    <t>Контакт с кожей или глазами</t>
  </si>
  <si>
    <t>1) Работники должны использовать достаточные средства индивидуальной защиты (СИЗ) постоянно, т.е. резиновые перчатки, очки/лицевой щиток, защитную спецодежду, и т.д.
2) Брызги, попавшие на кожу, следует немедленно смыть и, если необходимо, получить первую медицинскую помощь; до начала работ определите ближайший душ в случае чрезвычайной ситуации с химреагентами и станцию промывки глаз.
3) Глаза, пострадавшие от брызг химреагента, следует промыть с помощью специалиста по оказанию первой помощи для гарантии удаления вещества в полном объеме.</t>
  </si>
  <si>
    <t>Проглатывание</t>
  </si>
  <si>
    <t>1) Надлежащие средства индивидуальной защиты должны использоваться при всех обстоятельствах, т.е. лицевой щиток.
2) Работники должны быть осведомлены о чрезвычайной процедуре при проглатывании вещества (см. паспорт безопасности).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</si>
  <si>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</si>
  <si>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</si>
  <si>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r>
      <rPr>
        <b/>
        <sz val="10"/>
        <color rgb="FF00000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</si>
  <si>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</si>
  <si>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</si>
  <si>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</si>
  <si>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</si>
  <si>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</si>
  <si>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</si>
  <si>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</si>
  <si>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</si>
  <si>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</si>
  <si>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</si>
  <si>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</si>
  <si>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</si>
  <si>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</si>
  <si>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</si>
  <si>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</si>
  <si>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</si>
  <si>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</si>
  <si>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 xml:space="preserve"> Должность</t>
  </si>
  <si>
    <t>Подпись</t>
  </si>
  <si>
    <t>Замечания, если имеются «БЕЗОПАСНОСТЬ - МОЯ ЛИЧНАЯ ЦЕННОСТЬ»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</si>
  <si>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</si>
  <si>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</si>
  <si>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</si>
  <si>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</si>
  <si>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</si>
  <si>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Учетная документация по инструктажам на рабочем месте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</si>
  <si>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</si>
  <si>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МАТРИЦА ОЦЕНКИ РИСКОВ</t>
  </si>
  <si>
    <t>ФАЙЛ 09</t>
  </si>
  <si>
    <t>Возрастающая вероятность</t>
  </si>
  <si>
    <t>Последствия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</si>
  <si>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</si>
  <si>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</si>
  <si>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</si>
  <si>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Возможно</t>
  </si>
  <si>
    <t xml:space="preserve"> Маловероятно</t>
  </si>
  <si>
    <t xml:space="preserve"> Крайне маловероятно</t>
  </si>
  <si>
    <t>Окружающая среда</t>
  </si>
  <si>
    <t>Люди</t>
  </si>
  <si>
    <t>Имущество</t>
  </si>
  <si>
    <t xml:space="preserve"> Репутация</t>
  </si>
  <si>
    <t>График</t>
  </si>
  <si>
    <t xml:space="preserve"> Травмы с оказанием доврачебной помощи</t>
  </si>
  <si>
    <t xml:space="preserve"> Незначительное воздействие</t>
  </si>
  <si>
    <t xml:space="preserve"> Незначительное повреждение 
&lt; 500€ / евро</t>
  </si>
  <si>
    <t xml:space="preserve"> Незначительное негативное воздействие</t>
  </si>
  <si>
    <t xml:space="preserve"> Задержка 1 час</t>
  </si>
  <si>
    <t xml:space="preserve"> Медицинская помощь, травма с ограничением рабочих функций</t>
  </si>
  <si>
    <t xml:space="preserve"> Несущественное воздействие 
&lt; 10  литров</t>
  </si>
  <si>
    <t xml:space="preserve"> Несущественное повреждение 
&lt; 5000€ / евро</t>
  </si>
  <si>
    <t xml:space="preserve"> Несущественное негативное воздействие</t>
  </si>
  <si>
    <t xml:space="preserve"> Задержка 1–12 часов</t>
  </si>
  <si>
    <t xml:space="preserve"> Задержка 12–48 часов</t>
  </si>
  <si>
    <t xml:space="preserve"> Умеренное негативное воздействие</t>
  </si>
  <si>
    <t xml:space="preserve"> Умеренное повреждение 
&lt;50.000€ / евро</t>
  </si>
  <si>
    <t xml:space="preserve"> Умеренное воздействие
10 литров - 1 баррель</t>
  </si>
  <si>
    <t xml:space="preserve"> Травма, ведущая к потере трудоспособности или к частичной нетрудоспособности</t>
  </si>
  <si>
    <t xml:space="preserve"> Постоянная утрата трудоспособности или летальный исход</t>
  </si>
  <si>
    <t xml:space="preserve"> Значительное воздействие
1-10 баррелей</t>
  </si>
  <si>
    <t xml:space="preserve"> Значительное повреждение 
&lt;500.000€ / евро</t>
  </si>
  <si>
    <t xml:space="preserve"> Значительное негативное воздействие</t>
  </si>
  <si>
    <t>Задержка 48 часов – 7 дней</t>
  </si>
  <si>
    <t>Более 1 смертельного случая</t>
  </si>
  <si>
    <t xml:space="preserve"> Сильное воздействие
&gt; 10  баррелей</t>
  </si>
  <si>
    <t xml:space="preserve"> Обширное повреждение
&gt; 500.000€ / евро</t>
  </si>
  <si>
    <t>Сильное негативное воздействие</t>
  </si>
  <si>
    <t>Задержка более 7 дней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</si>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</sst>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sz val="7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4"/>
      <color rgb="FF006666"/>
      <name val="Arial Black"/>
      <family val="2"/>
      <charset val="204"/>
    </font>
    <font>
      <sz val="11"/>
      <color theme="0"/>
      <name val="Arial"/>
      <family val="2"/>
    </font>
    <font>
      <b/>
      <sz val="10"/>
      <color rgb="FF000000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0" fillId="2" borderId="0" xfId="0" applyFont="1" applyFill="1"/>
    <xf numFmtId="0" fontId="13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2" fillId="2" borderId="0" xfId="0" applyFont="1" applyFill="1" applyBorder="1" applyAlignment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 shrinkToFi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4" fillId="0" borderId="6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5" fillId="2" borderId="0" xfId="0" applyFont="1" applyFill="1" applyBorder="1" applyAlignment="1">
      <alignment horizontal="center" wrapText="1"/>
    </xf>
    <xf numFmtId="0" fontId="18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2" fillId="2" borderId="18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10" fillId="2" borderId="19" xfId="0" applyFont="1" applyFill="1" applyBorder="1"/>
    <xf numFmtId="0" fontId="10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2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0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27" fillId="8" borderId="19" xfId="0" applyFont="1" applyFill="1" applyBorder="1" applyAlignment="1">
      <alignment horizontal="center"/>
    </xf>
    <xf numFmtId="0" fontId="28" fillId="8" borderId="19" xfId="0" applyFont="1" applyFill="1" applyBorder="1" applyAlignment="1">
      <alignment horizontal="left" vertical="center" indent="1"/>
    </xf>
    <xf numFmtId="0" fontId="25" fillId="8" borderId="19" xfId="0" applyFont="1" applyFill="1" applyBorder="1" applyAlignment="1">
      <alignment vertical="center"/>
    </xf>
    <xf numFmtId="0" fontId="25" fillId="8" borderId="19" xfId="0" applyFont="1" applyFill="1" applyBorder="1" applyAlignment="1">
      <alignment horizontal="left" vertical="center"/>
    </xf>
    <xf numFmtId="0" fontId="25" fillId="8" borderId="21" xfId="0" applyFont="1" applyFill="1" applyBorder="1" applyAlignment="1" applyProtection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textRotation="90" wrapText="1"/>
    </xf>
    <xf numFmtId="0" fontId="21" fillId="8" borderId="1" xfId="0" applyFont="1" applyFill="1" applyBorder="1" applyAlignment="1">
      <alignment horizontal="righ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7" fillId="2" borderId="23" xfId="0" applyFont="1" applyFill="1" applyBorder="1" applyAlignment="1">
      <alignment horizontal="left" vertical="center"/>
    </xf>
    <xf numFmtId="0" fontId="16" fillId="3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1" fillId="8" borderId="1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0" fillId="2" borderId="8" xfId="0" applyFill="1" applyBorder="1" applyAlignment="1">
      <alignment horizontal="center" vertical="center"/>
    </xf>
    <xf numFmtId="0" fontId="29" fillId="0" borderId="1" xfId="0" applyFont="1" applyBorder="1" applyAlignment="1" applyProtection="1">
      <alignment horizontal="left" vertical="center" wrapText="1"/>
      <protection locked="0"/>
    </xf>
    <xf numFmtId="0" fontId="26" fillId="8" borderId="18" xfId="0" applyFont="1" applyFill="1" applyBorder="1" applyAlignment="1">
      <alignment vertical="center"/>
    </xf>
    <xf numFmtId="0" fontId="26" fillId="8" borderId="19" xfId="0" applyFont="1" applyFill="1" applyBorder="1" applyAlignment="1">
      <alignment vertical="center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34" fillId="2" borderId="18" xfId="0" applyFont="1" applyFill="1" applyBorder="1" applyAlignment="1" applyProtection="1">
      <alignment horizontal="center" vertical="center" wrapText="1"/>
    </xf>
    <xf numFmtId="0" fontId="35" fillId="2" borderId="21" xfId="0" applyFont="1" applyFill="1" applyBorder="1" applyAlignment="1" applyProtection="1">
      <alignment horizontal="center" vertical="center"/>
    </xf>
    <xf numFmtId="0" fontId="35" fillId="2" borderId="29" xfId="0" applyFont="1" applyFill="1" applyBorder="1" applyAlignment="1" applyProtection="1">
      <alignment horizontal="center" vertical="center"/>
    </xf>
    <xf numFmtId="0" fontId="35" fillId="2" borderId="30" xfId="0" applyFont="1" applyFill="1" applyBorder="1" applyAlignment="1" applyProtection="1">
      <alignment horizontal="center" vertical="center"/>
    </xf>
    <xf numFmtId="0" fontId="35" fillId="2" borderId="14" xfId="0" applyFont="1" applyFill="1" applyBorder="1" applyAlignment="1" applyProtection="1">
      <alignment horizontal="center" vertical="center"/>
    </xf>
    <xf numFmtId="0" fontId="35" fillId="2" borderId="23" xfId="0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1" fillId="8" borderId="1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1" fillId="8" borderId="8" xfId="0" applyFont="1" applyFill="1" applyBorder="1" applyAlignment="1">
      <alignment horizontal="right" vertical="center" wrapText="1"/>
    </xf>
    <xf numFmtId="0" fontId="21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4" fontId="21" fillId="8" borderId="8" xfId="0" applyNumberFormat="1" applyFont="1" applyFill="1" applyBorder="1" applyAlignment="1">
      <alignment horizontal="center" vertical="center" wrapText="1"/>
    </xf>
    <xf numFmtId="14" fontId="21" fillId="8" borderId="17" xfId="0" applyNumberFormat="1" applyFont="1" applyFill="1" applyBorder="1" applyAlignment="1">
      <alignment horizontal="center" vertical="center" wrapText="1"/>
    </xf>
    <xf numFmtId="14" fontId="21" fillId="8" borderId="4" xfId="0" applyNumberFormat="1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left" vertical="center" wrapText="1"/>
    </xf>
    <xf numFmtId="0" fontId="20" fillId="8" borderId="17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0" fillId="8" borderId="8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38" fillId="2" borderId="8" xfId="0" applyFont="1" applyFill="1" applyBorder="1" applyAlignment="1">
      <alignment horizontal="left" vertical="center" wrapText="1"/>
    </xf>
    <xf numFmtId="0" fontId="38" fillId="2" borderId="17" xfId="0" applyFont="1" applyFill="1" applyBorder="1" applyAlignment="1">
      <alignment horizontal="left" vertical="center" wrapText="1"/>
    </xf>
    <xf numFmtId="0" fontId="38" fillId="2" borderId="4" xfId="0" applyFont="1" applyFill="1" applyBorder="1" applyAlignment="1">
      <alignment horizontal="left" vertical="center" wrapText="1"/>
    </xf>
    <xf numFmtId="0" fontId="37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36" fillId="8" borderId="19" xfId="0" applyFont="1" applyFill="1" applyBorder="1" applyAlignment="1">
      <alignment horizontal="left" vertical="center" wrapText="1"/>
    </xf>
    <xf numFmtId="0" fontId="9" fillId="2" borderId="29" xfId="0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center" vertical="center" wrapText="1" shrinkToFit="1"/>
      <protection locked="0"/>
    </xf>
    <xf numFmtId="0" fontId="3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5" fillId="8" borderId="8" xfId="0" applyFont="1" applyFill="1" applyBorder="1" applyAlignment="1">
      <alignment horizontal="center" vertical="center" wrapText="1"/>
    </xf>
    <xf numFmtId="0" fontId="25" fillId="8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39" fillId="3" borderId="6" xfId="0" applyFont="1" applyFill="1" applyBorder="1" applyAlignment="1">
      <alignment horizontal="center" textRotation="90" wrapText="1"/>
    </xf>
    <xf numFmtId="0" fontId="39" fillId="3" borderId="24" xfId="0" applyFont="1" applyFill="1" applyBorder="1" applyAlignment="1">
      <alignment horizontal="center" textRotation="90" wrapText="1"/>
    </xf>
    <xf numFmtId="0" fontId="39" fillId="3" borderId="25" xfId="0" applyFont="1" applyFill="1" applyBorder="1" applyAlignment="1">
      <alignment horizontal="center" textRotation="90" wrapText="1"/>
    </xf>
    <xf numFmtId="0" fontId="15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2" borderId="29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3" fillId="2" borderId="18" xfId="0" applyFont="1" applyFill="1" applyBorder="1" applyAlignment="1" applyProtection="1">
      <alignment horizontal="center" vertical="center" wrapText="1"/>
    </xf>
    <xf numFmtId="0" fontId="33" fillId="2" borderId="19" xfId="0" applyFont="1" applyFill="1" applyBorder="1" applyAlignment="1" applyProtection="1">
      <alignment horizontal="center" vertical="center" wrapText="1"/>
    </xf>
    <xf numFmtId="0" fontId="33" fillId="2" borderId="21" xfId="0" applyFont="1" applyFill="1" applyBorder="1" applyAlignment="1" applyProtection="1">
      <alignment horizontal="center" vertical="center" wrapText="1"/>
    </xf>
    <xf numFmtId="0" fontId="33" fillId="2" borderId="29" xfId="0" applyFont="1" applyFill="1" applyBorder="1" applyAlignment="1" applyProtection="1">
      <alignment horizontal="center" vertical="center" wrapText="1"/>
    </xf>
    <xf numFmtId="0" fontId="33" fillId="2" borderId="0" xfId="0" applyFont="1" applyFill="1" applyBorder="1" applyAlignment="1" applyProtection="1">
      <alignment horizontal="center" vertical="center" wrapText="1"/>
    </xf>
    <xf numFmtId="0" fontId="33" fillId="2" borderId="30" xfId="0" applyFont="1" applyFill="1" applyBorder="1" applyAlignment="1" applyProtection="1">
      <alignment horizontal="center" vertical="center" wrapText="1"/>
    </xf>
    <xf numFmtId="0" fontId="33" fillId="2" borderId="14" xfId="0" applyFont="1" applyFill="1" applyBorder="1" applyAlignment="1" applyProtection="1">
      <alignment horizontal="center" vertical="center" wrapText="1"/>
    </xf>
    <xf numFmtId="0" fontId="33" fillId="2" borderId="22" xfId="0" applyFont="1" applyFill="1" applyBorder="1" applyAlignment="1" applyProtection="1">
      <alignment horizontal="center" vertical="center" wrapText="1"/>
    </xf>
    <xf numFmtId="0" fontId="33" fillId="2" borderId="23" xfId="0" applyFont="1" applyFill="1" applyBorder="1" applyAlignment="1" applyProtection="1">
      <alignment horizontal="center" vertical="center" wrapText="1"/>
    </xf>
    <xf numFmtId="0" fontId="40" fillId="2" borderId="8" xfId="0" applyFont="1" applyFill="1" applyBorder="1" applyAlignment="1">
      <alignment horizontal="left" vertical="center" wrapText="1"/>
    </xf>
    <xf numFmtId="0" fontId="42" fillId="2" borderId="17" xfId="0" applyFont="1" applyFill="1" applyBorder="1" applyAlignment="1">
      <alignment horizontal="left" vertical="center" wrapText="1"/>
    </xf>
    <xf numFmtId="0" fontId="42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162800" y="173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nl-B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15</xdr:row>
      <xdr:rowOff>114300</xdr:rowOff>
    </xdr:from>
    <xdr:to>
      <xdr:col>4</xdr:col>
      <xdr:colOff>2117</xdr:colOff>
      <xdr:row>18</xdr:row>
      <xdr:rowOff>123825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9050" y="8382000"/>
          <a:ext cx="2878667" cy="4857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18</xdr:row>
      <xdr:rowOff>419100</xdr:rowOff>
    </xdr:from>
    <xdr:to>
      <xdr:col>4</xdr:col>
      <xdr:colOff>2117</xdr:colOff>
      <xdr:row>22</xdr:row>
      <xdr:rowOff>139699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9163050"/>
          <a:ext cx="2869142" cy="806449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23</xdr:row>
      <xdr:rowOff>279400</xdr:rowOff>
    </xdr:from>
    <xdr:to>
      <xdr:col>4</xdr:col>
      <xdr:colOff>2117</xdr:colOff>
      <xdr:row>27</xdr:row>
      <xdr:rowOff>38100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117" y="10267950"/>
          <a:ext cx="2895600" cy="984250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2116</xdr:colOff>
      <xdr:row>15</xdr:row>
      <xdr:rowOff>63501</xdr:rowOff>
    </xdr:from>
    <xdr:to>
      <xdr:col>10</xdr:col>
      <xdr:colOff>0</xdr:colOff>
      <xdr:row>18</xdr:row>
      <xdr:rowOff>279401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897716" y="8331201"/>
          <a:ext cx="5681134" cy="69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18</xdr:row>
      <xdr:rowOff>368301</xdr:rowOff>
    </xdr:from>
    <xdr:to>
      <xdr:col>10</xdr:col>
      <xdr:colOff>0</xdr:colOff>
      <xdr:row>23</xdr:row>
      <xdr:rowOff>107951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897717" y="9112251"/>
          <a:ext cx="5681133" cy="984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23</xdr:row>
      <xdr:rowOff>209551</xdr:rowOff>
    </xdr:from>
    <xdr:to>
      <xdr:col>10</xdr:col>
      <xdr:colOff>0</xdr:colOff>
      <xdr:row>27</xdr:row>
      <xdr:rowOff>146051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897717" y="10198101"/>
          <a:ext cx="5681133" cy="1162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404812</xdr:colOff>
      <xdr:row>28</xdr:row>
      <xdr:rowOff>38100</xdr:rowOff>
    </xdr:from>
    <xdr:to>
      <xdr:col>9</xdr:col>
      <xdr:colOff>845344</xdr:colOff>
      <xdr:row>30</xdr:row>
      <xdr:rowOff>139700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322512" y="11410950"/>
          <a:ext cx="6187282" cy="419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49"/>
  <sheetViews>
    <sheetView tabSelected="1" zoomScale="80" zoomScaleNormal="80" zoomScalePageLayoutView="73" workbookViewId="0">
      <selection activeCell="C7" sqref="C7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02" t="s">
        <v>70</v>
      </c>
      <c r="B1" s="103"/>
      <c r="C1" s="53"/>
      <c r="D1" s="54"/>
      <c r="E1" s="54"/>
      <c r="F1" s="54"/>
      <c r="G1" s="55"/>
      <c r="H1" s="56"/>
      <c r="I1" s="1"/>
      <c r="J1" s="61"/>
      <c r="K1" s="55"/>
      <c r="L1" s="55"/>
      <c r="M1" s="62"/>
      <c r="Q1" s="15" t="s">
        <v>11</v>
      </c>
      <c r="R1" s="15" t="s">
        <v>12</v>
      </c>
      <c r="S1" s="15" t="s">
        <v>13</v>
      </c>
      <c r="T1" s="15" t="s">
        <v>14</v>
      </c>
      <c r="U1" s="15" t="s">
        <v>15</v>
      </c>
      <c r="V1" s="15" t="s">
        <v>16</v>
      </c>
      <c r="W1" s="19" t="s">
        <v>17</v>
      </c>
    </row>
    <row r="2" spans="1:23" ht="25.5" customHeight="1" x14ac:dyDescent="0.2">
      <c r="A2" s="104"/>
      <c r="B2" s="105"/>
      <c r="C2" s="57"/>
      <c r="D2" s="51"/>
      <c r="E2" s="51"/>
      <c r="F2" s="51"/>
      <c r="G2" s="51"/>
      <c r="H2" s="58"/>
      <c r="I2" s="4"/>
      <c r="J2" s="162" t="s">
        <v>0</v>
      </c>
      <c r="K2" s="163"/>
      <c r="L2" s="163"/>
      <c r="M2" s="164"/>
      <c r="P2" s="7"/>
      <c r="Q2" s="15">
        <v>1</v>
      </c>
      <c r="R2" s="15" t="s">
        <v>18</v>
      </c>
      <c r="S2" s="16"/>
      <c r="T2" s="16"/>
      <c r="U2" s="16"/>
      <c r="V2" s="16"/>
      <c r="W2" s="19" t="s">
        <v>19</v>
      </c>
    </row>
    <row r="3" spans="1:23" ht="25.5" customHeight="1" x14ac:dyDescent="0.2">
      <c r="A3" s="104"/>
      <c r="B3" s="105"/>
      <c r="C3" s="169" t="s">
        <v>71</v>
      </c>
      <c r="D3" s="170"/>
      <c r="E3" s="170"/>
      <c r="F3" s="170"/>
      <c r="G3" s="170"/>
      <c r="H3" s="171"/>
      <c r="J3" s="165" t="s">
        <v>75</v>
      </c>
      <c r="K3" s="163"/>
      <c r="L3" s="163"/>
      <c r="M3" s="164"/>
      <c r="P3" s="7"/>
      <c r="Q3" s="15">
        <v>2</v>
      </c>
      <c r="R3" s="15" t="s">
        <v>20</v>
      </c>
      <c r="S3" s="16"/>
      <c r="T3" s="16"/>
      <c r="U3" s="16"/>
      <c r="V3" s="16"/>
      <c r="W3" s="19" t="s">
        <v>21</v>
      </c>
    </row>
    <row r="4" spans="1:23" ht="31.5" customHeight="1" x14ac:dyDescent="0.2">
      <c r="A4" s="106"/>
      <c r="B4" s="107"/>
      <c r="C4" s="60"/>
      <c r="D4" s="52"/>
      <c r="E4" s="52"/>
      <c r="F4" s="52"/>
      <c r="G4" s="52"/>
      <c r="H4" s="59"/>
      <c r="J4" s="166" t="s">
        <v>76</v>
      </c>
      <c r="K4" s="167"/>
      <c r="L4" s="167"/>
      <c r="M4" s="168"/>
      <c r="P4" s="7"/>
      <c r="Q4" s="15"/>
      <c r="R4" s="15"/>
      <c r="S4" s="16"/>
      <c r="T4" s="16"/>
      <c r="U4" s="16"/>
      <c r="V4" s="16"/>
      <c r="W4" s="19"/>
    </row>
    <row r="5" spans="1:23" ht="8.4499999999999993" customHeight="1" x14ac:dyDescent="0.2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P5" s="7"/>
      <c r="Q5" s="15">
        <v>3</v>
      </c>
      <c r="R5" s="15" t="s">
        <v>22</v>
      </c>
      <c r="S5" s="16"/>
      <c r="T5" s="16"/>
      <c r="U5" s="16"/>
      <c r="V5" s="16"/>
      <c r="W5" s="19" t="s">
        <v>23</v>
      </c>
    </row>
    <row r="6" spans="1:23" s="7" customFormat="1" ht="51.75" customHeight="1" x14ac:dyDescent="0.2">
      <c r="A6" s="114" t="s">
        <v>78</v>
      </c>
      <c r="B6" s="114"/>
      <c r="C6" s="88"/>
      <c r="D6" s="64"/>
      <c r="E6" s="64"/>
      <c r="F6" s="65"/>
      <c r="G6" s="79" t="s">
        <v>72</v>
      </c>
      <c r="H6" s="91" t="s">
        <v>73</v>
      </c>
      <c r="I6" s="64"/>
      <c r="J6" s="90" t="s">
        <v>74</v>
      </c>
      <c r="K6" s="180" t="s">
        <v>77</v>
      </c>
      <c r="L6" s="180"/>
      <c r="M6" s="181"/>
      <c r="Q6" s="15">
        <v>4</v>
      </c>
      <c r="R6" s="15" t="s">
        <v>24</v>
      </c>
      <c r="S6" s="15"/>
      <c r="T6" s="15"/>
      <c r="U6" s="15"/>
      <c r="V6" s="15"/>
    </row>
    <row r="7" spans="1:23" s="7" customFormat="1" ht="36" customHeight="1" x14ac:dyDescent="0.2">
      <c r="A7" s="119" t="s">
        <v>79</v>
      </c>
      <c r="B7" s="120"/>
      <c r="C7" s="87"/>
      <c r="D7" s="126" t="s">
        <v>80</v>
      </c>
      <c r="E7" s="127"/>
      <c r="F7" s="127"/>
      <c r="G7" s="79" t="s">
        <v>81</v>
      </c>
      <c r="H7" s="115"/>
      <c r="I7" s="116"/>
      <c r="J7" s="117"/>
      <c r="K7" s="126" t="s">
        <v>82</v>
      </c>
      <c r="L7" s="127"/>
      <c r="M7" s="128"/>
      <c r="Q7" s="15">
        <v>5</v>
      </c>
      <c r="R7" s="15" t="s">
        <v>25</v>
      </c>
      <c r="S7" s="15"/>
      <c r="T7" s="15"/>
      <c r="U7" s="15"/>
      <c r="V7" s="15"/>
    </row>
    <row r="8" spans="1:23" ht="129" customHeight="1" x14ac:dyDescent="0.2">
      <c r="A8" s="77" t="s">
        <v>83</v>
      </c>
      <c r="B8" s="77" t="s">
        <v>84</v>
      </c>
      <c r="C8" s="77" t="s">
        <v>85</v>
      </c>
      <c r="D8" s="78" t="s">
        <v>86</v>
      </c>
      <c r="E8" s="78" t="s">
        <v>87</v>
      </c>
      <c r="F8" s="78" t="s">
        <v>88</v>
      </c>
      <c r="G8" s="182" t="s">
        <v>89</v>
      </c>
      <c r="H8" s="183"/>
      <c r="I8" s="184"/>
      <c r="J8" s="136"/>
      <c r="K8" s="78" t="s">
        <v>86</v>
      </c>
      <c r="L8" s="78" t="s">
        <v>87</v>
      </c>
      <c r="M8" s="78" t="s">
        <v>90</v>
      </c>
      <c r="Q8" s="15"/>
      <c r="R8" s="16"/>
      <c r="S8" s="16"/>
      <c r="T8" s="16"/>
      <c r="U8" s="16" t="str">
        <f>IF(L11="","",IF(N11="","",IF(M11+O11&lt;=5,$W$12,IF(M11+O11=6,$W$13,IF(M11+O11=7,$W$13,IF(M11+O11&gt;=8,$W$14,""))))))</f>
        <v/>
      </c>
      <c r="V8" s="16"/>
    </row>
    <row r="9" spans="1:23" ht="207.95" customHeight="1" x14ac:dyDescent="0.2">
      <c r="A9" s="92">
        <v>1</v>
      </c>
      <c r="B9" s="93" t="s">
        <v>73</v>
      </c>
      <c r="C9" s="93" t="s">
        <v>92</v>
      </c>
      <c r="D9" s="21">
        <v>4</v>
      </c>
      <c r="E9" s="13" t="s">
        <v>1</v>
      </c>
      <c r="F9" s="76" t="str">
        <f t="shared" ref="F9:F14" si="0">IF(D9="","",(IF(E9="","",IF(U9&lt;=1,"",IF(U9&lt;=5,$W$2,IF(U9=6,$W$3,IF(U9=7,$W$3,IF(U9&gt;=8,$W$5,""))))))))</f>
        <v>H</v>
      </c>
      <c r="G9" s="176" t="s">
        <v>93</v>
      </c>
      <c r="H9" s="177"/>
      <c r="I9" s="178"/>
      <c r="J9" s="179"/>
      <c r="K9" s="21">
        <v>1</v>
      </c>
      <c r="L9" s="13" t="s">
        <v>2</v>
      </c>
      <c r="M9" s="66" t="str">
        <f t="shared" ref="M9:M14" si="1">IF(K9="","",(IF(L9="","",IF(V9&lt;=1,"",IF(V9&lt;=5,$W$2,IF(V9=6,$W$3,IF(V9=7,$W$3,IF(V9&gt;=8,$W$5,""))))))))</f>
        <v>L</v>
      </c>
      <c r="Q9" s="15"/>
      <c r="R9" s="16"/>
      <c r="S9" s="20">
        <f t="shared" ref="S9:S14" si="2">IF(E9="A",1,IF(E9="B",2,IF(E9="C",3,IF(E9="D",4,IF(E9="E",5,"")))))</f>
        <v>4</v>
      </c>
      <c r="T9" s="20">
        <f t="shared" ref="T9:T14" si="3">IF(L9="A",1,IF(L9="B",2,IF(L9="C",3,IF(L9="D",4,IF(L9="E",5,"")))))</f>
        <v>4</v>
      </c>
      <c r="U9" s="16">
        <f t="shared" ref="U9:U14" si="4">D9+S9</f>
        <v>8</v>
      </c>
      <c r="V9" s="16">
        <f t="shared" ref="V9:V14" si="5">K9+T9</f>
        <v>5</v>
      </c>
    </row>
    <row r="10" spans="1:23" ht="118.5" customHeight="1" x14ac:dyDescent="0.2">
      <c r="A10" s="92">
        <v>2</v>
      </c>
      <c r="B10" s="93" t="s">
        <v>73</v>
      </c>
      <c r="C10" s="93" t="s">
        <v>91</v>
      </c>
      <c r="D10" s="21">
        <v>3</v>
      </c>
      <c r="E10" s="13" t="s">
        <v>3</v>
      </c>
      <c r="F10" s="76" t="str">
        <f t="shared" si="0"/>
        <v>M</v>
      </c>
      <c r="G10" s="176" t="s">
        <v>94</v>
      </c>
      <c r="H10" s="177"/>
      <c r="I10" s="178"/>
      <c r="J10" s="179"/>
      <c r="K10" s="21">
        <v>1</v>
      </c>
      <c r="L10" s="13" t="s">
        <v>4</v>
      </c>
      <c r="M10" s="66" t="str">
        <f t="shared" si="1"/>
        <v>L</v>
      </c>
      <c r="Q10" s="15"/>
      <c r="R10" s="16"/>
      <c r="S10" s="20">
        <f t="shared" si="2"/>
        <v>4</v>
      </c>
      <c r="T10" s="20">
        <f t="shared" si="3"/>
        <v>4</v>
      </c>
      <c r="U10" s="16">
        <f t="shared" si="4"/>
        <v>7</v>
      </c>
      <c r="V10" s="16">
        <f t="shared" si="5"/>
        <v>5</v>
      </c>
    </row>
    <row r="11" spans="1:23" ht="126.95" customHeight="1" x14ac:dyDescent="0.2">
      <c r="A11" s="92">
        <v>3</v>
      </c>
      <c r="B11" s="93" t="s">
        <v>73</v>
      </c>
      <c r="C11" s="93" t="s">
        <v>95</v>
      </c>
      <c r="D11" s="21">
        <v>4</v>
      </c>
      <c r="E11" s="13" t="s">
        <v>5</v>
      </c>
      <c r="F11" s="76" t="str">
        <f t="shared" si="0"/>
        <v>M</v>
      </c>
      <c r="G11" s="176" t="s">
        <v>96</v>
      </c>
      <c r="H11" s="177"/>
      <c r="I11" s="178"/>
      <c r="J11" s="179"/>
      <c r="K11" s="21">
        <v>1</v>
      </c>
      <c r="L11" s="13" t="s">
        <v>6</v>
      </c>
      <c r="M11" s="66" t="str">
        <f t="shared" si="1"/>
        <v>L</v>
      </c>
      <c r="Q11" s="15"/>
      <c r="R11" s="16"/>
      <c r="S11" s="20">
        <f t="shared" si="2"/>
        <v>3</v>
      </c>
      <c r="T11" s="20">
        <f t="shared" si="3"/>
        <v>3</v>
      </c>
      <c r="U11" s="16">
        <f t="shared" si="4"/>
        <v>7</v>
      </c>
      <c r="V11" s="16">
        <f t="shared" si="5"/>
        <v>4</v>
      </c>
    </row>
    <row r="12" spans="1:23" ht="171.95" customHeight="1" x14ac:dyDescent="0.2">
      <c r="A12" s="92">
        <v>4</v>
      </c>
      <c r="B12" s="93" t="s">
        <v>73</v>
      </c>
      <c r="C12" s="93" t="s">
        <v>97</v>
      </c>
      <c r="D12" s="21">
        <v>3</v>
      </c>
      <c r="E12" s="13" t="s">
        <v>7</v>
      </c>
      <c r="F12" s="76" t="str">
        <f t="shared" si="0"/>
        <v>M</v>
      </c>
      <c r="G12" s="176" t="s">
        <v>98</v>
      </c>
      <c r="H12" s="177"/>
      <c r="I12" s="178"/>
      <c r="J12" s="179"/>
      <c r="K12" s="21">
        <v>2</v>
      </c>
      <c r="L12" s="13" t="s">
        <v>8</v>
      </c>
      <c r="M12" s="66" t="str">
        <f t="shared" si="1"/>
        <v>L</v>
      </c>
      <c r="Q12" s="15"/>
      <c r="R12" s="16"/>
      <c r="S12" s="20">
        <f t="shared" si="2"/>
        <v>3</v>
      </c>
      <c r="T12" s="20">
        <f t="shared" si="3"/>
        <v>3</v>
      </c>
      <c r="U12" s="16">
        <f t="shared" si="4"/>
        <v>6</v>
      </c>
      <c r="V12" s="16">
        <f t="shared" si="5"/>
        <v>5</v>
      </c>
    </row>
    <row r="13" spans="1:23" ht="94.5" customHeight="1" x14ac:dyDescent="0.2">
      <c r="A13" s="92">
        <v>5</v>
      </c>
      <c r="B13" s="93" t="s">
        <v>73</v>
      </c>
      <c r="C13" s="93" t="s">
        <v>99</v>
      </c>
      <c r="D13" s="21">
        <v>3</v>
      </c>
      <c r="E13" s="13" t="s">
        <v>9</v>
      </c>
      <c r="F13" s="76" t="str">
        <f t="shared" si="0"/>
        <v>M</v>
      </c>
      <c r="G13" s="176" t="s">
        <v>100</v>
      </c>
      <c r="H13" s="177"/>
      <c r="I13" s="178"/>
      <c r="J13" s="179"/>
      <c r="K13" s="21">
        <v>1</v>
      </c>
      <c r="L13" s="13" t="s">
        <v>10</v>
      </c>
      <c r="M13" s="66" t="str">
        <f t="shared" si="1"/>
        <v>L</v>
      </c>
      <c r="Q13" s="15"/>
      <c r="R13" s="16"/>
      <c r="S13" s="20">
        <f t="shared" si="2"/>
        <v>4</v>
      </c>
      <c r="T13" s="20">
        <f t="shared" si="3"/>
        <v>4</v>
      </c>
      <c r="U13" s="16">
        <f t="shared" si="4"/>
        <v>7</v>
      </c>
      <c r="V13" s="16">
        <f t="shared" si="5"/>
        <v>5</v>
      </c>
    </row>
    <row r="14" spans="1:23" ht="15" x14ac:dyDescent="0.2">
      <c r="A14" s="92">
        <v>6</v>
      </c>
      <c r="B14" s="89"/>
      <c r="C14" s="14"/>
      <c r="D14" s="21"/>
      <c r="E14" s="13"/>
      <c r="F14" s="76" t="str">
        <f t="shared" si="0"/>
        <v/>
      </c>
      <c r="G14" s="172"/>
      <c r="H14" s="173"/>
      <c r="I14" s="174"/>
      <c r="J14" s="175"/>
      <c r="K14" s="21"/>
      <c r="L14" s="13"/>
      <c r="M14" s="66" t="str">
        <f t="shared" si="1"/>
        <v/>
      </c>
      <c r="Q14" s="15"/>
      <c r="R14" s="16"/>
      <c r="S14" s="20" t="str">
        <f t="shared" si="2"/>
        <v/>
      </c>
      <c r="T14" s="20" t="str">
        <f t="shared" si="3"/>
        <v/>
      </c>
      <c r="U14" s="16" t="e">
        <f t="shared" si="4"/>
        <v>#VALUE!</v>
      </c>
      <c r="V14" s="16" t="e">
        <f t="shared" si="5"/>
        <v>#VALUE!</v>
      </c>
    </row>
    <row r="15" spans="1:23" x14ac:dyDescent="0.2">
      <c r="A15" s="60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9"/>
    </row>
    <row r="16" spans="1:23" ht="41.25" customHeight="1" x14ac:dyDescent="0.2">
      <c r="A16" s="121" t="s">
        <v>101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3"/>
    </row>
    <row r="17" spans="1:17" ht="27.95" customHeight="1" x14ac:dyDescent="0.2">
      <c r="A17" s="161" t="s">
        <v>102</v>
      </c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</row>
    <row r="18" spans="1:17" ht="24.95" customHeight="1" x14ac:dyDescent="0.35">
      <c r="A18" s="94" t="s">
        <v>129</v>
      </c>
      <c r="B18" s="95"/>
      <c r="C18" s="95"/>
      <c r="D18" s="71"/>
      <c r="E18" s="71"/>
      <c r="F18" s="71"/>
      <c r="G18" s="72"/>
      <c r="H18" s="73"/>
      <c r="I18" s="73"/>
      <c r="J18" s="73"/>
      <c r="K18" s="73"/>
      <c r="L18" s="74"/>
      <c r="M18" s="75"/>
    </row>
    <row r="19" spans="1:17" ht="45.6" customHeight="1" x14ac:dyDescent="0.2">
      <c r="A19" s="143" t="s">
        <v>103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5"/>
    </row>
    <row r="20" spans="1:17" s="9" customFormat="1" ht="30.95" customHeight="1" x14ac:dyDescent="0.2">
      <c r="A20" s="221" t="s">
        <v>171</v>
      </c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3"/>
      <c r="N20" s="8"/>
      <c r="O20" s="8"/>
      <c r="P20" s="8"/>
      <c r="Q20" s="17"/>
    </row>
    <row r="21" spans="1:17" s="9" customFormat="1" ht="45" customHeight="1" x14ac:dyDescent="0.2">
      <c r="A21" s="67">
        <v>1</v>
      </c>
      <c r="B21" s="146" t="s">
        <v>104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8"/>
      <c r="O21" s="8"/>
      <c r="P21" s="8"/>
      <c r="Q21" s="17"/>
    </row>
    <row r="22" spans="1:17" s="9" customFormat="1" ht="45" customHeight="1" x14ac:dyDescent="0.2">
      <c r="A22" s="67">
        <v>2</v>
      </c>
      <c r="B22" s="146" t="s">
        <v>105</v>
      </c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8"/>
      <c r="O22" s="8"/>
      <c r="P22" s="8"/>
      <c r="Q22" s="17"/>
    </row>
    <row r="23" spans="1:17" s="9" customFormat="1" ht="45" customHeight="1" x14ac:dyDescent="0.2">
      <c r="A23" s="67">
        <v>3</v>
      </c>
      <c r="B23" s="124" t="s">
        <v>106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8"/>
      <c r="P23" s="8"/>
      <c r="Q23" s="17"/>
    </row>
    <row r="24" spans="1:17" s="9" customFormat="1" ht="45" customHeight="1" x14ac:dyDescent="0.2">
      <c r="A24" s="67">
        <v>4</v>
      </c>
      <c r="B24" s="146" t="s">
        <v>107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8"/>
      <c r="P24" s="8"/>
      <c r="Q24" s="17"/>
    </row>
    <row r="25" spans="1:17" s="9" customFormat="1" ht="45" customHeight="1" x14ac:dyDescent="0.2">
      <c r="A25" s="67">
        <v>5</v>
      </c>
      <c r="B25" s="124" t="s">
        <v>108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8"/>
      <c r="P25" s="8"/>
      <c r="Q25" s="17"/>
    </row>
    <row r="26" spans="1:17" s="9" customFormat="1" ht="45" customHeight="1" x14ac:dyDescent="0.2">
      <c r="A26" s="67">
        <v>6</v>
      </c>
      <c r="B26" s="146" t="s">
        <v>109</v>
      </c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8"/>
      <c r="P26" s="8"/>
      <c r="Q26" s="17"/>
    </row>
    <row r="27" spans="1:17" s="9" customFormat="1" ht="45" customHeight="1" x14ac:dyDescent="0.2">
      <c r="A27" s="67">
        <v>7</v>
      </c>
      <c r="B27" s="124" t="s">
        <v>110</v>
      </c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8"/>
      <c r="P27" s="8"/>
      <c r="Q27" s="17"/>
    </row>
    <row r="28" spans="1:17" s="9" customFormat="1" ht="45" customHeight="1" x14ac:dyDescent="0.2">
      <c r="A28" s="67">
        <v>8</v>
      </c>
      <c r="B28" s="124" t="s">
        <v>111</v>
      </c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8"/>
      <c r="P28" s="8"/>
      <c r="Q28" s="17"/>
    </row>
    <row r="29" spans="1:17" s="9" customFormat="1" ht="45" customHeight="1" x14ac:dyDescent="0.2">
      <c r="A29" s="67">
        <v>9</v>
      </c>
      <c r="B29" s="124" t="s">
        <v>112</v>
      </c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8"/>
      <c r="P29" s="8"/>
      <c r="Q29" s="17"/>
    </row>
    <row r="30" spans="1:17" s="9" customFormat="1" ht="45" customHeight="1" x14ac:dyDescent="0.2">
      <c r="A30" s="67">
        <v>10</v>
      </c>
      <c r="B30" s="156" t="s">
        <v>113</v>
      </c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8"/>
      <c r="P30" s="8"/>
      <c r="Q30" s="17"/>
    </row>
    <row r="31" spans="1:17" s="9" customFormat="1" ht="45" customHeight="1" x14ac:dyDescent="0.2">
      <c r="A31" s="67">
        <v>11</v>
      </c>
      <c r="B31" s="124" t="s">
        <v>114</v>
      </c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8"/>
      <c r="P31" s="8"/>
      <c r="Q31" s="17"/>
    </row>
    <row r="32" spans="1:17" s="9" customFormat="1" ht="45" customHeight="1" x14ac:dyDescent="0.2">
      <c r="A32" s="67">
        <v>12</v>
      </c>
      <c r="B32" s="124" t="s">
        <v>115</v>
      </c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8"/>
      <c r="P32" s="8"/>
      <c r="Q32" s="17"/>
    </row>
    <row r="33" spans="1:17" s="9" customFormat="1" ht="45" customHeight="1" x14ac:dyDescent="0.2">
      <c r="A33" s="67">
        <v>13</v>
      </c>
      <c r="B33" s="124" t="s">
        <v>116</v>
      </c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8"/>
      <c r="P33" s="8"/>
      <c r="Q33" s="17"/>
    </row>
    <row r="34" spans="1:17" s="9" customFormat="1" ht="45" customHeight="1" x14ac:dyDescent="0.2">
      <c r="A34" s="67">
        <v>14</v>
      </c>
      <c r="B34" s="124" t="s">
        <v>117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8"/>
      <c r="P34" s="8"/>
      <c r="Q34" s="17"/>
    </row>
    <row r="35" spans="1:17" s="9" customFormat="1" ht="45" customHeight="1" x14ac:dyDescent="0.2">
      <c r="A35" s="67">
        <v>15</v>
      </c>
      <c r="B35" s="124" t="s">
        <v>118</v>
      </c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Q35" s="18"/>
    </row>
    <row r="36" spans="1:17" ht="45.75" customHeight="1" x14ac:dyDescent="0.2">
      <c r="A36" s="118" t="s">
        <v>119</v>
      </c>
      <c r="B36" s="118"/>
      <c r="C36" s="118"/>
      <c r="D36" s="118"/>
      <c r="E36" s="118"/>
      <c r="F36" s="118"/>
      <c r="G36" s="118"/>
      <c r="H36" s="148"/>
      <c r="I36" s="148"/>
      <c r="J36" s="148"/>
      <c r="K36" s="148"/>
      <c r="L36" s="148"/>
      <c r="M36" s="148"/>
    </row>
    <row r="37" spans="1:17" ht="25.5" customHeight="1" x14ac:dyDescent="0.2">
      <c r="A37" s="129" t="s">
        <v>120</v>
      </c>
      <c r="B37" s="131"/>
      <c r="C37" s="80" t="s">
        <v>121</v>
      </c>
      <c r="D37" s="129" t="s">
        <v>122</v>
      </c>
      <c r="E37" s="130"/>
      <c r="F37" s="130"/>
      <c r="G37" s="131"/>
      <c r="H37" s="129" t="s">
        <v>123</v>
      </c>
      <c r="I37" s="130"/>
      <c r="J37" s="130"/>
      <c r="K37" s="130"/>
      <c r="L37" s="130"/>
      <c r="M37" s="131"/>
    </row>
    <row r="38" spans="1:17" ht="18" customHeight="1" x14ac:dyDescent="0.2">
      <c r="A38" s="132"/>
      <c r="B38" s="134"/>
      <c r="C38" s="6"/>
      <c r="D38" s="132"/>
      <c r="E38" s="133"/>
      <c r="F38" s="133"/>
      <c r="G38" s="134"/>
      <c r="H38" s="158"/>
      <c r="I38" s="159"/>
      <c r="J38" s="159"/>
      <c r="K38" s="159"/>
      <c r="L38" s="159"/>
      <c r="M38" s="160"/>
    </row>
    <row r="39" spans="1:17" ht="18" customHeight="1" x14ac:dyDescent="0.2">
      <c r="A39" s="96"/>
      <c r="B39" s="98"/>
      <c r="C39" s="6"/>
      <c r="D39" s="96"/>
      <c r="E39" s="97"/>
      <c r="F39" s="97"/>
      <c r="G39" s="98"/>
      <c r="H39" s="100"/>
      <c r="I39" s="101"/>
      <c r="J39" s="101"/>
      <c r="K39" s="101"/>
      <c r="L39" s="101"/>
      <c r="M39" s="99"/>
    </row>
    <row r="40" spans="1:17" ht="18" customHeight="1" x14ac:dyDescent="0.2">
      <c r="A40" s="96"/>
      <c r="B40" s="98"/>
      <c r="C40" s="6"/>
      <c r="D40" s="96"/>
      <c r="E40" s="97"/>
      <c r="F40" s="97"/>
      <c r="G40" s="98"/>
      <c r="H40" s="100"/>
      <c r="I40" s="101"/>
      <c r="J40" s="101"/>
      <c r="K40" s="101"/>
      <c r="L40" s="101"/>
      <c r="M40" s="99"/>
    </row>
    <row r="41" spans="1:17" ht="18" customHeight="1" x14ac:dyDescent="0.2">
      <c r="A41" s="96"/>
      <c r="B41" s="98"/>
      <c r="C41" s="6"/>
      <c r="D41" s="96"/>
      <c r="E41" s="97"/>
      <c r="F41" s="97"/>
      <c r="G41" s="98"/>
      <c r="H41" s="100"/>
      <c r="I41" s="101"/>
      <c r="J41" s="101"/>
      <c r="K41" s="101"/>
      <c r="L41" s="101"/>
      <c r="M41" s="99"/>
    </row>
    <row r="42" spans="1:17" ht="18" customHeight="1" x14ac:dyDescent="0.2">
      <c r="A42" s="96"/>
      <c r="B42" s="98"/>
      <c r="C42" s="6"/>
      <c r="D42" s="96"/>
      <c r="E42" s="97"/>
      <c r="F42" s="97"/>
      <c r="G42" s="98"/>
      <c r="H42" s="100"/>
      <c r="I42" s="101"/>
      <c r="J42" s="101"/>
      <c r="K42" s="101"/>
      <c r="L42" s="101"/>
      <c r="M42" s="99"/>
    </row>
    <row r="43" spans="1:17" ht="18" customHeight="1" x14ac:dyDescent="0.2">
      <c r="A43" s="96"/>
      <c r="B43" s="98"/>
      <c r="C43" s="6"/>
      <c r="D43" s="96"/>
      <c r="E43" s="97"/>
      <c r="F43" s="97"/>
      <c r="G43" s="98"/>
      <c r="H43" s="100"/>
      <c r="I43" s="101"/>
      <c r="J43" s="101"/>
      <c r="K43" s="101"/>
      <c r="L43" s="101"/>
      <c r="M43" s="99"/>
    </row>
    <row r="44" spans="1:17" ht="45.75" customHeight="1" x14ac:dyDescent="0.2">
      <c r="A44" s="140" t="s">
        <v>130</v>
      </c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2"/>
    </row>
    <row r="45" spans="1:17" ht="33" customHeight="1" x14ac:dyDescent="0.2">
      <c r="A45" s="149" t="s">
        <v>124</v>
      </c>
      <c r="B45" s="149"/>
      <c r="C45" s="81" t="s">
        <v>125</v>
      </c>
      <c r="D45" s="150" t="s">
        <v>126</v>
      </c>
      <c r="E45" s="151"/>
      <c r="F45" s="152"/>
      <c r="G45" s="108"/>
      <c r="H45" s="109"/>
      <c r="I45" s="109"/>
      <c r="J45" s="109"/>
      <c r="K45" s="109"/>
      <c r="L45" s="109"/>
      <c r="M45" s="110"/>
    </row>
    <row r="46" spans="1:17" ht="41.1" customHeight="1" x14ac:dyDescent="0.2">
      <c r="A46" s="137"/>
      <c r="B46" s="139"/>
      <c r="C46" s="10"/>
      <c r="D46" s="153"/>
      <c r="E46" s="154"/>
      <c r="F46" s="155"/>
      <c r="G46" s="111"/>
      <c r="H46" s="112"/>
      <c r="I46" s="112"/>
      <c r="J46" s="112"/>
      <c r="K46" s="112"/>
      <c r="L46" s="112"/>
      <c r="M46" s="113"/>
    </row>
    <row r="47" spans="1:17" s="11" customFormat="1" ht="15" customHeight="1" x14ac:dyDescent="0.2">
      <c r="A47" s="6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70"/>
    </row>
    <row r="48" spans="1:17" ht="91.5" customHeight="1" x14ac:dyDescent="0.2">
      <c r="A48" s="135" t="s">
        <v>127</v>
      </c>
      <c r="B48" s="136"/>
      <c r="C48" s="137"/>
      <c r="D48" s="138"/>
      <c r="E48" s="138"/>
      <c r="F48" s="138"/>
      <c r="G48" s="138"/>
      <c r="H48" s="138"/>
      <c r="I48" s="138"/>
      <c r="J48" s="138"/>
      <c r="K48" s="138"/>
      <c r="L48" s="138"/>
      <c r="M48" s="139"/>
    </row>
    <row r="49" spans="1:13" s="12" customFormat="1" ht="24" customHeight="1" x14ac:dyDescent="0.2">
      <c r="A49" s="118" t="s">
        <v>128</v>
      </c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</row>
  </sheetData>
  <sheetProtection formatCells="0" formatColumns="0" formatRows="0" insertColumns="0" insertRows="0" insertHyperlinks="0" deleteColumns="0" deleteRows="0" sort="0" autoFilter="0" pivotTables="0"/>
  <mergeCells count="52">
    <mergeCell ref="J2:M2"/>
    <mergeCell ref="J3:M3"/>
    <mergeCell ref="J4:M4"/>
    <mergeCell ref="C3:H3"/>
    <mergeCell ref="G14:J14"/>
    <mergeCell ref="G13:J13"/>
    <mergeCell ref="K6:M6"/>
    <mergeCell ref="G8:J8"/>
    <mergeCell ref="G9:J9"/>
    <mergeCell ref="G10:J10"/>
    <mergeCell ref="G11:J11"/>
    <mergeCell ref="G12:J12"/>
    <mergeCell ref="H38:M38"/>
    <mergeCell ref="A37:B37"/>
    <mergeCell ref="A38:B38"/>
    <mergeCell ref="A17:M17"/>
    <mergeCell ref="B24:M24"/>
    <mergeCell ref="B25:M25"/>
    <mergeCell ref="B28:M28"/>
    <mergeCell ref="B27:M27"/>
    <mergeCell ref="A48:B48"/>
    <mergeCell ref="C48:M48"/>
    <mergeCell ref="A44:M44"/>
    <mergeCell ref="A19:M19"/>
    <mergeCell ref="B21:M21"/>
    <mergeCell ref="B22:M22"/>
    <mergeCell ref="B23:M23"/>
    <mergeCell ref="A36:M36"/>
    <mergeCell ref="A45:B45"/>
    <mergeCell ref="B26:M26"/>
    <mergeCell ref="A46:B46"/>
    <mergeCell ref="A20:M20"/>
    <mergeCell ref="D45:F46"/>
    <mergeCell ref="B30:M30"/>
    <mergeCell ref="B35:M35"/>
    <mergeCell ref="H37:M37"/>
    <mergeCell ref="A1:B4"/>
    <mergeCell ref="G45:M46"/>
    <mergeCell ref="A6:B6"/>
    <mergeCell ref="H7:J7"/>
    <mergeCell ref="A49:M49"/>
    <mergeCell ref="A7:B7"/>
    <mergeCell ref="A16:M16"/>
    <mergeCell ref="B29:M29"/>
    <mergeCell ref="B34:M34"/>
    <mergeCell ref="B31:M31"/>
    <mergeCell ref="B32:M32"/>
    <mergeCell ref="B33:M33"/>
    <mergeCell ref="K7:M7"/>
    <mergeCell ref="D7:F7"/>
    <mergeCell ref="D37:G37"/>
    <mergeCell ref="D38:G38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14 D9:D14">
      <formula1>$Q$2:$Q$7</formula1>
    </dataValidation>
    <dataValidation type="list" allowBlank="1" showInputMessage="1" showErrorMessage="1" sqref="L9:L14 E9:E14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7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showWhiteSpace="0" zoomScalePageLayoutView="80" workbookViewId="0">
      <selection activeCell="A10" sqref="A10:B10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5703125" style="3" hidden="1" customWidth="1"/>
    <col min="13" max="14" width="9.140625" style="3" hidden="1" customWidth="1"/>
    <col min="15" max="15" width="11.5703125" style="7" hidden="1" customWidth="1"/>
    <col min="16" max="16" width="13.425781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12" t="s">
        <v>70</v>
      </c>
      <c r="B1" s="213"/>
      <c r="C1" s="214"/>
      <c r="D1" s="53"/>
      <c r="E1" s="54"/>
      <c r="F1" s="54"/>
      <c r="G1" s="55"/>
      <c r="H1" s="56"/>
      <c r="I1" s="195" t="s">
        <v>26</v>
      </c>
      <c r="J1" s="196"/>
      <c r="O1" s="15" t="s">
        <v>45</v>
      </c>
      <c r="P1" s="15" t="s">
        <v>46</v>
      </c>
      <c r="Q1" s="15" t="s">
        <v>47</v>
      </c>
      <c r="R1" s="15" t="s">
        <v>48</v>
      </c>
      <c r="S1" s="15" t="s">
        <v>49</v>
      </c>
      <c r="T1" s="15" t="s">
        <v>50</v>
      </c>
      <c r="U1" s="19" t="s">
        <v>51</v>
      </c>
      <c r="V1" s="2"/>
    </row>
    <row r="2" spans="1:22" ht="25.5" customHeight="1" x14ac:dyDescent="0.2">
      <c r="A2" s="215"/>
      <c r="B2" s="216"/>
      <c r="C2" s="217"/>
      <c r="D2" s="201" t="s">
        <v>131</v>
      </c>
      <c r="E2" s="170"/>
      <c r="F2" s="170"/>
      <c r="G2" s="170"/>
      <c r="H2" s="171"/>
      <c r="I2" s="197" t="s">
        <v>132</v>
      </c>
      <c r="J2" s="198"/>
      <c r="N2" s="7"/>
      <c r="O2" s="15">
        <v>1</v>
      </c>
      <c r="P2" s="15" t="s">
        <v>52</v>
      </c>
      <c r="Q2" s="16"/>
      <c r="R2" s="16"/>
      <c r="S2" s="16"/>
      <c r="T2" s="16"/>
      <c r="U2" s="19" t="s">
        <v>53</v>
      </c>
      <c r="V2" s="5"/>
    </row>
    <row r="3" spans="1:22" ht="25.5" customHeight="1" x14ac:dyDescent="0.2">
      <c r="A3" s="218"/>
      <c r="B3" s="219"/>
      <c r="C3" s="220"/>
      <c r="D3" s="82"/>
      <c r="E3" s="83"/>
      <c r="F3" s="83"/>
      <c r="G3" s="83"/>
      <c r="H3" s="84"/>
      <c r="I3" s="199" t="s">
        <v>76</v>
      </c>
      <c r="J3" s="200"/>
      <c r="K3" s="50"/>
      <c r="L3" s="50"/>
      <c r="M3" s="23"/>
    </row>
    <row r="4" spans="1:22" ht="18.75" thickBo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23"/>
    </row>
    <row r="5" spans="1:22" ht="29.25" customHeight="1" thickBot="1" x14ac:dyDescent="0.25">
      <c r="A5" s="206" t="s">
        <v>86</v>
      </c>
      <c r="B5" s="207"/>
      <c r="C5" s="187" t="s">
        <v>134</v>
      </c>
      <c r="D5" s="188"/>
      <c r="E5" s="188"/>
      <c r="F5" s="188"/>
      <c r="G5" s="189"/>
      <c r="H5" s="187" t="s">
        <v>133</v>
      </c>
      <c r="I5" s="188"/>
      <c r="J5" s="188"/>
      <c r="K5" s="188"/>
      <c r="L5" s="189"/>
      <c r="M5" s="23"/>
    </row>
    <row r="6" spans="1:22" ht="20.25" customHeight="1" thickBot="1" x14ac:dyDescent="0.25">
      <c r="A6" s="208"/>
      <c r="B6" s="209"/>
      <c r="C6" s="190" t="s">
        <v>142</v>
      </c>
      <c r="D6" s="190" t="s">
        <v>141</v>
      </c>
      <c r="E6" s="190" t="s">
        <v>143</v>
      </c>
      <c r="F6" s="190" t="s">
        <v>144</v>
      </c>
      <c r="G6" s="190" t="s">
        <v>145</v>
      </c>
      <c r="H6" s="85" t="s">
        <v>27</v>
      </c>
      <c r="I6" s="85" t="s">
        <v>28</v>
      </c>
      <c r="J6" s="85" t="s">
        <v>29</v>
      </c>
      <c r="K6" s="22" t="s">
        <v>54</v>
      </c>
      <c r="L6" s="22" t="s">
        <v>55</v>
      </c>
      <c r="M6" s="23"/>
    </row>
    <row r="7" spans="1:22" ht="127.5" customHeight="1" x14ac:dyDescent="0.2">
      <c r="A7" s="208"/>
      <c r="B7" s="209"/>
      <c r="C7" s="191"/>
      <c r="D7" s="191"/>
      <c r="E7" s="191"/>
      <c r="F7" s="191"/>
      <c r="G7" s="191"/>
      <c r="H7" s="86" t="s">
        <v>135</v>
      </c>
      <c r="I7" s="86" t="s">
        <v>136</v>
      </c>
      <c r="J7" s="86" t="s">
        <v>137</v>
      </c>
      <c r="K7" s="24" t="s">
        <v>56</v>
      </c>
      <c r="L7" s="24" t="s">
        <v>57</v>
      </c>
      <c r="M7" s="23"/>
    </row>
    <row r="8" spans="1:22" ht="12.75" customHeight="1" x14ac:dyDescent="0.2">
      <c r="A8" s="208"/>
      <c r="B8" s="209"/>
      <c r="C8" s="191"/>
      <c r="D8" s="191"/>
      <c r="E8" s="191"/>
      <c r="F8" s="191"/>
      <c r="G8" s="191"/>
      <c r="H8" s="185" t="s">
        <v>140</v>
      </c>
      <c r="I8" s="185" t="s">
        <v>139</v>
      </c>
      <c r="J8" s="185" t="s">
        <v>138</v>
      </c>
      <c r="K8" s="185" t="s">
        <v>58</v>
      </c>
      <c r="L8" s="185" t="s">
        <v>59</v>
      </c>
      <c r="M8" s="23"/>
    </row>
    <row r="9" spans="1:22" ht="29.45" customHeight="1" thickBot="1" x14ac:dyDescent="0.25">
      <c r="A9" s="210"/>
      <c r="B9" s="211"/>
      <c r="C9" s="192"/>
      <c r="D9" s="192"/>
      <c r="E9" s="192"/>
      <c r="F9" s="192"/>
      <c r="G9" s="192"/>
      <c r="H9" s="186"/>
      <c r="I9" s="186"/>
      <c r="J9" s="186"/>
      <c r="K9" s="186"/>
      <c r="L9" s="186"/>
      <c r="M9" s="23"/>
    </row>
    <row r="10" spans="1:22" ht="65.099999999999994" customHeight="1" x14ac:dyDescent="0.2">
      <c r="A10" s="202">
        <v>1</v>
      </c>
      <c r="B10" s="203"/>
      <c r="C10" s="39" t="s">
        <v>146</v>
      </c>
      <c r="D10" s="39" t="s">
        <v>147</v>
      </c>
      <c r="E10" s="39" t="s">
        <v>148</v>
      </c>
      <c r="F10" s="39" t="s">
        <v>149</v>
      </c>
      <c r="G10" s="40" t="s">
        <v>150</v>
      </c>
      <c r="H10" s="31" t="s">
        <v>30</v>
      </c>
      <c r="I10" s="32" t="s">
        <v>31</v>
      </c>
      <c r="J10" s="32" t="s">
        <v>32</v>
      </c>
      <c r="K10" s="41" t="s">
        <v>60</v>
      </c>
      <c r="L10" s="33" t="s">
        <v>61</v>
      </c>
      <c r="M10" s="23"/>
    </row>
    <row r="11" spans="1:22" ht="64.5" customHeight="1" x14ac:dyDescent="0.2">
      <c r="A11" s="204">
        <v>2</v>
      </c>
      <c r="B11" s="205"/>
      <c r="C11" s="25" t="s">
        <v>151</v>
      </c>
      <c r="D11" s="25" t="s">
        <v>152</v>
      </c>
      <c r="E11" s="39" t="s">
        <v>153</v>
      </c>
      <c r="F11" s="25" t="s">
        <v>154</v>
      </c>
      <c r="G11" s="29" t="s">
        <v>155</v>
      </c>
      <c r="H11" s="34" t="s">
        <v>33</v>
      </c>
      <c r="I11" s="35" t="s">
        <v>34</v>
      </c>
      <c r="J11" s="35" t="s">
        <v>35</v>
      </c>
      <c r="K11" s="36" t="s">
        <v>62</v>
      </c>
      <c r="L11" s="37" t="s">
        <v>63</v>
      </c>
      <c r="M11" s="23"/>
    </row>
    <row r="12" spans="1:22" ht="97.5" customHeight="1" x14ac:dyDescent="0.2">
      <c r="A12" s="204">
        <v>3</v>
      </c>
      <c r="B12" s="205"/>
      <c r="C12" s="25" t="s">
        <v>160</v>
      </c>
      <c r="D12" s="25" t="s">
        <v>159</v>
      </c>
      <c r="E12" s="39" t="s">
        <v>158</v>
      </c>
      <c r="F12" s="25" t="s">
        <v>157</v>
      </c>
      <c r="G12" s="29" t="s">
        <v>156</v>
      </c>
      <c r="H12" s="34" t="s">
        <v>36</v>
      </c>
      <c r="I12" s="35" t="s">
        <v>37</v>
      </c>
      <c r="J12" s="36" t="s">
        <v>38</v>
      </c>
      <c r="K12" s="36" t="s">
        <v>64</v>
      </c>
      <c r="L12" s="42" t="s">
        <v>65</v>
      </c>
      <c r="M12" s="23"/>
    </row>
    <row r="13" spans="1:22" ht="76.5" customHeight="1" x14ac:dyDescent="0.2">
      <c r="A13" s="204">
        <v>4</v>
      </c>
      <c r="B13" s="205"/>
      <c r="C13" s="25" t="s">
        <v>161</v>
      </c>
      <c r="D13" s="25" t="s">
        <v>162</v>
      </c>
      <c r="E13" s="39" t="s">
        <v>163</v>
      </c>
      <c r="F13" s="25" t="s">
        <v>164</v>
      </c>
      <c r="G13" s="29" t="s">
        <v>165</v>
      </c>
      <c r="H13" s="34" t="s">
        <v>39</v>
      </c>
      <c r="I13" s="36" t="s">
        <v>40</v>
      </c>
      <c r="J13" s="36" t="s">
        <v>41</v>
      </c>
      <c r="K13" s="43" t="s">
        <v>66</v>
      </c>
      <c r="L13" s="42" t="s">
        <v>67</v>
      </c>
      <c r="M13" s="23"/>
    </row>
    <row r="14" spans="1:22" ht="65.099999999999994" customHeight="1" thickBot="1" x14ac:dyDescent="0.25">
      <c r="A14" s="193">
        <v>5</v>
      </c>
      <c r="B14" s="194"/>
      <c r="C14" s="26" t="s">
        <v>166</v>
      </c>
      <c r="D14" s="26" t="s">
        <v>167</v>
      </c>
      <c r="E14" s="26" t="s">
        <v>168</v>
      </c>
      <c r="F14" s="26" t="s">
        <v>169</v>
      </c>
      <c r="G14" s="30" t="s">
        <v>170</v>
      </c>
      <c r="H14" s="46" t="s">
        <v>42</v>
      </c>
      <c r="I14" s="38" t="s">
        <v>43</v>
      </c>
      <c r="J14" s="44" t="s">
        <v>44</v>
      </c>
      <c r="K14" s="44" t="s">
        <v>68</v>
      </c>
      <c r="L14" s="45" t="s">
        <v>69</v>
      </c>
      <c r="M14" s="23"/>
    </row>
    <row r="15" spans="1:22" x14ac:dyDescent="0.2">
      <c r="A15" s="48"/>
      <c r="B15" s="48"/>
      <c r="C15" s="49"/>
      <c r="D15" s="49"/>
      <c r="E15" s="49"/>
      <c r="F15" s="49"/>
      <c r="G15" s="49"/>
      <c r="H15" s="27"/>
      <c r="I15" s="27"/>
      <c r="J15" s="27"/>
      <c r="K15" s="28"/>
      <c r="L15" s="28"/>
      <c r="M15" s="23"/>
    </row>
    <row r="16" spans="1:22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ht="48" customHeight="1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59.25" customHeight="1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79.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</sheetData>
  <sheetProtection selectLockedCells="1" selectUnlockedCells="1"/>
  <mergeCells count="23"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34A5DBCF-E2DA-4D23-9549-E8E78AF171AB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faa5c77d-98fa-4e50-863f-182fb51ee117"/>
    <ds:schemaRef ds:uri="5470fdc2-d5b4-45ba-ae4a-b04105b307e7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Risk Assessment Matrix</vt:lpstr>
      <vt:lpstr>АСОР!Strongly_emphasise_each_individual_s__71</vt:lpstr>
      <vt:lpstr>'Risk Assessment Matrix'!Заголовки_для_печати</vt:lpstr>
      <vt:lpstr>АСОР!Заголовки_для_печати</vt:lpstr>
      <vt:lpstr>'Risk Assessment Matrix'!Область_печати</vt:lpstr>
      <vt:lpstr>АСОР!Область_печати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2018-09-20T07:05:01Z</cp:lastPrinted>
  <dcterms:created xsi:type="dcterms:W3CDTF">2011-02-21T14:14:41Z</dcterms:created>
  <dcterms:modified xsi:type="dcterms:W3CDTF">2024-07-21T12:58:20Z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