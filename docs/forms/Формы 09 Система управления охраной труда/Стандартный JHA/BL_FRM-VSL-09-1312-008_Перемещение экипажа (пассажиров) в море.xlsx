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codeName="ThisWorkbook" autoCompressPictures="0"/>
  <mc:AlternateContent xmlns:mc="http://schemas.openxmlformats.org/markup-compatibility/2006">
    <mc:Choice Requires="x15">
      <x15ac:absPath xmlns:x15ac="http://schemas.microsoft.com/office/spreadsheetml/2010/11/ac" url="C:\Users\Vladislav\Desktop\SMS BOLLARD\Формы SMS\Forms 09 Система управления охраной труда\Стандартный JHA\"/>
    </mc:Choice>
  </mc:AlternateContent>
  <xr:revisionPtr revIDLastSave="0" documentId="13_ncr:1_{A98318EF-0B04-4056-9B3E-F9CF38B8518E}" xr6:coauthVersionLast="47" xr6:coauthVersionMax="47" xr10:uidLastSave="{00000000-0000-0000-0000-000000000000}"/>
  <bookViews>
    <workbookView xWindow="-120" yWindow="-120" windowWidth="29040" windowHeight="15720" tabRatio="307" activeTab="1" xr2:uid="{00000000-000D-0000-FFFF-FFFF00000000}"/>
  </bookViews>
  <sheets>
    <sheet name="АСОР" sheetId="1" r:id="rId1"/>
    <sheet name="МОР" sheetId="4" r:id="rId2"/>
  </sheets>
  <definedNames>
    <definedName name="Strongly_emphasise_each_individual_s__71" localSheetId="0">АСОР!$O$57</definedName>
    <definedName name="Strongly_emphasise_each_individual_s__71" localSheetId="1">МОР!#REF!</definedName>
    <definedName name="_xlnm.Print_Titles" localSheetId="0">АСОР!$1:$5</definedName>
    <definedName name="_xlnm.Print_Titles" localSheetId="1">МОР!$1:$2</definedName>
    <definedName name="_xlnm.Print_Area" localSheetId="0">АСОР!$A$1:$M$47</definedName>
    <definedName name="_xlnm.Print_Area" localSheetId="1">МОР!$A$1:$V$34</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5" i="1" l="1"/>
  <c r="U15" i="1"/>
  <c r="S16" i="1"/>
  <c r="U16" i="1"/>
  <c r="T15" i="1"/>
  <c r="V15" i="1"/>
  <c r="S9" i="1"/>
  <c r="U9" i="1"/>
  <c r="F9" i="1"/>
  <c r="S10" i="1"/>
  <c r="U10" i="1"/>
  <c r="F10" i="1"/>
  <c r="S11" i="1"/>
  <c r="U11" i="1"/>
  <c r="F11" i="1"/>
  <c r="S14" i="1"/>
  <c r="U14" i="1"/>
  <c r="F14" i="1"/>
  <c r="T24" i="1"/>
  <c r="V24" i="1"/>
  <c r="S24" i="1"/>
  <c r="U24" i="1"/>
  <c r="T23" i="1"/>
  <c r="V23" i="1"/>
  <c r="S23" i="1"/>
  <c r="U23" i="1"/>
  <c r="T22" i="1"/>
  <c r="V22" i="1"/>
  <c r="S22" i="1"/>
  <c r="U22" i="1"/>
  <c r="T21" i="1"/>
  <c r="V21" i="1"/>
  <c r="S21" i="1"/>
  <c r="U21" i="1"/>
  <c r="T20" i="1"/>
  <c r="V20" i="1"/>
  <c r="S20" i="1"/>
  <c r="U20" i="1"/>
  <c r="T19" i="1"/>
  <c r="V19" i="1"/>
  <c r="S19" i="1"/>
  <c r="U19" i="1"/>
  <c r="T18" i="1"/>
  <c r="V18" i="1"/>
  <c r="S18" i="1"/>
  <c r="U18" i="1"/>
  <c r="T17" i="1"/>
  <c r="V17" i="1"/>
  <c r="S17" i="1"/>
  <c r="U17" i="1"/>
  <c r="T16" i="1"/>
  <c r="V16" i="1"/>
  <c r="T14" i="1"/>
  <c r="V14" i="1"/>
  <c r="M14" i="1"/>
  <c r="T11" i="1"/>
  <c r="V11" i="1"/>
  <c r="M11" i="1"/>
  <c r="T10" i="1"/>
  <c r="V10" i="1"/>
  <c r="M10" i="1"/>
  <c r="T9" i="1"/>
  <c r="V9" i="1"/>
  <c r="M9" i="1"/>
  <c r="U8" i="1"/>
</calcChain>
</file>

<file path=xl/sharedStrings.xml><?xml version="1.0" encoding="utf-8"?>
<sst xmlns="http://schemas.openxmlformats.org/spreadsheetml/2006/main" count="185" uniqueCount="165">
  <si>
    <r>
      <rPr>
        <sz val="12"/>
        <rFont val="Arial"/>
        <family val="2"/>
      </rPr>
      <t>C</t>
    </r>
  </si>
  <si>
    <r>
      <rPr>
        <sz val="12"/>
        <rFont val="Arial"/>
        <family val="2"/>
      </rPr>
      <t>C</t>
    </r>
  </si>
  <si>
    <r>
      <rPr>
        <sz val="12"/>
        <rFont val="Arial"/>
        <family val="2"/>
      </rPr>
      <t>C</t>
    </r>
  </si>
  <si>
    <r>
      <rPr>
        <sz val="12"/>
        <rFont val="Arial"/>
        <family val="2"/>
      </rPr>
      <t>C</t>
    </r>
  </si>
  <si>
    <r>
      <rPr>
        <sz val="12"/>
        <rFont val="Arial"/>
        <family val="2"/>
      </rPr>
      <t>B</t>
    </r>
  </si>
  <si>
    <r>
      <rPr>
        <sz val="12"/>
        <rFont val="Arial"/>
        <family val="2"/>
      </rPr>
      <t>B</t>
    </r>
  </si>
  <si>
    <r>
      <rPr>
        <sz val="12"/>
        <rFont val="Arial"/>
        <family val="2"/>
      </rPr>
      <t>D</t>
    </r>
  </si>
  <si>
    <r>
      <rPr>
        <sz val="12"/>
        <rFont val="Arial"/>
        <family val="2"/>
      </rPr>
      <t>D</t>
    </r>
  </si>
  <si>
    <t>Severity</t>
  </si>
  <si>
    <t>Likelihood</t>
  </si>
  <si>
    <t>Likelihood tranf initial</t>
  </si>
  <si>
    <t>Likelihood tranf residual</t>
  </si>
  <si>
    <t>Initial</t>
  </si>
  <si>
    <t>residual</t>
  </si>
  <si>
    <t xml:space="preserve">Risk </t>
  </si>
  <si>
    <t>A</t>
  </si>
  <si>
    <t>L</t>
  </si>
  <si>
    <t>B</t>
  </si>
  <si>
    <t>M</t>
  </si>
  <si>
    <t>C</t>
  </si>
  <si>
    <t>H</t>
  </si>
  <si>
    <t>D</t>
  </si>
  <si>
    <t>E</t>
  </si>
  <si>
    <r>
      <rPr>
        <b/>
        <sz val="10.5"/>
        <rFont val="Arial"/>
        <family val="2"/>
      </rPr>
      <t>A</t>
    </r>
  </si>
  <si>
    <r>
      <rPr>
        <b/>
        <sz val="10.5"/>
        <rFont val="Arial"/>
        <family val="2"/>
      </rPr>
      <t>B</t>
    </r>
  </si>
  <si>
    <r>
      <rPr>
        <b/>
        <sz val="10.5"/>
        <rFont val="Arial"/>
        <family val="2"/>
      </rPr>
      <t>C</t>
    </r>
  </si>
  <si>
    <r>
      <rPr>
        <b/>
        <i/>
        <sz val="8.5"/>
        <color rgb="FFFFFFFF"/>
        <rFont val="Arial"/>
        <family val="2"/>
      </rPr>
      <t>1A</t>
    </r>
  </si>
  <si>
    <r>
      <rPr>
        <b/>
        <i/>
        <sz val="8.5"/>
        <color rgb="FFFFFFFF"/>
        <rFont val="Arial"/>
        <family val="2"/>
      </rPr>
      <t>1B</t>
    </r>
  </si>
  <si>
    <r>
      <rPr>
        <b/>
        <i/>
        <sz val="8.5"/>
        <color rgb="FFFFFFFF"/>
        <rFont val="Arial"/>
        <family val="2"/>
      </rPr>
      <t>1C</t>
    </r>
  </si>
  <si>
    <r>
      <rPr>
        <b/>
        <i/>
        <sz val="8.5"/>
        <color rgb="FFFFFFFF"/>
        <rFont val="Arial"/>
        <family val="2"/>
      </rPr>
      <t>2A</t>
    </r>
  </si>
  <si>
    <r>
      <rPr>
        <b/>
        <i/>
        <sz val="8.5"/>
        <color rgb="FFFFFFFF"/>
        <rFont val="Arial"/>
        <family val="2"/>
      </rPr>
      <t>2B</t>
    </r>
  </si>
  <si>
    <r>
      <rPr>
        <b/>
        <i/>
        <sz val="8.5"/>
        <color rgb="FFFFFFFF"/>
        <rFont val="Arial"/>
        <family val="2"/>
      </rPr>
      <t>2C</t>
    </r>
  </si>
  <si>
    <r>
      <rPr>
        <b/>
        <i/>
        <sz val="8.5"/>
        <color rgb="FFFFFFFF"/>
        <rFont val="Arial"/>
        <family val="2"/>
      </rPr>
      <t>3A</t>
    </r>
  </si>
  <si>
    <r>
      <rPr>
        <b/>
        <i/>
        <sz val="8.5"/>
        <color rgb="FFFFFFFF"/>
        <rFont val="Arial"/>
        <family val="2"/>
      </rPr>
      <t>3B</t>
    </r>
  </si>
  <si>
    <r>
      <rPr>
        <b/>
        <i/>
        <sz val="8.5"/>
        <rFont val="Arial"/>
        <family val="2"/>
      </rPr>
      <t>3C</t>
    </r>
  </si>
  <si>
    <r>
      <rPr>
        <b/>
        <i/>
        <sz val="8.5"/>
        <color rgb="FFFFFFFF"/>
        <rFont val="Arial"/>
        <family val="2"/>
      </rPr>
      <t>4A</t>
    </r>
  </si>
  <si>
    <r>
      <rPr>
        <b/>
        <i/>
        <sz val="8.5"/>
        <rFont val="Arial"/>
        <family val="2"/>
      </rPr>
      <t>4B</t>
    </r>
  </si>
  <si>
    <r>
      <rPr>
        <b/>
        <i/>
        <sz val="8.5"/>
        <rFont val="Arial"/>
        <family val="2"/>
      </rPr>
      <t>4C</t>
    </r>
  </si>
  <si>
    <r>
      <rPr>
        <b/>
        <i/>
        <sz val="8.5"/>
        <rFont val="Arial"/>
        <family val="2"/>
      </rPr>
      <t>5A</t>
    </r>
  </si>
  <si>
    <r>
      <rPr>
        <b/>
        <i/>
        <sz val="8.5"/>
        <rFont val="Arial"/>
        <family val="2"/>
      </rPr>
      <t>5B</t>
    </r>
  </si>
  <si>
    <r>
      <rPr>
        <b/>
        <i/>
        <sz val="8.5"/>
        <color theme="0"/>
        <rFont val="Arial"/>
        <family val="2"/>
      </rPr>
      <t>5C</t>
    </r>
  </si>
  <si>
    <t>Occurred in the Company more than once in the last year (ashore or afloat)</t>
  </si>
  <si>
    <t>Occurred in the Company repeatedly in the last year (ashore or afloat)</t>
  </si>
  <si>
    <t>Likely</t>
  </si>
  <si>
    <t>Very Likely</t>
  </si>
  <si>
    <t>1D</t>
  </si>
  <si>
    <t>1E</t>
  </si>
  <si>
    <t>2D</t>
  </si>
  <si>
    <t>2E</t>
  </si>
  <si>
    <t>3D</t>
  </si>
  <si>
    <t>3E</t>
  </si>
  <si>
    <t>4D</t>
  </si>
  <si>
    <t>4E</t>
  </si>
  <si>
    <t>5D</t>
  </si>
  <si>
    <t>5E</t>
  </si>
  <si>
    <t xml:space="preserve">Травмы персонала из-за "пропущенного шага (балясины)" или падения между судами. Нельзя исключать и более серьезные инциденты.  Контактное повреждение перегрузочных емкостей. Травмы персонала из-за плохого освещения и неправильной оценки шага. Нельзя сбрасывать со счетов более серьезный инцидент.
</t>
  </si>
  <si>
    <t>АНАЛИЗ СТЕПЕНИ ОПАСНОСТИ РАБОТ (АСОР)</t>
  </si>
  <si>
    <t>Название судна</t>
  </si>
  <si>
    <t xml:space="preserve"> Дата</t>
  </si>
  <si>
    <t xml:space="preserve"> Исходный риск</t>
  </si>
  <si>
    <t xml:space="preserve"> Оборудование</t>
  </si>
  <si>
    <t xml:space="preserve"> Описание работ</t>
  </si>
  <si>
    <t>Индивидуальные спасательные средства</t>
  </si>
  <si>
    <t>FRM-VSL-008</t>
  </si>
  <si>
    <t xml:space="preserve"> Номер оценки рисков</t>
  </si>
  <si>
    <t xml:space="preserve"> Остаточный риск</t>
  </si>
  <si>
    <t>Этап</t>
  </si>
  <si>
    <t>Этапы работ</t>
  </si>
  <si>
    <t>Источник опасности / Энергия / Сценарий потенциального несчастного случая</t>
  </si>
  <si>
    <t>Степень тяжести</t>
  </si>
  <si>
    <t>Вероятность</t>
  </si>
  <si>
    <t>Исходный риск</t>
  </si>
  <si>
    <t>Меры контроля для снижения риска</t>
  </si>
  <si>
    <t>Риск</t>
  </si>
  <si>
    <t>Швартовка к другому судну</t>
  </si>
  <si>
    <t>Травмы персонала из-за повреждения или обрыва швартовного каната или жесткого контакта с другим судном. Повреждение имущества в результате чрезмерной нагрузки на швартовное оборудование или жесткого контакта с другим судном. Травмы с потерей рабочего времени. Не исключен летальный исход. Повреждение кранцев/фальщборта, требующее ремонта или замены. Повреждение буксира.</t>
  </si>
  <si>
    <t>Перед работой следует провести инструктаж о используемом оборудовании и механизмах. Между палубой буксира и людьми на другом буксире должна быть радиосвязь или четкие сигналы руками.  Персонал на обоих буксирах должен быть одет в соответствующие СИЗ, каски, защитные ботинки, перчатки, спасательные жилеты и защитные очки. Швартовные тросы должны быть проверены перед использованием. Швартовное оборудование/точки крепления должны быть проверены перед швартовкой.  Кранцы буксира должны быть в хорошем состоянии и находится на штатных местах.  Движение двигателя буксира и АПС должны быть проверены перед швартовкой. Только с разрешения капитанов буксиров разрешается швартовка. Следуйте указаниям порта СУДС (п. Тамань). Надлежащее освещение. Швартоваться необходимо как можно ближе, чтобы минимизировать риск обрыва швартовых. Надежно закрепить швартовые лини, чтобы предотвратить свободное движение. Выровнять лоц порты буксиров. Плотно закрепить швартовые лини перед пересадкой персонала. Экипаж буксира должен находиться рядом с дверью и открыть дверь после закрепления швартовых. Провести пассажира безопасным способом. Закройте дверь после пересадки.</t>
  </si>
  <si>
    <t xml:space="preserve">Неконтролируемое движение судна во время стоянки
</t>
  </si>
  <si>
    <t>Травмы персонала в результате скольжения, падения или падения между судами.  Повреждение трапа в результате движения судна. Потеря рабочего времени. Не исключены более серьезные травмы. Повреждения буксира.</t>
  </si>
  <si>
    <t>Необходимо использовать достаточное количество швартовых линий, чтобы предотвратить навал судов друг на друга. Переход должен осуществляться только после подтверждения безопасности капитаном  судна. Капитан должен оценить погодные условия перед переходом. Весь персонал должен быть одет в спасательные жилеты при переходе. Спасательное оборудование должно быть на месте.</t>
  </si>
  <si>
    <t xml:space="preserve">Перемещение персонала между буксирами. Перемещение в ночное время. 
</t>
  </si>
  <si>
    <t>Травмы персонала из-за "пропущенного шага (балясины)" или падения между ушками. Нельзя исключать и более серьезный инцидент. Контактное повреждение перегрузочных емкостей. Травмы персонала из-за плохого освещения и неправильной оценки шага. Нельзя сбрасывать со счетов более серьезный инцидент.</t>
  </si>
  <si>
    <t>Офицер должен оценить погодные условия. Лоц. порты на буксирах (судах) должны быть выровнены и находиться как можно ближе. . При пересадке персонал должен быть одет в одобренные спасательные жилеты. Спасательное оборудование должно находиться рядом с зонами пересадки на обоих судах. Зона пересадки должна быть хорошо освещена. Пересадка должна осуществляться только после подтверждения капитанами обоих судов. Зона перегрузки на обоих судах должна быть свободна от препятствий и жира. Члены экипажа должны находиться в зоне перегрузки на обоих судах для оказания помощи персоналу. Пересадка людей в соответствии с процедурой.</t>
  </si>
  <si>
    <t>Риски, не выявленные персоналом, переходящим с одного судна на другое. Переход лоцманов/властей с одного судна на другое. Переход в ночное время.</t>
  </si>
  <si>
    <t>Офицер должен оценить погодные условия. При пересадке персонал должен быть одет в одобренные спасательные жилеты. Спасательное оборудование должно находиться рядом с зонами пересадки на обоих судах. Зона пересадки должна быть хорошо освещена. Пересадка должна осуществляться только после подтверждения капитанами обоих судов. Пересадка лоцманов должна осуществляться через специально отведенную зону пересадки. Зона пересадки на обоих судах должна быть свободна от препятствий и жира. Члены экипажа должны находиться в зоне пересадки на обоих судах для оказания помощи персоналу. Лоцман не должен нести багаж при пересадке с одного судна на другое. Пересадка лоцмана должна осуществляться только по комбинированному трапу при высоте борта более 9м (СОЛАС). Процедура пересадки должна применятся.</t>
  </si>
  <si>
    <t>Работа в жарких/холодных/ветреных/снежных/дождевых погодных условиях и ночью.</t>
  </si>
  <si>
    <t>Травмы персонала из-за жары. Истощение и поскальзывание/хождение по скользким (мокрым/покрытым льдом) поверхностям. Обледенение оборудования.</t>
  </si>
  <si>
    <t>Необходимо регулярно проводить беседы о методах работы в плохую погоду. Система планового тех. обслуживания должна быть внедрена и применятся. Должны быть установлены погодные параметры для безопасной работы в море. Одевайтесь в соответствии с погодными условиями. Оставайтесь сухими. Ограничьте время пребывания на улице, регулярно меняйте вахтенный персонал. Персонал должен носить соответствующие СИЗ (каски, защитные ботинки, перчатки, защитные очки, комбинезоны и спасательные жилеты). Будьте внимательны к условиям.  Хорошее освещение.  Четкая связь между всеми участниками.  Храните канаты в теплых и закрытых помещениях, когда они не используются.  Используйте песок или другую смесь на покрытой льдом палубе. Используйте деревянные инструменты для удаления льда с крышек, лебедок и других поверхностей.</t>
  </si>
  <si>
    <t>Человек за бортом</t>
  </si>
  <si>
    <t>Защитные ограждения/леера и т.д. должны поддерживаться в хорошем состоянии.  Лоц. порты должны быть закрыты, когда вы находитесь в море. Члены экипажа должны носить СИЗ соответствующие выполняемой ими работе.  Спасательное оборудование должно регулярно проверяться и тестироваться.</t>
  </si>
  <si>
    <t xml:space="preserve">Травма с потерей рабочего времени. Не исключен летальный исход. </t>
  </si>
  <si>
    <t xml:space="preserve"> АСОР подлежит проверке в конце каждой смены с целью определения дополнительных / других опасностей. Анализ степени опасности работ подлежит обсуждению на инструктаже в начале каждой смены как минимум.</t>
  </si>
  <si>
    <t xml:space="preserve">ПРИМЕЧАНИЕ: Если вы вставите строки сверху, колонка «Исходный риск» не окрасится в цвет автоматически. См. вкладку «Матрица оценки риска» и добавьте соответствующий цвет вручную. </t>
  </si>
  <si>
    <r>
      <rPr>
        <b/>
        <sz val="10"/>
        <color rgb="FF000000"/>
        <rFont val="Arial"/>
        <family val="2"/>
        <charset val="204"/>
      </rPr>
      <t xml:space="preserve">В рамках процедур ООО БОЛЛАРД по предварительному планированию работ, </t>
    </r>
    <r>
      <rPr>
        <b/>
        <i/>
        <sz val="10"/>
        <color rgb="FF000000"/>
        <rFont val="Arial"/>
        <family val="2"/>
        <charset val="204"/>
      </rPr>
      <t>необходимо</t>
    </r>
    <r>
      <rPr>
        <b/>
        <sz val="10"/>
        <color rgb="FF000000"/>
        <rFont val="Arial"/>
        <family val="2"/>
        <charset val="204"/>
      </rPr>
      <t xml:space="preserve"> провести задокументированный инструктаж на рабочем месте. Все рабочие, участвующие в выполнении работ, должны присутствовать на инструктаже на рабочем месте. После инструктажа </t>
    </r>
    <r>
      <rPr>
        <b/>
        <i/>
        <sz val="10"/>
        <color rgb="FF000000"/>
        <rFont val="Arial"/>
        <family val="2"/>
        <charset val="204"/>
      </rPr>
      <t>следует</t>
    </r>
    <r>
      <rPr>
        <b/>
        <sz val="10"/>
        <color rgb="FF000000"/>
        <rFont val="Arial"/>
        <family val="2"/>
        <charset val="204"/>
      </rPr>
      <t xml:space="preserve"> передать Журнал инструктажа на рабочем месте вахтенному офицеру на мостике или в машинном отделении в зависимости от обстоятельств для внесения записи о проведенном инструктаже. </t>
    </r>
  </si>
  <si>
    <t>Использование подготовленного АСОР как основы для инструктажа на рабочем месте.</t>
  </si>
  <si>
    <t>Обсуждение всех выполняемых этапов работ.</t>
  </si>
  <si>
    <t>Полный обзор и обсуждение составленного АСОР с особым вниманием на выявленные опасности и методы их контроля / устранения.</t>
  </si>
  <si>
    <t>Подробное информирование о потенциально опасных факторах по каждому этапу работ;</t>
  </si>
  <si>
    <t xml:space="preserve"> * Проследите, чтобы все выявленные дополнительные опасные факторы прошли оценку, сведены к минимуму и были отмечены в разделе ниже.</t>
  </si>
  <si>
    <t>Назначение обязанностей каждого работника в составе рабочего персонала.</t>
  </si>
  <si>
    <t>Обеспечение осмотра всех требуемых инструментов перед использованием, а также их надежного, исправного и рабочего состояния.</t>
  </si>
  <si>
    <t>Контроль ознакомления всеми членами рабочей группы с используемыми инструментами или оборудованием, а также соответствующих знаний и умений лица, назначенного для работы с инструментом или оборудованием.</t>
  </si>
  <si>
    <t>Учет эргономических факторов при использовании инструментов или других действий, которые могут потребовать повторяемых движений в течение длительного времени. Инструктирование персонала относительно смены руки, смены положения тела, необходимости регулярных перерывов, а также принятие мер по замене персонала, если потребуется при выполнении такого рода работ.</t>
  </si>
  <si>
    <t>Обеспечение наличия и использования соответствующих исправных СИЗ.</t>
  </si>
  <si>
    <t>Проверка исправности аппаратуры связи, методы связи согласованы и опробованы.</t>
  </si>
  <si>
    <t>Обеспечение понимания всеми периметра участка работ, установки достаточных предупреждающих знаков, а также наличия копии наряда-допуска и АСОР при входе на рабочую площадку.</t>
  </si>
  <si>
    <t>Организация осмотра, уборки и освобождения рабочих зон в зависимости от обстоятельств.</t>
  </si>
  <si>
    <t>Настойчивая рекомендация в отношении полномочий и обязанности каждого работника по «остановке работ» при обнаружении условия, небезопасного для персонала, оборудования, или которое может привести к загрязнению.</t>
  </si>
  <si>
    <t>После выполнения всего вышеизложенного проверьте еще раз имеются ли у кого-либо сомнения, вопросы или другие требования.                                                                                                                                                              Если нет, внесите запись в журнал на мостике/в машинном отделении и приступайте к производству работ.</t>
  </si>
  <si>
    <t>* Руководитель работ несет ответственность за оценку дополнительных рисков в нижеследующих ячейках по каждому этапу, которые могут иметься в результате условий на месте, таких как погодные условия, волнение моря или тип судна.</t>
  </si>
  <si>
    <t xml:space="preserve"> ФИО</t>
  </si>
  <si>
    <t xml:space="preserve"> Должность</t>
  </si>
  <si>
    <t>Подпись</t>
  </si>
  <si>
    <t>Замечания, если имеются «БЕЗОПАСНОСТЬ - МОЯ ЛИЧНАЯ ЦЕННОСТЬ»</t>
  </si>
  <si>
    <t>Я присутствовал в течение всего инструктажа на рабочем месте. Проставляя свою подпись, я заявляю, что понимаю опасные факторы, предъявляемые ко мне требования, и подтверждаю свою соответствующую квалификацию и опыт для выполнения данных работ.</t>
  </si>
  <si>
    <t>ФИО Руководителя работ</t>
  </si>
  <si>
    <t>Дата инструктажа на рабочем месте</t>
  </si>
  <si>
    <t>Обзор АСОР после выполнения работ</t>
  </si>
  <si>
    <t>Отметьте что-либо в отношении данного АСОР, что может быть оптимизировано, например, конкретные этапы работ или дополнительные риски, которые следует включить как постоянные.</t>
  </si>
  <si>
    <t>Руководитель работ должен приобщить к документации составленный и проверенный АСОР.</t>
  </si>
  <si>
    <t>МАТРИЦА ОЦЕНКИ РИСКОВ</t>
  </si>
  <si>
    <t>Последствия</t>
  </si>
  <si>
    <t>Возрастающая вероятность</t>
  </si>
  <si>
    <t>Нет сведений о подобном в сфере морских судов обеспечения (ни на берегу, ни в плавании)</t>
  </si>
  <si>
    <t>Редкие сведения в сфере морских судов обеспечения (на берегу или в плавании)</t>
  </si>
  <si>
    <t xml:space="preserve"> Крайне маловероятно</t>
  </si>
  <si>
    <t>Люди</t>
  </si>
  <si>
    <t>Окружающая среда</t>
  </si>
  <si>
    <t>Имущество</t>
  </si>
  <si>
    <t>Травмы с оказанием доврачебной помощи</t>
  </si>
  <si>
    <t>Незначительное воздействие</t>
  </si>
  <si>
    <t>Незначительное повреждение 
&lt; 500€ / евро</t>
  </si>
  <si>
    <t xml:space="preserve"> Задержка 1–12 часов</t>
  </si>
  <si>
    <t xml:space="preserve"> Травма, ведущая к потере трудоспособности или к частичной нетрудоспособности</t>
  </si>
  <si>
    <t xml:space="preserve"> Задержка 12–48 часов</t>
  </si>
  <si>
    <t>Постоянная утрата трудоспособности или летальный исход</t>
  </si>
  <si>
    <t xml:space="preserve"> Значительное повреждение 
&lt;500.000€ / евро</t>
  </si>
  <si>
    <t>Задержка 48 часов – 7 дней</t>
  </si>
  <si>
    <t>Более 1 смертельного случая</t>
  </si>
  <si>
    <t>Обширное повреждение
&gt; 500.000€ / евро</t>
  </si>
  <si>
    <t>Сильное негативное воздействие</t>
  </si>
  <si>
    <t>Задержка более 7 дней</t>
  </si>
  <si>
    <t>Перемещение экипажа/персонала в море</t>
  </si>
  <si>
    <t xml:space="preserve"> Учетная документация по инструктажам на рабочем месте</t>
  </si>
  <si>
    <r>
      <rPr>
        <i/>
        <sz val="10"/>
        <color rgb="FF000000"/>
        <rFont val="Arial"/>
        <family val="2"/>
        <charset val="204"/>
      </rPr>
      <t>Необходимо</t>
    </r>
    <r>
      <rPr>
        <sz val="10"/>
        <color rgb="FF000000"/>
        <rFont val="Arial"/>
        <family val="2"/>
        <charset val="204"/>
      </rPr>
      <t xml:space="preserve"> проверить следующие пункты:</t>
    </r>
  </si>
  <si>
    <t>BL_FRM-VSL-09-1312-001</t>
  </si>
  <si>
    <t>File 09 / Папка 09</t>
  </si>
  <si>
    <t>Retention 3 Year / Срок хранения документа 3 года</t>
  </si>
  <si>
    <t xml:space="preserve"> Репутация</t>
  </si>
  <si>
    <t xml:space="preserve"> График</t>
  </si>
  <si>
    <t>Происходило в Компании в прошлом году или более одного раза в год в сфере морских судов обеспечения (на берегу или в плавании)</t>
  </si>
  <si>
    <t>Маловероятно</t>
  </si>
  <si>
    <t>Возможно</t>
  </si>
  <si>
    <t>Незначительное негативное воздействие</t>
  </si>
  <si>
    <t>Задержка 1 час</t>
  </si>
  <si>
    <t>Медицинская помощь, травма с ограничением рабочих функций</t>
  </si>
  <si>
    <t>Несущественное воздействие 
&lt; 10 литров</t>
  </si>
  <si>
    <t>Несущественное повреждение 
&lt; 5000€ / евро</t>
  </si>
  <si>
    <t>Несущественное негативное воздействие</t>
  </si>
  <si>
    <t>Умеренное воздействие
 менее - 1 баррель</t>
  </si>
  <si>
    <t>Умеренное повреждение 
&lt;50.000€ / евро</t>
  </si>
  <si>
    <t>Умеренное негативное воздействие</t>
  </si>
  <si>
    <t>Значительное воздействие
1-10 баррелей</t>
  </si>
  <si>
    <t>Значительное негативное воздействие</t>
  </si>
  <si>
    <t>Сильное воздействие
&gt; 10  баррелей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</si>
</sst>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x14ac:knownFonts="1">
    <font>
      <sz val="10"/>
      <name val="Arial"/>
    </font>
    <font>
      <sz val="10"/>
      <color indexed="8"/>
      <name val="Arial"/>
      <family val="2"/>
    </font>
    <font>
      <sz val="14"/>
      <name val="Arial"/>
      <family val="2"/>
    </font>
    <font>
      <b/>
      <i/>
      <sz val="12"/>
      <name val="Arial"/>
      <family val="2"/>
    </font>
    <font>
      <sz val="12"/>
      <name val="Arial"/>
      <family val="2"/>
    </font>
    <font>
      <sz val="10"/>
      <name val="Arial"/>
      <family val="2"/>
    </font>
    <font>
      <b/>
      <sz val="10"/>
      <name val="Arial"/>
      <family val="2"/>
    </font>
    <font>
      <sz val="10"/>
      <color indexed="8"/>
      <name val="Arial"/>
      <family val="2"/>
    </font>
    <font>
      <sz val="10"/>
      <name val="Arial"/>
      <family val="2"/>
    </font>
    <font>
      <b/>
      <sz val="12"/>
      <name val="Arial"/>
      <family val="2"/>
    </font>
    <font>
      <b/>
      <sz val="10"/>
      <color indexed="8"/>
      <name val="Arial"/>
      <family val="2"/>
    </font>
    <font>
      <b/>
      <sz val="14"/>
      <name val="Arial"/>
      <family val="2"/>
    </font>
    <font>
      <sz val="14"/>
      <color indexed="62"/>
      <name val="Arial Black"/>
      <family val="2"/>
    </font>
    <font>
      <sz val="9"/>
      <color indexed="18"/>
      <name val="Arial"/>
      <family val="2"/>
    </font>
    <font>
      <b/>
      <sz val="11"/>
      <name val="Arial"/>
      <family val="2"/>
    </font>
    <font>
      <sz val="12"/>
      <name val="Arial"/>
      <family val="2"/>
    </font>
    <font>
      <b/>
      <sz val="18"/>
      <name val="Arial"/>
      <family val="2"/>
    </font>
    <font>
      <sz val="8"/>
      <name val="Arial"/>
      <family val="2"/>
    </font>
    <font>
      <b/>
      <sz val="8.5"/>
      <name val="Arial"/>
      <family val="2"/>
    </font>
    <font>
      <b/>
      <sz val="10.5"/>
      <name val="Arial"/>
      <family val="2"/>
    </font>
    <font>
      <b/>
      <u/>
      <sz val="8"/>
      <name val="Arial"/>
      <family val="2"/>
    </font>
    <font>
      <sz val="8.5"/>
      <name val="Arial"/>
      <family val="2"/>
    </font>
    <font>
      <b/>
      <i/>
      <sz val="8.5"/>
      <name val="Arial"/>
      <family val="2"/>
    </font>
    <font>
      <sz val="10"/>
      <color theme="0"/>
      <name val="Arial"/>
      <family val="2"/>
    </font>
    <font>
      <b/>
      <sz val="10"/>
      <color theme="0"/>
      <name val="Arial"/>
      <family val="2"/>
    </font>
    <font>
      <b/>
      <sz val="18"/>
      <color rgb="FFFF0000"/>
      <name val="Arial"/>
      <family val="2"/>
    </font>
    <font>
      <b/>
      <i/>
      <sz val="8.5"/>
      <color rgb="FFFFFFFF"/>
      <name val="Arial"/>
      <family val="2"/>
    </font>
    <font>
      <b/>
      <i/>
      <sz val="8.5"/>
      <color theme="0"/>
      <name val="Arial"/>
      <family val="2"/>
    </font>
    <font>
      <sz val="12"/>
      <color theme="0"/>
      <name val="Arial"/>
      <family val="2"/>
    </font>
    <font>
      <sz val="9"/>
      <color theme="0"/>
      <name val="Arial"/>
      <family val="2"/>
    </font>
    <font>
      <b/>
      <sz val="16"/>
      <color theme="0"/>
      <name val="Arial"/>
      <family val="2"/>
    </font>
    <font>
      <b/>
      <sz val="18"/>
      <color theme="0"/>
      <name val="Arial"/>
      <family val="2"/>
    </font>
    <font>
      <b/>
      <i/>
      <sz val="12"/>
      <color theme="0"/>
      <name val="Arial"/>
      <family val="2"/>
    </font>
    <font>
      <sz val="12"/>
      <name val="Verdana"/>
      <family val="2"/>
    </font>
    <font>
      <b/>
      <i/>
      <sz val="10"/>
      <color rgb="FF000000"/>
      <name val="Arial"/>
      <family val="2"/>
      <charset val="204"/>
    </font>
    <font>
      <b/>
      <sz val="10"/>
      <color rgb="FF000000"/>
      <name val="Arial"/>
      <family val="2"/>
      <charset val="204"/>
    </font>
    <font>
      <sz val="10"/>
      <color rgb="FF000000"/>
      <name val="Arial"/>
      <family val="2"/>
    </font>
    <font>
      <sz val="8"/>
      <color rgb="FF006666"/>
      <name val="Arial Black"/>
      <family val="2"/>
      <charset val="204"/>
    </font>
    <font>
      <sz val="8"/>
      <color rgb="FF333399"/>
      <name val="Arial Black"/>
      <family val="2"/>
      <charset val="204"/>
    </font>
    <font>
      <b/>
      <sz val="12"/>
      <name val="Verdana"/>
      <family val="2"/>
    </font>
    <font>
      <sz val="11"/>
      <color theme="0"/>
      <name val="Arial"/>
      <family val="2"/>
      <charset val="204"/>
    </font>
    <font>
      <sz val="10"/>
      <color rgb="FF000000"/>
      <name val="Arial"/>
      <family val="2"/>
      <charset val="204"/>
    </font>
    <font>
      <i/>
      <sz val="10"/>
      <color rgb="FF000000"/>
      <name val="Arial"/>
      <family val="2"/>
      <charset val="204"/>
    </font>
    <font>
      <sz val="10"/>
      <color indexed="8"/>
      <name val="Arial"/>
      <family val="2"/>
      <charset val="204"/>
    </font>
    <font>
      <b/>
      <sz val="11"/>
      <name val="Arial"/>
      <family val="2"/>
      <charset val="204"/>
    </font>
  </fonts>
  <fills count="9">
    <fill>
      <patternFill patternType="none"/>
    </fill>
    <fill>
      <patternFill patternType="gray125"/>
    </fill>
    <fill>
      <patternFill patternType="solid">
        <fgColor theme="0"/>
        <bgColor indexed="64"/>
      </patternFill>
    </fill>
    <fill>
      <patternFill patternType="solid">
        <fgColor rgb="FFD9D9D9"/>
        <bgColor indexed="64"/>
      </patternFill>
    </fill>
    <fill>
      <patternFill patternType="solid">
        <fgColor rgb="FF00B050"/>
        <bgColor indexed="64"/>
      </patternFill>
    </fill>
    <fill>
      <patternFill patternType="solid">
        <fgColor rgb="FFFFFF00"/>
        <bgColor indexed="64"/>
      </patternFill>
    </fill>
    <fill>
      <patternFill patternType="solid">
        <fgColor rgb="FFC00000"/>
        <bgColor indexed="64"/>
      </patternFill>
    </fill>
    <fill>
      <patternFill patternType="solid">
        <fgColor rgb="FFBFBFBF"/>
        <bgColor indexed="64"/>
      </patternFill>
    </fill>
    <fill>
      <patternFill patternType="solid">
        <fgColor rgb="FF008E85"/>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style="thin">
        <color indexed="64"/>
      </right>
      <top style="thin">
        <color indexed="64"/>
      </top>
      <bottom style="medium">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s>
  <cellStyleXfs count="1">
    <xf numFmtId="0" fontId="0" fillId="0" borderId="0"/>
  </cellStyleXfs>
  <cellXfs count="200">
    <xf numFmtId="0" fontId="0" fillId="0" borderId="0" xfId="0"/>
    <xf numFmtId="0" fontId="13" fillId="2" borderId="0" xfId="0" applyFont="1" applyFill="1"/>
    <xf numFmtId="0" fontId="16" fillId="2" borderId="0" xfId="0" applyFont="1" applyFill="1" applyAlignment="1">
      <alignment horizontal="right" vertical="center"/>
    </xf>
    <xf numFmtId="0" fontId="0" fillId="2" borderId="0" xfId="0" applyFill="1" applyAlignment="1">
      <alignment vertical="center" wrapText="1"/>
    </xf>
    <xf numFmtId="0" fontId="15" fillId="2" borderId="0" xfId="0" applyFont="1" applyFill="1" applyAlignment="1">
      <alignment vertical="center"/>
    </xf>
    <xf numFmtId="0" fontId="2" fillId="2" borderId="0" xfId="0" applyFont="1" applyFill="1" applyAlignment="1">
      <alignment horizontal="right" vertical="center"/>
    </xf>
    <xf numFmtId="0" fontId="0" fillId="2" borderId="1" xfId="0" applyFill="1" applyBorder="1" applyAlignment="1" applyProtection="1">
      <alignment horizontal="left" vertical="center" wrapText="1"/>
      <protection locked="0"/>
    </xf>
    <xf numFmtId="0" fontId="5" fillId="2" borderId="0" xfId="0" applyFont="1" applyFill="1" applyAlignment="1">
      <alignment vertical="center" wrapText="1"/>
    </xf>
    <xf numFmtId="0" fontId="0" fillId="2" borderId="0" xfId="0" applyFill="1" applyAlignment="1">
      <alignment horizontal="left" vertical="center" wrapText="1"/>
    </xf>
    <xf numFmtId="0" fontId="0" fillId="2" borderId="0" xfId="0" applyFill="1" applyAlignment="1">
      <alignment horizontal="center" vertical="center" wrapText="1"/>
    </xf>
    <xf numFmtId="14" fontId="5" fillId="2" borderId="1" xfId="0" applyNumberFormat="1" applyFont="1" applyFill="1" applyBorder="1" applyAlignment="1" applyProtection="1">
      <alignment horizontal="left" vertical="center" wrapText="1"/>
      <protection locked="0"/>
    </xf>
    <xf numFmtId="0" fontId="5" fillId="2" borderId="0" xfId="0" applyFont="1" applyFill="1" applyAlignment="1">
      <alignment wrapText="1"/>
    </xf>
    <xf numFmtId="0" fontId="9" fillId="2" borderId="0" xfId="0" applyFont="1" applyFill="1" applyAlignment="1">
      <alignment vertical="center" wrapText="1"/>
    </xf>
    <xf numFmtId="0" fontId="4" fillId="2" borderId="1" xfId="0" applyFont="1" applyFill="1" applyBorder="1" applyAlignment="1" applyProtection="1">
      <alignment horizontal="center" vertical="center" wrapText="1"/>
      <protection locked="0"/>
    </xf>
    <xf numFmtId="0" fontId="5" fillId="2" borderId="1" xfId="0" applyFont="1" applyFill="1" applyBorder="1" applyAlignment="1">
      <alignment vertical="center" wrapText="1"/>
    </xf>
    <xf numFmtId="0" fontId="0" fillId="2" borderId="1" xfId="0" applyFill="1" applyBorder="1" applyAlignment="1">
      <alignment vertical="center" wrapText="1"/>
    </xf>
    <xf numFmtId="0" fontId="5" fillId="2" borderId="0" xfId="0" applyFont="1" applyFill="1" applyAlignment="1">
      <alignment horizontal="left" vertical="center" wrapText="1"/>
    </xf>
    <xf numFmtId="0" fontId="5" fillId="2" borderId="0" xfId="0" applyFont="1" applyFill="1" applyAlignment="1">
      <alignment horizontal="center" vertical="center" wrapText="1"/>
    </xf>
    <xf numFmtId="0" fontId="5" fillId="2" borderId="4" xfId="0" applyFont="1" applyFill="1" applyBorder="1" applyAlignment="1">
      <alignment vertical="center" wrapText="1"/>
    </xf>
    <xf numFmtId="1" fontId="0" fillId="2" borderId="1" xfId="0" applyNumberFormat="1" applyFill="1" applyBorder="1" applyAlignment="1">
      <alignment vertical="center" wrapText="1"/>
    </xf>
    <xf numFmtId="1" fontId="4" fillId="2" borderId="1" xfId="0" applyNumberFormat="1" applyFont="1" applyFill="1" applyBorder="1" applyAlignment="1" applyProtection="1">
      <alignment horizontal="center" vertical="center" wrapText="1"/>
      <protection locked="0"/>
    </xf>
    <xf numFmtId="0" fontId="19" fillId="3" borderId="5" xfId="0" applyFont="1" applyFill="1" applyBorder="1" applyAlignment="1">
      <alignment horizontal="justify" vertical="top" wrapText="1"/>
    </xf>
    <xf numFmtId="0" fontId="0" fillId="2" borderId="0" xfId="0" applyFill="1"/>
    <xf numFmtId="0" fontId="17" fillId="0" borderId="6" xfId="0" applyFont="1" applyBorder="1" applyAlignment="1">
      <alignment horizontal="center" vertical="top" wrapText="1"/>
    </xf>
    <xf numFmtId="0" fontId="21" fillId="0" borderId="1" xfId="0" applyFont="1" applyBorder="1" applyAlignment="1">
      <alignment horizontal="center" vertical="center" wrapText="1"/>
    </xf>
    <xf numFmtId="0" fontId="21" fillId="0" borderId="7" xfId="0" applyFont="1" applyBorder="1" applyAlignment="1">
      <alignment horizontal="center" vertical="center" wrapText="1"/>
    </xf>
    <xf numFmtId="0" fontId="26" fillId="2" borderId="0" xfId="0" applyFont="1" applyFill="1" applyAlignment="1">
      <alignment horizontal="center" vertical="center" wrapText="1"/>
    </xf>
    <xf numFmtId="0" fontId="22" fillId="2" borderId="0" xfId="0" applyFont="1" applyFill="1" applyAlignment="1">
      <alignment horizontal="center" vertical="center" wrapText="1"/>
    </xf>
    <xf numFmtId="0" fontId="21" fillId="0" borderId="8" xfId="0" applyFont="1" applyBorder="1" applyAlignment="1">
      <alignment horizontal="center" vertical="center" wrapText="1"/>
    </xf>
    <xf numFmtId="0" fontId="21" fillId="0" borderId="9" xfId="0" applyFont="1" applyBorder="1" applyAlignment="1">
      <alignment horizontal="center" vertical="center" wrapText="1"/>
    </xf>
    <xf numFmtId="0" fontId="26" fillId="4" borderId="10" xfId="0" applyFont="1" applyFill="1" applyBorder="1" applyAlignment="1">
      <alignment horizontal="center" vertical="center" wrapText="1"/>
    </xf>
    <xf numFmtId="0" fontId="26" fillId="4" borderId="11" xfId="0" applyFont="1" applyFill="1" applyBorder="1" applyAlignment="1">
      <alignment horizontal="center" vertical="center" wrapText="1"/>
    </xf>
    <xf numFmtId="0" fontId="22" fillId="5" borderId="12" xfId="0" applyFont="1" applyFill="1" applyBorder="1" applyAlignment="1">
      <alignment horizontal="center" vertical="center" wrapText="1"/>
    </xf>
    <xf numFmtId="0" fontId="26" fillId="4" borderId="2" xfId="0" applyFont="1" applyFill="1" applyBorder="1" applyAlignment="1">
      <alignment horizontal="center" vertical="center" wrapText="1"/>
    </xf>
    <xf numFmtId="0" fontId="26" fillId="4" borderId="1" xfId="0" applyFont="1" applyFill="1" applyBorder="1" applyAlignment="1">
      <alignment horizontal="center" vertical="center" wrapText="1"/>
    </xf>
    <xf numFmtId="0" fontId="22" fillId="5" borderId="1" xfId="0" applyFont="1" applyFill="1" applyBorder="1" applyAlignment="1">
      <alignment horizontal="center" vertical="center" wrapText="1"/>
    </xf>
    <xf numFmtId="0" fontId="22" fillId="5" borderId="3" xfId="0" applyFont="1" applyFill="1" applyBorder="1" applyAlignment="1">
      <alignment horizontal="center" vertical="center" wrapText="1"/>
    </xf>
    <xf numFmtId="0" fontId="22" fillId="5" borderId="7" xfId="0" applyFont="1" applyFill="1" applyBorder="1" applyAlignment="1">
      <alignment horizontal="center" vertical="center" wrapText="1"/>
    </xf>
    <xf numFmtId="0" fontId="21" fillId="0" borderId="13" xfId="0" applyFont="1" applyBorder="1" applyAlignment="1">
      <alignment horizontal="center" vertical="center" wrapText="1"/>
    </xf>
    <xf numFmtId="0" fontId="21" fillId="0" borderId="14" xfId="0" applyFont="1" applyBorder="1" applyAlignment="1">
      <alignment horizontal="center" vertical="center" wrapText="1"/>
    </xf>
    <xf numFmtId="0" fontId="27" fillId="4" borderId="11" xfId="0" applyFont="1" applyFill="1" applyBorder="1" applyAlignment="1">
      <alignment horizontal="center" vertical="center" wrapText="1"/>
    </xf>
    <xf numFmtId="0" fontId="27" fillId="6" borderId="3" xfId="0" applyFont="1" applyFill="1" applyBorder="1" applyAlignment="1">
      <alignment horizontal="center" vertical="center" wrapText="1"/>
    </xf>
    <xf numFmtId="0" fontId="27" fillId="6" borderId="1" xfId="0" applyFont="1" applyFill="1" applyBorder="1" applyAlignment="1">
      <alignment horizontal="center" vertical="center" wrapText="1"/>
    </xf>
    <xf numFmtId="0" fontId="27" fillId="6" borderId="7" xfId="0" applyFont="1" applyFill="1" applyBorder="1" applyAlignment="1">
      <alignment horizontal="center" vertical="center" wrapText="1"/>
    </xf>
    <xf numFmtId="0" fontId="27" fillId="6" borderId="15" xfId="0" applyFont="1" applyFill="1" applyBorder="1" applyAlignment="1">
      <alignment horizontal="center" vertical="center" wrapText="1"/>
    </xf>
    <xf numFmtId="0" fontId="22" fillId="5" borderId="16" xfId="0" applyFont="1" applyFill="1" applyBorder="1" applyAlignment="1">
      <alignment horizontal="center" vertical="center" wrapText="1"/>
    </xf>
    <xf numFmtId="0" fontId="11" fillId="2" borderId="0" xfId="0" applyFont="1" applyFill="1" applyAlignment="1">
      <alignment horizontal="left" vertical="center"/>
    </xf>
    <xf numFmtId="0" fontId="18" fillId="2" borderId="0" xfId="0" applyFont="1" applyFill="1" applyAlignment="1">
      <alignment horizontal="center" wrapText="1"/>
    </xf>
    <xf numFmtId="0" fontId="21" fillId="2" borderId="0" xfId="0" applyFont="1" applyFill="1" applyAlignment="1">
      <alignment horizontal="center" vertical="center" wrapText="1"/>
    </xf>
    <xf numFmtId="0" fontId="9" fillId="2" borderId="0" xfId="0" applyFont="1" applyFill="1" applyAlignment="1">
      <alignment horizontal="left" vertical="center"/>
    </xf>
    <xf numFmtId="0" fontId="3" fillId="2" borderId="0" xfId="0" applyFont="1" applyFill="1" applyAlignment="1">
      <alignment horizontal="left" vertical="center" indent="1"/>
    </xf>
    <xf numFmtId="0" fontId="25" fillId="2" borderId="18" xfId="0" applyFont="1" applyFill="1" applyBorder="1" applyAlignment="1">
      <alignment horizontal="center"/>
    </xf>
    <xf numFmtId="0" fontId="25" fillId="2" borderId="19" xfId="0" applyFont="1" applyFill="1" applyBorder="1" applyAlignment="1">
      <alignment horizontal="center"/>
    </xf>
    <xf numFmtId="0" fontId="13" fillId="2" borderId="19" xfId="0" applyFont="1" applyFill="1" applyBorder="1"/>
    <xf numFmtId="0" fontId="13" fillId="2" borderId="20" xfId="0" applyFont="1" applyFill="1" applyBorder="1"/>
    <xf numFmtId="0" fontId="3" fillId="2" borderId="28" xfId="0" applyFont="1" applyFill="1" applyBorder="1" applyAlignment="1">
      <alignment horizontal="left" vertical="center" indent="1"/>
    </xf>
    <xf numFmtId="0" fontId="15" fillId="2" borderId="29" xfId="0" applyFont="1" applyFill="1" applyBorder="1" applyAlignment="1">
      <alignment vertical="center"/>
    </xf>
    <xf numFmtId="0" fontId="0" fillId="2" borderId="29" xfId="0" applyFill="1" applyBorder="1" applyAlignment="1">
      <alignment vertical="center" wrapText="1"/>
    </xf>
    <xf numFmtId="0" fontId="0" fillId="2" borderId="28" xfId="0" applyFill="1" applyBorder="1" applyAlignment="1">
      <alignment vertical="center" wrapText="1"/>
    </xf>
    <xf numFmtId="0" fontId="13" fillId="2" borderId="18" xfId="0" applyFont="1" applyFill="1" applyBorder="1"/>
    <xf numFmtId="0" fontId="0" fillId="2" borderId="20" xfId="0" applyFill="1" applyBorder="1" applyAlignment="1">
      <alignment vertical="center" wrapText="1"/>
    </xf>
    <xf numFmtId="0" fontId="0" fillId="2" borderId="17" xfId="0" applyFill="1" applyBorder="1" applyAlignment="1">
      <alignment vertical="center" wrapText="1"/>
    </xf>
    <xf numFmtId="0" fontId="6" fillId="2" borderId="17" xfId="0" applyFont="1" applyFill="1" applyBorder="1" applyAlignment="1" applyProtection="1">
      <alignment horizontal="centerContinuous" vertical="center" wrapText="1" shrinkToFit="1"/>
      <protection locked="0"/>
    </xf>
    <xf numFmtId="0" fontId="6" fillId="2" borderId="4" xfId="0" applyFont="1" applyFill="1" applyBorder="1" applyAlignment="1" applyProtection="1">
      <alignment horizontal="centerContinuous" vertical="center" wrapText="1" shrinkToFit="1"/>
      <protection locked="0"/>
    </xf>
    <xf numFmtId="0" fontId="4"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5" fillId="2" borderId="28" xfId="0" applyFont="1" applyFill="1" applyBorder="1" applyAlignment="1">
      <alignment wrapText="1"/>
    </xf>
    <xf numFmtId="0" fontId="5" fillId="2" borderId="29" xfId="0" applyFont="1" applyFill="1" applyBorder="1" applyAlignment="1">
      <alignment wrapText="1"/>
    </xf>
    <xf numFmtId="0" fontId="4" fillId="2" borderId="8" xfId="0" applyFont="1" applyFill="1" applyBorder="1" applyAlignment="1">
      <alignment horizontal="center" vertical="center" wrapText="1"/>
    </xf>
    <xf numFmtId="0" fontId="19" fillId="3" borderId="5" xfId="0" applyFont="1" applyFill="1" applyBorder="1" applyAlignment="1">
      <alignment horizontal="center" vertical="center" wrapText="1"/>
    </xf>
    <xf numFmtId="0" fontId="17" fillId="0" borderId="6" xfId="0" applyFont="1" applyBorder="1" applyAlignment="1">
      <alignment horizontal="center" vertical="center" wrapText="1"/>
    </xf>
    <xf numFmtId="14" fontId="9" fillId="2" borderId="4" xfId="0" applyNumberFormat="1" applyFont="1" applyFill="1" applyBorder="1" applyAlignment="1" applyProtection="1">
      <alignment horizontal="center" vertical="center" wrapText="1"/>
      <protection locked="0"/>
    </xf>
    <xf numFmtId="0" fontId="9" fillId="2" borderId="8" xfId="0" applyFont="1" applyFill="1" applyBorder="1" applyAlignment="1" applyProtection="1">
      <alignment horizontal="center" vertical="center" wrapText="1" shrinkToFit="1"/>
      <protection locked="0"/>
    </xf>
    <xf numFmtId="0" fontId="0" fillId="2" borderId="1" xfId="0" applyFill="1" applyBorder="1" applyAlignment="1">
      <alignment horizontal="center" vertical="center"/>
    </xf>
    <xf numFmtId="0" fontId="9" fillId="2" borderId="8" xfId="0" applyFont="1" applyFill="1" applyBorder="1" applyAlignment="1" applyProtection="1">
      <alignment horizontal="left" vertical="center" wrapText="1" shrinkToFit="1"/>
      <protection locked="0"/>
    </xf>
    <xf numFmtId="0" fontId="33" fillId="0" borderId="4" xfId="0" applyFont="1" applyBorder="1" applyAlignment="1" applyProtection="1">
      <alignment horizontal="left" vertical="center" wrapText="1"/>
      <protection locked="0"/>
    </xf>
    <xf numFmtId="0" fontId="33" fillId="0" borderId="1" xfId="0" applyFont="1" applyBorder="1" applyAlignment="1" applyProtection="1">
      <alignment horizontal="left" vertical="center" wrapText="1"/>
      <protection locked="0"/>
    </xf>
    <xf numFmtId="0" fontId="9" fillId="0" borderId="1" xfId="0" applyFont="1" applyBorder="1" applyAlignment="1" applyProtection="1">
      <alignment horizontal="left" vertical="center" wrapText="1"/>
      <protection locked="0"/>
    </xf>
    <xf numFmtId="0" fontId="39" fillId="0" borderId="1" xfId="0" applyFont="1" applyBorder="1" applyAlignment="1" applyProtection="1">
      <alignment horizontal="left" vertical="center" wrapText="1"/>
      <protection locked="0"/>
    </xf>
    <xf numFmtId="0" fontId="5" fillId="2" borderId="18" xfId="0" applyFont="1" applyFill="1" applyBorder="1" applyAlignment="1" applyProtection="1">
      <alignment horizontal="left" vertical="center" wrapText="1"/>
      <protection locked="0"/>
    </xf>
    <xf numFmtId="0" fontId="5" fillId="2" borderId="19" xfId="0" applyFont="1" applyFill="1" applyBorder="1" applyAlignment="1" applyProtection="1">
      <alignment horizontal="left" vertical="center" wrapText="1"/>
      <protection locked="0"/>
    </xf>
    <xf numFmtId="0" fontId="5" fillId="2" borderId="20" xfId="0" applyFont="1" applyFill="1" applyBorder="1" applyAlignment="1" applyProtection="1">
      <alignment horizontal="left" vertical="center" wrapText="1"/>
      <protection locked="0"/>
    </xf>
    <xf numFmtId="0" fontId="5" fillId="2" borderId="14" xfId="0" applyFont="1" applyFill="1" applyBorder="1" applyAlignment="1" applyProtection="1">
      <alignment horizontal="left" vertical="center" wrapText="1"/>
      <protection locked="0"/>
    </xf>
    <xf numFmtId="0" fontId="5" fillId="2" borderId="21" xfId="0" applyFont="1" applyFill="1" applyBorder="1" applyAlignment="1" applyProtection="1">
      <alignment horizontal="left" vertical="center" wrapText="1"/>
      <protection locked="0"/>
    </xf>
    <xf numFmtId="0" fontId="5" fillId="2" borderId="22" xfId="0" applyFont="1" applyFill="1" applyBorder="1" applyAlignment="1" applyProtection="1">
      <alignment horizontal="left" vertical="center" wrapText="1"/>
      <protection locked="0"/>
    </xf>
    <xf numFmtId="0" fontId="9" fillId="2" borderId="8" xfId="0" applyFont="1" applyFill="1" applyBorder="1" applyAlignment="1" applyProtection="1">
      <alignment vertical="center" wrapText="1"/>
      <protection locked="0"/>
    </xf>
    <xf numFmtId="0" fontId="9" fillId="2" borderId="17" xfId="0" applyFont="1" applyFill="1" applyBorder="1" applyAlignment="1" applyProtection="1">
      <alignment vertical="center" wrapText="1"/>
      <protection locked="0"/>
    </xf>
    <xf numFmtId="0" fontId="9" fillId="2" borderId="4" xfId="0" applyFont="1" applyFill="1" applyBorder="1" applyAlignment="1" applyProtection="1">
      <alignment vertical="center" wrapText="1"/>
      <protection locked="0"/>
    </xf>
    <xf numFmtId="0" fontId="3" fillId="2" borderId="8" xfId="0" applyFont="1" applyFill="1" applyBorder="1" applyAlignment="1">
      <alignment vertical="center" wrapText="1"/>
    </xf>
    <xf numFmtId="0" fontId="3" fillId="2" borderId="17" xfId="0" applyFont="1" applyFill="1" applyBorder="1" applyAlignment="1">
      <alignment vertical="center" wrapText="1"/>
    </xf>
    <xf numFmtId="0" fontId="3" fillId="2" borderId="4" xfId="0" applyFont="1" applyFill="1" applyBorder="1" applyAlignment="1">
      <alignment vertical="center" wrapText="1"/>
    </xf>
    <xf numFmtId="0" fontId="11" fillId="2" borderId="8" xfId="0" applyFont="1" applyFill="1" applyBorder="1" applyAlignment="1">
      <alignment vertical="center" wrapText="1"/>
    </xf>
    <xf numFmtId="0" fontId="11" fillId="2" borderId="17" xfId="0" applyFont="1" applyFill="1" applyBorder="1" applyAlignment="1">
      <alignment vertical="center" wrapText="1"/>
    </xf>
    <xf numFmtId="0" fontId="11" fillId="2" borderId="4" xfId="0" applyFont="1" applyFill="1" applyBorder="1" applyAlignment="1">
      <alignment vertical="center" wrapText="1"/>
    </xf>
    <xf numFmtId="0" fontId="36" fillId="2" borderId="8" xfId="0" applyFont="1" applyFill="1" applyBorder="1" applyAlignment="1">
      <alignment horizontal="left" vertical="center" wrapText="1"/>
    </xf>
    <xf numFmtId="0" fontId="7" fillId="2" borderId="17" xfId="0" applyFont="1" applyFill="1" applyBorder="1" applyAlignment="1">
      <alignment horizontal="left" vertical="center" wrapText="1"/>
    </xf>
    <xf numFmtId="0" fontId="7" fillId="2" borderId="4" xfId="0" applyFont="1" applyFill="1" applyBorder="1" applyAlignment="1">
      <alignment horizontal="left" vertical="center" wrapText="1"/>
    </xf>
    <xf numFmtId="0" fontId="0" fillId="2" borderId="8" xfId="0" applyFill="1" applyBorder="1" applyAlignment="1" applyProtection="1">
      <alignment horizontal="left" vertical="center" wrapText="1"/>
      <protection locked="0"/>
    </xf>
    <xf numFmtId="0" fontId="0" fillId="2" borderId="17" xfId="0" applyFill="1" applyBorder="1" applyAlignment="1" applyProtection="1">
      <alignment horizontal="left" vertical="center" wrapText="1"/>
      <protection locked="0"/>
    </xf>
    <xf numFmtId="0" fontId="0" fillId="2" borderId="4" xfId="0" applyFill="1" applyBorder="1" applyAlignment="1" applyProtection="1">
      <alignment horizontal="left" vertical="center" wrapText="1"/>
      <protection locked="0"/>
    </xf>
    <xf numFmtId="0" fontId="5" fillId="2" borderId="8" xfId="0" applyFont="1" applyFill="1" applyBorder="1" applyAlignment="1" applyProtection="1">
      <alignment horizontal="left" vertical="center" wrapText="1"/>
      <protection locked="0"/>
    </xf>
    <xf numFmtId="0" fontId="5" fillId="2" borderId="17" xfId="0" applyFont="1" applyFill="1" applyBorder="1" applyAlignment="1" applyProtection="1">
      <alignment horizontal="left" vertical="center" wrapText="1"/>
      <protection locked="0"/>
    </xf>
    <xf numFmtId="0" fontId="5" fillId="2" borderId="4" xfId="0" applyFont="1" applyFill="1" applyBorder="1" applyAlignment="1" applyProtection="1">
      <alignment horizontal="left" vertical="center" wrapText="1"/>
      <protection locked="0"/>
    </xf>
    <xf numFmtId="0" fontId="5" fillId="2" borderId="8" xfId="0" applyFont="1" applyFill="1" applyBorder="1" applyAlignment="1">
      <alignment horizontal="left" vertical="center" wrapText="1"/>
    </xf>
    <xf numFmtId="0" fontId="5" fillId="2" borderId="17" xfId="0" applyFont="1" applyFill="1" applyBorder="1" applyAlignment="1">
      <alignment horizontal="left" vertical="center" wrapText="1"/>
    </xf>
    <xf numFmtId="0" fontId="5" fillId="2" borderId="4" xfId="0" applyFont="1" applyFill="1" applyBorder="1" applyAlignment="1">
      <alignment horizontal="left" vertical="center" wrapText="1"/>
    </xf>
    <xf numFmtId="0" fontId="35" fillId="2" borderId="8" xfId="0" applyFont="1" applyFill="1" applyBorder="1" applyAlignment="1">
      <alignment horizontal="left" vertical="center" wrapText="1"/>
    </xf>
    <xf numFmtId="0" fontId="10" fillId="2" borderId="17"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 fillId="2" borderId="17" xfId="0" applyFont="1" applyFill="1" applyBorder="1" applyAlignment="1">
      <alignment horizontal="left" vertical="center" wrapText="1"/>
    </xf>
    <xf numFmtId="0" fontId="1" fillId="2" borderId="4" xfId="0" applyFont="1" applyFill="1" applyBorder="1" applyAlignment="1">
      <alignment horizontal="left" vertical="center" wrapText="1"/>
    </xf>
    <xf numFmtId="0" fontId="36" fillId="2" borderId="8" xfId="0" applyFont="1" applyFill="1" applyBorder="1" applyAlignment="1">
      <alignment horizontal="left" vertical="center"/>
    </xf>
    <xf numFmtId="0" fontId="7" fillId="2" borderId="17" xfId="0" applyFont="1" applyFill="1" applyBorder="1" applyAlignment="1">
      <alignment horizontal="left" vertical="center"/>
    </xf>
    <xf numFmtId="0" fontId="7" fillId="2" borderId="4" xfId="0" applyFont="1" applyFill="1" applyBorder="1" applyAlignment="1">
      <alignment horizontal="left" vertical="center"/>
    </xf>
    <xf numFmtId="0" fontId="41" fillId="2" borderId="8" xfId="0" applyFont="1" applyFill="1" applyBorder="1" applyAlignment="1">
      <alignment horizontal="left" vertical="center" wrapText="1"/>
    </xf>
    <xf numFmtId="0" fontId="43" fillId="2" borderId="17" xfId="0" applyFont="1" applyFill="1" applyBorder="1" applyAlignment="1">
      <alignment horizontal="left" vertical="center" wrapText="1"/>
    </xf>
    <xf numFmtId="0" fontId="43" fillId="2" borderId="4" xfId="0" applyFont="1" applyFill="1" applyBorder="1" applyAlignment="1">
      <alignment horizontal="left" vertical="center" wrapText="1"/>
    </xf>
    <xf numFmtId="0" fontId="11" fillId="2" borderId="28" xfId="0" applyFont="1" applyFill="1" applyBorder="1" applyAlignment="1">
      <alignment horizontal="center" vertical="center"/>
    </xf>
    <xf numFmtId="0" fontId="11" fillId="0" borderId="0" xfId="0" applyFont="1" applyAlignment="1">
      <alignment horizontal="center" vertical="center"/>
    </xf>
    <xf numFmtId="0" fontId="11" fillId="0" borderId="29" xfId="0" applyFont="1" applyBorder="1" applyAlignment="1">
      <alignment horizontal="center" vertical="center"/>
    </xf>
    <xf numFmtId="0" fontId="11" fillId="2" borderId="14" xfId="0" applyFont="1" applyFill="1" applyBorder="1" applyAlignment="1">
      <alignment horizontal="center" vertical="center" wrapText="1"/>
    </xf>
    <xf numFmtId="0" fontId="11" fillId="0" borderId="21" xfId="0" applyFont="1" applyBorder="1" applyAlignment="1">
      <alignment horizontal="center" vertical="center" wrapText="1"/>
    </xf>
    <xf numFmtId="0" fontId="11" fillId="0" borderId="22" xfId="0" applyFont="1" applyBorder="1" applyAlignment="1">
      <alignment horizontal="center" vertical="center" wrapText="1"/>
    </xf>
    <xf numFmtId="0" fontId="9" fillId="0" borderId="17" xfId="0" applyFont="1" applyBorder="1" applyAlignment="1">
      <alignment vertical="center" wrapText="1"/>
    </xf>
    <xf numFmtId="0" fontId="9" fillId="0" borderId="4" xfId="0" applyFont="1" applyBorder="1" applyAlignment="1">
      <alignment vertical="center" wrapText="1"/>
    </xf>
    <xf numFmtId="0" fontId="4" fillId="2" borderId="8" xfId="0" applyFont="1" applyFill="1" applyBorder="1" applyAlignment="1" applyProtection="1">
      <alignment horizontal="left" vertical="center" wrapText="1" shrinkToFit="1"/>
      <protection locked="0"/>
    </xf>
    <xf numFmtId="0" fontId="4" fillId="2" borderId="17" xfId="0" applyFont="1" applyFill="1" applyBorder="1" applyAlignment="1" applyProtection="1">
      <alignment horizontal="left" vertical="center" wrapText="1" shrinkToFit="1"/>
      <protection locked="0"/>
    </xf>
    <xf numFmtId="0" fontId="4" fillId="2" borderId="4" xfId="0" applyFont="1" applyFill="1" applyBorder="1" applyAlignment="1" applyProtection="1">
      <alignment horizontal="left" vertical="center" wrapText="1" shrinkToFit="1"/>
      <protection locked="0"/>
    </xf>
    <xf numFmtId="0" fontId="16" fillId="2" borderId="28" xfId="0" applyFont="1" applyFill="1" applyBorder="1" applyAlignment="1">
      <alignment horizontal="center" vertical="center"/>
    </xf>
    <xf numFmtId="0" fontId="16" fillId="2" borderId="0" xfId="0" applyFont="1" applyFill="1" applyAlignment="1">
      <alignment horizontal="center" vertical="center"/>
    </xf>
    <xf numFmtId="0" fontId="16" fillId="2" borderId="29" xfId="0" applyFont="1" applyFill="1" applyBorder="1" applyAlignment="1">
      <alignment horizontal="center" vertical="center"/>
    </xf>
    <xf numFmtId="0" fontId="37" fillId="2" borderId="18" xfId="0" applyFont="1" applyFill="1" applyBorder="1" applyAlignment="1">
      <alignment horizontal="center" vertical="center" wrapText="1"/>
    </xf>
    <xf numFmtId="0" fontId="12" fillId="2" borderId="20" xfId="0" applyFont="1" applyFill="1" applyBorder="1" applyAlignment="1">
      <alignment horizontal="center" vertical="center"/>
    </xf>
    <xf numFmtId="0" fontId="12" fillId="2" borderId="28" xfId="0" applyFont="1" applyFill="1" applyBorder="1" applyAlignment="1">
      <alignment horizontal="center" vertical="center"/>
    </xf>
    <xf numFmtId="0" fontId="12" fillId="2" borderId="29" xfId="0" applyFont="1" applyFill="1" applyBorder="1" applyAlignment="1">
      <alignment horizontal="center" vertical="center"/>
    </xf>
    <xf numFmtId="0" fontId="12" fillId="2" borderId="14" xfId="0" applyFont="1" applyFill="1" applyBorder="1" applyAlignment="1">
      <alignment horizontal="center" vertical="center"/>
    </xf>
    <xf numFmtId="0" fontId="12" fillId="2" borderId="22" xfId="0" applyFont="1" applyFill="1" applyBorder="1" applyAlignment="1">
      <alignment horizontal="center" vertical="center"/>
    </xf>
    <xf numFmtId="0" fontId="20" fillId="0" borderId="23" xfId="0" applyFont="1" applyBorder="1" applyAlignment="1">
      <alignment horizontal="center" vertical="center" wrapText="1"/>
    </xf>
    <xf numFmtId="0" fontId="20" fillId="0" borderId="24" xfId="0" applyFont="1" applyBorder="1" applyAlignment="1">
      <alignment horizontal="center" vertical="center" wrapText="1"/>
    </xf>
    <xf numFmtId="0" fontId="6" fillId="7" borderId="25" xfId="0" applyFont="1" applyFill="1" applyBorder="1" applyAlignment="1">
      <alignment horizontal="justify" wrapText="1"/>
    </xf>
    <xf numFmtId="0" fontId="6" fillId="7" borderId="26" xfId="0" applyFont="1" applyFill="1" applyBorder="1" applyAlignment="1">
      <alignment horizontal="justify" wrapText="1"/>
    </xf>
    <xf numFmtId="0" fontId="6" fillId="7" borderId="27" xfId="0" applyFont="1" applyFill="1" applyBorder="1" applyAlignment="1">
      <alignment horizontal="justify" wrapText="1"/>
    </xf>
    <xf numFmtId="0" fontId="18" fillId="0" borderId="39" xfId="0" applyFont="1" applyBorder="1" applyAlignment="1">
      <alignment horizontal="center" vertical="center" wrapText="1"/>
    </xf>
    <xf numFmtId="0" fontId="0" fillId="0" borderId="31" xfId="0" applyBorder="1" applyAlignment="1">
      <alignment horizontal="center" vertical="center" wrapText="1"/>
    </xf>
    <xf numFmtId="0" fontId="0" fillId="0" borderId="0" xfId="0" applyAlignment="1">
      <alignment horizontal="center" vertical="center"/>
    </xf>
    <xf numFmtId="0" fontId="18" fillId="0" borderId="36" xfId="0" applyFont="1" applyBorder="1" applyAlignment="1">
      <alignment horizontal="center" vertical="center" wrapText="1"/>
    </xf>
    <xf numFmtId="0" fontId="0" fillId="0" borderId="37" xfId="0" applyBorder="1" applyAlignment="1">
      <alignment horizontal="center" vertical="center" wrapText="1"/>
    </xf>
    <xf numFmtId="0" fontId="18" fillId="0" borderId="38" xfId="0" applyFont="1" applyBorder="1" applyAlignment="1">
      <alignment horizontal="center" vertical="center" wrapText="1"/>
    </xf>
    <xf numFmtId="0" fontId="0" fillId="0" borderId="4" xfId="0" applyBorder="1" applyAlignment="1">
      <alignment horizontal="center" vertical="center" wrapText="1"/>
    </xf>
    <xf numFmtId="0" fontId="9" fillId="7" borderId="30" xfId="0" applyFont="1" applyFill="1" applyBorder="1" applyAlignment="1">
      <alignment horizontal="center" textRotation="90" wrapText="1"/>
    </xf>
    <xf numFmtId="0" fontId="4" fillId="0" borderId="32" xfId="0" applyFont="1" applyBorder="1" applyAlignment="1">
      <alignment horizontal="center" textRotation="90" wrapText="1"/>
    </xf>
    <xf numFmtId="0" fontId="9" fillId="7" borderId="33" xfId="0" applyFont="1" applyFill="1" applyBorder="1" applyAlignment="1">
      <alignment horizontal="center" textRotation="90" wrapText="1"/>
    </xf>
    <xf numFmtId="0" fontId="4" fillId="0" borderId="34" xfId="0" applyFont="1" applyBorder="1" applyAlignment="1">
      <alignment horizontal="center" textRotation="90" wrapText="1"/>
    </xf>
    <xf numFmtId="0" fontId="9" fillId="7" borderId="35" xfId="0" applyFont="1" applyFill="1" applyBorder="1" applyAlignment="1">
      <alignment horizontal="center" textRotation="90" wrapText="1"/>
    </xf>
    <xf numFmtId="0" fontId="4" fillId="0" borderId="5" xfId="0" applyFont="1" applyBorder="1" applyAlignment="1">
      <alignment horizontal="center" textRotation="90" wrapText="1"/>
    </xf>
    <xf numFmtId="0" fontId="38" fillId="2" borderId="0" xfId="0" applyFont="1" applyFill="1" applyAlignment="1">
      <alignment horizontal="center" vertical="center" wrapText="1"/>
    </xf>
    <xf numFmtId="0" fontId="28" fillId="8" borderId="1" xfId="0" applyFont="1" applyFill="1" applyBorder="1" applyAlignment="1">
      <alignment horizontal="center" vertical="center" wrapText="1"/>
    </xf>
    <xf numFmtId="0" fontId="28" fillId="8" borderId="1" xfId="0" applyFont="1" applyFill="1" applyBorder="1" applyAlignment="1">
      <alignment horizontal="center" vertical="center" textRotation="90" wrapText="1"/>
    </xf>
    <xf numFmtId="0" fontId="28" fillId="8" borderId="8" xfId="0" applyFont="1" applyFill="1" applyBorder="1" applyAlignment="1">
      <alignment horizontal="center" vertical="center" wrapText="1"/>
    </xf>
    <xf numFmtId="0" fontId="28" fillId="8" borderId="17" xfId="0" applyFont="1" applyFill="1" applyBorder="1" applyAlignment="1">
      <alignment horizontal="center" vertical="center" wrapText="1"/>
    </xf>
    <xf numFmtId="0" fontId="28" fillId="8" borderId="4" xfId="0" applyFont="1" applyFill="1" applyBorder="1" applyAlignment="1">
      <alignment horizontal="center" vertical="center" wrapText="1"/>
    </xf>
    <xf numFmtId="0" fontId="24" fillId="8" borderId="8" xfId="0" applyFont="1" applyFill="1" applyBorder="1" applyAlignment="1">
      <alignment horizontal="right" vertical="center" wrapText="1"/>
    </xf>
    <xf numFmtId="0" fontId="24" fillId="8" borderId="4" xfId="0" applyFont="1" applyFill="1" applyBorder="1" applyAlignment="1">
      <alignment horizontal="right" vertical="center" wrapText="1"/>
    </xf>
    <xf numFmtId="14" fontId="24" fillId="8" borderId="8" xfId="0" applyNumberFormat="1" applyFont="1" applyFill="1" applyBorder="1" applyAlignment="1">
      <alignment horizontal="center" vertical="center" wrapText="1"/>
    </xf>
    <xf numFmtId="14" fontId="24" fillId="8" borderId="17" xfId="0" applyNumberFormat="1" applyFont="1" applyFill="1" applyBorder="1" applyAlignment="1">
      <alignment horizontal="center" vertical="center" wrapText="1"/>
    </xf>
    <xf numFmtId="14" fontId="24" fillId="8" borderId="4" xfId="0" applyNumberFormat="1" applyFont="1" applyFill="1" applyBorder="1" applyAlignment="1">
      <alignment horizontal="center" vertical="center" wrapText="1"/>
    </xf>
    <xf numFmtId="0" fontId="24" fillId="8" borderId="1" xfId="0" applyFont="1" applyFill="1" applyBorder="1" applyAlignment="1">
      <alignment horizontal="right" vertical="center" wrapText="1"/>
    </xf>
    <xf numFmtId="0" fontId="24" fillId="8" borderId="1" xfId="0" applyFont="1" applyFill="1" applyBorder="1" applyAlignment="1" applyProtection="1">
      <alignment horizontal="center" vertical="center" wrapText="1"/>
      <protection locked="0"/>
    </xf>
    <xf numFmtId="0" fontId="40" fillId="8" borderId="17" xfId="0" applyFont="1" applyFill="1" applyBorder="1" applyAlignment="1">
      <alignment horizontal="left" vertical="center" wrapText="1"/>
    </xf>
    <xf numFmtId="0" fontId="29" fillId="8" borderId="17" xfId="0" applyFont="1" applyFill="1" applyBorder="1" applyAlignment="1">
      <alignment horizontal="left" vertical="center" wrapText="1"/>
    </xf>
    <xf numFmtId="0" fontId="30" fillId="8" borderId="18" xfId="0" applyFont="1" applyFill="1" applyBorder="1" applyAlignment="1">
      <alignment vertical="center"/>
    </xf>
    <xf numFmtId="0" fontId="30" fillId="8" borderId="19" xfId="0" applyFont="1" applyFill="1" applyBorder="1" applyAlignment="1">
      <alignment vertical="center"/>
    </xf>
    <xf numFmtId="0" fontId="31" fillId="8" borderId="19" xfId="0" applyFont="1" applyFill="1" applyBorder="1" applyAlignment="1">
      <alignment horizontal="center"/>
    </xf>
    <xf numFmtId="0" fontId="32" fillId="8" borderId="19" xfId="0" applyFont="1" applyFill="1" applyBorder="1" applyAlignment="1">
      <alignment horizontal="left" vertical="center" indent="1"/>
    </xf>
    <xf numFmtId="0" fontId="28" fillId="8" borderId="19" xfId="0" applyFont="1" applyFill="1" applyBorder="1" applyAlignment="1">
      <alignment vertical="center"/>
    </xf>
    <xf numFmtId="0" fontId="28" fillId="8" borderId="19" xfId="0" applyFont="1" applyFill="1" applyBorder="1" applyAlignment="1">
      <alignment horizontal="left" vertical="center"/>
    </xf>
    <xf numFmtId="0" fontId="28" fillId="8" borderId="20" xfId="0" applyFont="1" applyFill="1" applyBorder="1" applyAlignment="1">
      <alignment horizontal="right" vertical="center"/>
    </xf>
    <xf numFmtId="0" fontId="23" fillId="8" borderId="8" xfId="0" applyFont="1" applyFill="1" applyBorder="1" applyAlignment="1">
      <alignment horizontal="left" vertical="center" wrapText="1"/>
    </xf>
    <xf numFmtId="0" fontId="23" fillId="8" borderId="4" xfId="0" applyFont="1" applyFill="1" applyBorder="1" applyAlignment="1">
      <alignment horizontal="left" vertical="center" wrapText="1"/>
    </xf>
    <xf numFmtId="0" fontId="23" fillId="8" borderId="1" xfId="0" applyFont="1" applyFill="1" applyBorder="1" applyAlignment="1">
      <alignment horizontal="left" vertical="center" wrapText="1"/>
    </xf>
    <xf numFmtId="0" fontId="23" fillId="8" borderId="17" xfId="0" applyFont="1" applyFill="1" applyBorder="1" applyAlignment="1">
      <alignment horizontal="left" vertical="center" wrapText="1"/>
    </xf>
    <xf numFmtId="0" fontId="23" fillId="8" borderId="8" xfId="0" applyFont="1" applyFill="1" applyBorder="1" applyAlignment="1">
      <alignment vertical="center" wrapText="1"/>
    </xf>
    <xf numFmtId="0" fontId="23" fillId="8" borderId="4" xfId="0" applyFont="1" applyFill="1" applyBorder="1" applyAlignment="1">
      <alignment vertical="center" wrapText="1"/>
    </xf>
    <xf numFmtId="0" fontId="23" fillId="8" borderId="1" xfId="0" applyFont="1" applyFill="1" applyBorder="1" applyAlignment="1">
      <alignment vertical="center" wrapText="1"/>
    </xf>
    <xf numFmtId="0" fontId="23" fillId="8" borderId="18" xfId="0" applyFont="1" applyFill="1" applyBorder="1" applyAlignment="1">
      <alignment horizontal="center" vertical="center" wrapText="1"/>
    </xf>
    <xf numFmtId="0" fontId="23" fillId="8" borderId="19" xfId="0" applyFont="1" applyFill="1" applyBorder="1" applyAlignment="1">
      <alignment horizontal="center" vertical="center" wrapText="1"/>
    </xf>
    <xf numFmtId="0" fontId="23" fillId="8" borderId="20" xfId="0" applyFont="1" applyFill="1" applyBorder="1" applyAlignment="1">
      <alignment horizontal="center" vertical="center" wrapText="1"/>
    </xf>
    <xf numFmtId="0" fontId="23" fillId="8" borderId="14" xfId="0" applyFont="1" applyFill="1" applyBorder="1" applyAlignment="1">
      <alignment horizontal="center" vertical="center" wrapText="1"/>
    </xf>
    <xf numFmtId="0" fontId="23" fillId="8" borderId="21" xfId="0" applyFont="1" applyFill="1" applyBorder="1" applyAlignment="1">
      <alignment horizontal="center" vertical="center" wrapText="1"/>
    </xf>
    <xf numFmtId="0" fontId="23" fillId="8" borderId="22" xfId="0" applyFont="1" applyFill="1" applyBorder="1" applyAlignment="1">
      <alignment horizontal="center" vertical="center" wrapText="1"/>
    </xf>
    <xf numFmtId="0" fontId="23" fillId="8" borderId="8" xfId="0" applyFont="1" applyFill="1" applyBorder="1" applyAlignment="1">
      <alignment horizontal="center" vertical="center" wrapText="1"/>
    </xf>
    <xf numFmtId="0" fontId="23" fillId="8" borderId="4" xfId="0" applyFont="1" applyFill="1" applyBorder="1" applyAlignment="1">
      <alignment horizontal="center" vertical="center" wrapText="1"/>
    </xf>
    <xf numFmtId="0" fontId="25" fillId="2" borderId="0" xfId="0" applyFont="1" applyFill="1" applyAlignment="1">
      <alignment horizontal="center"/>
    </xf>
    <xf numFmtId="0" fontId="14" fillId="2" borderId="0" xfId="0" applyFont="1" applyFill="1" applyAlignment="1">
      <alignment horizontal="center"/>
    </xf>
    <xf numFmtId="0" fontId="9" fillId="2" borderId="0" xfId="0" applyFont="1" applyFill="1" applyAlignment="1">
      <alignment horizontal="center" vertical="center"/>
    </xf>
    <xf numFmtId="0" fontId="14" fillId="2" borderId="0" xfId="0" applyFont="1" applyFill="1" applyAlignment="1">
      <alignment horizontal="center" vertical="center"/>
    </xf>
    <xf numFmtId="0" fontId="14" fillId="2" borderId="0" xfId="0" applyFont="1" applyFill="1" applyAlignment="1">
      <alignment horizontal="center" vertical="center" wrapText="1"/>
    </xf>
    <xf numFmtId="0" fontId="44" fillId="3" borderId="6" xfId="0" applyFont="1" applyFill="1" applyBorder="1" applyAlignment="1">
      <alignment horizontal="center" textRotation="90" wrapText="1"/>
    </xf>
    <xf numFmtId="0" fontId="44" fillId="3" borderId="23" xfId="0" applyFont="1" applyFill="1" applyBorder="1" applyAlignment="1">
      <alignment horizontal="center" textRotation="90" wrapText="1"/>
    </xf>
    <xf numFmtId="0" fontId="44" fillId="3" borderId="24" xfId="0" applyFont="1" applyFill="1" applyBorder="1" applyAlignment="1">
      <alignment horizontal="center" textRotation="90" wrapText="1"/>
    </xf>
  </cellXfs>
  <cellStyles count="1">
    <cellStyle name="Обычный" xfId="0" builtinId="0"/>
  </cellStyles>
  <dxfs count="3">
    <dxf>
      <font>
        <color theme="0"/>
      </font>
      <fill>
        <patternFill>
          <bgColor rgb="FF00B050"/>
        </patternFill>
      </fill>
    </dxf>
    <dxf>
      <fill>
        <patternFill>
          <bgColor rgb="FFFFFF00"/>
        </patternFill>
      </fill>
    </dxf>
    <dxf>
      <font>
        <color theme="0"/>
      </font>
      <fill>
        <patternFill>
          <bgColor rgb="FFFF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952500</xdr:colOff>
      <xdr:row>9</xdr:row>
      <xdr:rowOff>0</xdr:rowOff>
    </xdr:from>
    <xdr:ext cx="184731" cy="264560"/>
    <xdr:sp macro="" textlink="">
      <xdr:nvSpPr>
        <xdr:cNvPr id="3" name="Tekstvak 2">
          <a:extLst>
            <a:ext uri="{FF2B5EF4-FFF2-40B4-BE49-F238E27FC236}">
              <a16:creationId xmlns:a16="http://schemas.microsoft.com/office/drawing/2014/main" id="{00000000-0008-0000-0000-000003000000}"/>
            </a:ext>
          </a:extLst>
        </xdr:cNvPr>
        <xdr:cNvSpPr txBox="1"/>
      </xdr:nvSpPr>
      <xdr:spPr>
        <a:xfrm>
          <a:off x="6991350" y="205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6</xdr:col>
      <xdr:colOff>952500</xdr:colOff>
      <xdr:row>14</xdr:row>
      <xdr:rowOff>0</xdr:rowOff>
    </xdr:from>
    <xdr:ext cx="184731" cy="264560"/>
    <xdr:sp macro="" textlink="">
      <xdr:nvSpPr>
        <xdr:cNvPr id="4" name="Tekstvak 3">
          <a:extLst>
            <a:ext uri="{FF2B5EF4-FFF2-40B4-BE49-F238E27FC236}">
              <a16:creationId xmlns:a16="http://schemas.microsoft.com/office/drawing/2014/main" id="{00000000-0008-0000-0000-000004000000}"/>
            </a:ext>
          </a:extLst>
        </xdr:cNvPr>
        <xdr:cNvSpPr txBox="1"/>
      </xdr:nvSpPr>
      <xdr:spPr>
        <a:xfrm>
          <a:off x="6991350" y="13735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twoCellAnchor editAs="oneCell">
    <xdr:from>
      <xdr:col>0</xdr:col>
      <xdr:colOff>130969</xdr:colOff>
      <xdr:row>2</xdr:row>
      <xdr:rowOff>47625</xdr:rowOff>
    </xdr:from>
    <xdr:to>
      <xdr:col>1</xdr:col>
      <xdr:colOff>1750218</xdr:colOff>
      <xdr:row>2</xdr:row>
      <xdr:rowOff>230666</xdr:rowOff>
    </xdr:to>
    <xdr:pic>
      <xdr:nvPicPr>
        <xdr:cNvPr id="2" name="Рисунок 1" descr="bollard">
          <a:extLst>
            <a:ext uri="{FF2B5EF4-FFF2-40B4-BE49-F238E27FC236}">
              <a16:creationId xmlns:a16="http://schemas.microsoft.com/office/drawing/2014/main" id="{ED2EB05F-83B8-48D7-9322-E2CAD20ACD5E}"/>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0969" y="511969"/>
          <a:ext cx="2071687" cy="183041"/>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16</xdr:row>
      <xdr:rowOff>0</xdr:rowOff>
    </xdr:from>
    <xdr:to>
      <xdr:col>4</xdr:col>
      <xdr:colOff>2117</xdr:colOff>
      <xdr:row>18</xdr:row>
      <xdr:rowOff>123825</xdr:rowOff>
    </xdr:to>
    <xdr:sp macro="" textlink="">
      <xdr:nvSpPr>
        <xdr:cNvPr id="2" name="Text Box 30">
          <a:extLst>
            <a:ext uri="{FF2B5EF4-FFF2-40B4-BE49-F238E27FC236}">
              <a16:creationId xmlns:a16="http://schemas.microsoft.com/office/drawing/2014/main" id="{6DA8EEAD-22B9-41D2-8847-484A4F3B2CFD}"/>
            </a:ext>
          </a:extLst>
        </xdr:cNvPr>
        <xdr:cNvSpPr txBox="1">
          <a:spLocks noChangeArrowheads="1"/>
        </xdr:cNvSpPr>
      </xdr:nvSpPr>
      <xdr:spPr bwMode="auto">
        <a:xfrm>
          <a:off x="19050" y="8467725"/>
          <a:ext cx="2888192" cy="447675"/>
        </a:xfrm>
        <a:prstGeom prst="rect">
          <a:avLst/>
        </a:prstGeom>
        <a:solidFill>
          <a:srgbClr val="00B050"/>
        </a:solidFill>
        <a:ln w="9525">
          <a:noFill/>
          <a:miter lim="800000"/>
          <a:headEnd/>
          <a:tailEnd/>
        </a:ln>
      </xdr:spPr>
      <xdr:txBody>
        <a:bodyPr vertOverflow="clip" wrap="square" lIns="91440" tIns="45720" rIns="91440" bIns="45720" anchor="t" upright="1"/>
        <a:lstStyle/>
        <a:p>
          <a:pPr algn="l" rtl="0">
            <a:lnSpc>
              <a:spcPts val="1100"/>
            </a:lnSpc>
          </a:pPr>
          <a:r>
            <a:rPr lang="en-GB" b="1">
              <a:solidFill>
                <a:srgbClr val="FFFFFF"/>
              </a:solidFill>
              <a:latin typeface="Arial"/>
              <a:cs typeface="Arial"/>
            </a:rPr>
            <a:t>LOW RISK / НИЗКИЙ РИСК</a:t>
          </a:r>
        </a:p>
        <a:p>
          <a:pPr algn="l" rtl="0">
            <a:lnSpc>
              <a:spcPts val="1100"/>
            </a:lnSpc>
          </a:pPr>
          <a:endParaRPr lang="en-GB" sz="1100"/>
        </a:p>
      </xdr:txBody>
    </xdr:sp>
    <xdr:clientData/>
  </xdr:twoCellAnchor>
  <xdr:twoCellAnchor>
    <xdr:from>
      <xdr:col>0</xdr:col>
      <xdr:colOff>28575</xdr:colOff>
      <xdr:row>21</xdr:row>
      <xdr:rowOff>28575</xdr:rowOff>
    </xdr:from>
    <xdr:to>
      <xdr:col>4</xdr:col>
      <xdr:colOff>2117</xdr:colOff>
      <xdr:row>24</xdr:row>
      <xdr:rowOff>0</xdr:rowOff>
    </xdr:to>
    <xdr:sp macro="" textlink="">
      <xdr:nvSpPr>
        <xdr:cNvPr id="3" name="Text Box 31">
          <a:extLst>
            <a:ext uri="{FF2B5EF4-FFF2-40B4-BE49-F238E27FC236}">
              <a16:creationId xmlns:a16="http://schemas.microsoft.com/office/drawing/2014/main" id="{4FF95A1E-90F6-4EC6-B07F-A805C9072708}"/>
            </a:ext>
          </a:extLst>
        </xdr:cNvPr>
        <xdr:cNvSpPr txBox="1">
          <a:spLocks noChangeArrowheads="1"/>
        </xdr:cNvSpPr>
      </xdr:nvSpPr>
      <xdr:spPr bwMode="auto">
        <a:xfrm>
          <a:off x="28575" y="9534525"/>
          <a:ext cx="2878667" cy="457200"/>
        </a:xfrm>
        <a:prstGeom prst="rect">
          <a:avLst/>
        </a:prstGeom>
        <a:solidFill>
          <a:srgbClr val="FFFF00"/>
        </a:solidFill>
        <a:ln w="9525">
          <a:noFill/>
          <a:miter lim="800000"/>
          <a:headEnd/>
          <a:tailEnd/>
        </a:ln>
      </xdr:spPr>
      <xdr:txBody>
        <a:bodyPr vertOverflow="clip" wrap="square" lIns="91440" tIns="45720" rIns="91440" bIns="45720" anchor="t" upright="1"/>
        <a:lstStyle/>
        <a:p>
          <a:pPr algn="l" rtl="0">
            <a:lnSpc>
              <a:spcPts val="1100"/>
            </a:lnSpc>
          </a:pPr>
          <a:r>
            <a:rPr lang="en-GB" b="1">
              <a:solidFill>
                <a:srgbClr val="FF0000"/>
              </a:solidFill>
              <a:latin typeface="Arial"/>
              <a:cs typeface="Arial"/>
            </a:rPr>
            <a:t>MEDIUM RISK / УМЕРЕННЫЙ РИСК</a:t>
          </a:r>
        </a:p>
        <a:p>
          <a:pPr algn="l" rtl="0">
            <a:lnSpc>
              <a:spcPts val="1100"/>
            </a:lnSpc>
          </a:pPr>
          <a:endParaRPr lang="en-GB" sz="1100"/>
        </a:p>
      </xdr:txBody>
    </xdr:sp>
    <xdr:clientData/>
  </xdr:twoCellAnchor>
  <xdr:twoCellAnchor>
    <xdr:from>
      <xdr:col>0</xdr:col>
      <xdr:colOff>2117</xdr:colOff>
      <xdr:row>26</xdr:row>
      <xdr:rowOff>76200</xdr:rowOff>
    </xdr:from>
    <xdr:to>
      <xdr:col>4</xdr:col>
      <xdr:colOff>2117</xdr:colOff>
      <xdr:row>29</xdr:row>
      <xdr:rowOff>38100</xdr:rowOff>
    </xdr:to>
    <xdr:sp macro="" textlink="">
      <xdr:nvSpPr>
        <xdr:cNvPr id="4" name="Text Box 32">
          <a:extLst>
            <a:ext uri="{FF2B5EF4-FFF2-40B4-BE49-F238E27FC236}">
              <a16:creationId xmlns:a16="http://schemas.microsoft.com/office/drawing/2014/main" id="{2D6FA0E5-0936-4645-8092-618364C2A385}"/>
            </a:ext>
          </a:extLst>
        </xdr:cNvPr>
        <xdr:cNvSpPr txBox="1">
          <a:spLocks noChangeArrowheads="1"/>
        </xdr:cNvSpPr>
      </xdr:nvSpPr>
      <xdr:spPr bwMode="auto">
        <a:xfrm>
          <a:off x="2117" y="10496550"/>
          <a:ext cx="2905125" cy="447675"/>
        </a:xfrm>
        <a:prstGeom prst="rect">
          <a:avLst/>
        </a:prstGeom>
        <a:solidFill>
          <a:srgbClr val="FF0000"/>
        </a:solidFill>
        <a:ln w="9525">
          <a:noFill/>
          <a:miter lim="800000"/>
          <a:headEnd/>
          <a:tailEnd/>
        </a:ln>
      </xdr:spPr>
      <xdr:txBody>
        <a:bodyPr vertOverflow="clip" wrap="square" lIns="91440" tIns="45720" rIns="91440" bIns="45720" anchor="t" upright="1"/>
        <a:lstStyle/>
        <a:p>
          <a:pPr algn="l" rtl="0">
            <a:lnSpc>
              <a:spcPts val="1100"/>
            </a:lnSpc>
          </a:pPr>
          <a:r>
            <a:rPr lang="en-GB" b="1">
              <a:solidFill>
                <a:srgbClr val="FFFFFF"/>
              </a:solidFill>
              <a:latin typeface="Arial"/>
              <a:cs typeface="Arial"/>
            </a:rPr>
            <a:t>HIGH RISK / ВЫСОКИЙ РИСК</a:t>
          </a:r>
        </a:p>
        <a:p>
          <a:pPr algn="l" rtl="0">
            <a:lnSpc>
              <a:spcPts val="1100"/>
            </a:lnSpc>
          </a:pPr>
          <a:endParaRPr lang="en-GB" sz="1100"/>
        </a:p>
      </xdr:txBody>
    </xdr:sp>
    <xdr:clientData/>
  </xdr:twoCellAnchor>
  <xdr:twoCellAnchor>
    <xdr:from>
      <xdr:col>4</xdr:col>
      <xdr:colOff>27214</xdr:colOff>
      <xdr:row>15</xdr:row>
      <xdr:rowOff>85727</xdr:rowOff>
    </xdr:from>
    <xdr:to>
      <xdr:col>10</xdr:col>
      <xdr:colOff>0</xdr:colOff>
      <xdr:row>19</xdr:row>
      <xdr:rowOff>197304</xdr:rowOff>
    </xdr:to>
    <xdr:sp macro="" textlink="">
      <xdr:nvSpPr>
        <xdr:cNvPr id="5" name="TextBox 4">
          <a:extLst>
            <a:ext uri="{FF2B5EF4-FFF2-40B4-BE49-F238E27FC236}">
              <a16:creationId xmlns:a16="http://schemas.microsoft.com/office/drawing/2014/main" id="{82EFD74C-C56D-4F91-87B5-9C841D3E8960}"/>
            </a:ext>
          </a:extLst>
        </xdr:cNvPr>
        <xdr:cNvSpPr txBox="1"/>
      </xdr:nvSpPr>
      <xdr:spPr>
        <a:xfrm>
          <a:off x="2932339" y="8391527"/>
          <a:ext cx="5678261" cy="7592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a:solidFill>
                <a:schemeClr val="dk1"/>
              </a:solidFill>
              <a:latin typeface="Calibri"/>
            </a:rPr>
            <a:t>Опасные факторы, уровень риска которых находится в зеленой зоне матрицы, считаются достаточно контролируемыми рисками. Дополнительные меры контроля не требуются. Необходим мониторинг регулярного применения мер контроля.</a:t>
          </a:r>
          <a:endParaRPr lang="en-GB" sz="1100"/>
        </a:p>
      </xdr:txBody>
    </xdr:sp>
    <xdr:clientData/>
  </xdr:twoCellAnchor>
  <xdr:twoCellAnchor>
    <xdr:from>
      <xdr:col>4</xdr:col>
      <xdr:colOff>29332</xdr:colOff>
      <xdr:row>20</xdr:row>
      <xdr:rowOff>57831</xdr:rowOff>
    </xdr:from>
    <xdr:to>
      <xdr:col>21</xdr:col>
      <xdr:colOff>27215</xdr:colOff>
      <xdr:row>25</xdr:row>
      <xdr:rowOff>360591</xdr:rowOff>
    </xdr:to>
    <xdr:sp macro="" textlink="">
      <xdr:nvSpPr>
        <xdr:cNvPr id="6" name="TextBox 5">
          <a:extLst>
            <a:ext uri="{FF2B5EF4-FFF2-40B4-BE49-F238E27FC236}">
              <a16:creationId xmlns:a16="http://schemas.microsoft.com/office/drawing/2014/main" id="{7D3CDB64-B116-4E46-A783-CA71418102EE}"/>
            </a:ext>
          </a:extLst>
        </xdr:cNvPr>
        <xdr:cNvSpPr txBox="1"/>
      </xdr:nvSpPr>
      <xdr:spPr>
        <a:xfrm>
          <a:off x="2934457" y="9401856"/>
          <a:ext cx="5703358" cy="10171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t>Опасные факторы, уровень риска которых находится в желтой зоне матрицы, </a:t>
          </a:r>
          <a:r>
            <a:rPr i="1"/>
            <a:t>требуют</a:t>
          </a:r>
          <a:r>
            <a:t> принятия обязательных мер по снижению уровня риска перед началом выполнения работ. Если это условие является невыполнимым, следует уведомить </a:t>
          </a:r>
          <a:r>
            <a:rPr b="1"/>
            <a:t>капитана/менеджера базового подразделения</a:t>
          </a:r>
          <a:r>
            <a:t> (в зависимости от места выполнения работ – в плавании или на берегу).</a:t>
          </a:r>
          <a:endParaRPr lang="en-GB" sz="1100"/>
        </a:p>
      </xdr:txBody>
    </xdr:sp>
    <xdr:clientData/>
  </xdr:twoCellAnchor>
  <xdr:twoCellAnchor>
    <xdr:from>
      <xdr:col>4</xdr:col>
      <xdr:colOff>2117</xdr:colOff>
      <xdr:row>26</xdr:row>
      <xdr:rowOff>19050</xdr:rowOff>
    </xdr:from>
    <xdr:to>
      <xdr:col>10</xdr:col>
      <xdr:colOff>0</xdr:colOff>
      <xdr:row>32</xdr:row>
      <xdr:rowOff>224518</xdr:rowOff>
    </xdr:to>
    <xdr:sp macro="" textlink="">
      <xdr:nvSpPr>
        <xdr:cNvPr id="7" name="TextBox 6">
          <a:extLst>
            <a:ext uri="{FF2B5EF4-FFF2-40B4-BE49-F238E27FC236}">
              <a16:creationId xmlns:a16="http://schemas.microsoft.com/office/drawing/2014/main" id="{9FF64190-2FC8-4F40-8058-040CFB052FD7}"/>
            </a:ext>
          </a:extLst>
        </xdr:cNvPr>
        <xdr:cNvSpPr txBox="1"/>
      </xdr:nvSpPr>
      <xdr:spPr>
        <a:xfrm>
          <a:off x="2907242" y="10439400"/>
          <a:ext cx="5703358" cy="11770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t>При наличии опасных факторов с уровнем риска в красной зоне приступать к выполнению задания </a:t>
          </a:r>
          <a:r>
            <a:rPr i="1"/>
            <a:t>запрещено</a:t>
          </a:r>
          <a:r>
            <a:t>. Необходимо уведомить </a:t>
          </a:r>
          <a:r>
            <a:rPr b="1"/>
            <a:t>капитана/менеджера базового подразделения</a:t>
          </a:r>
          <a:r>
            <a:t> (в море/на берегу, в зависимости от обстоятельств). Если снижение уровня риска не представляется возможным даже при наличии неограниченных ресурсов, запрет на выполнение работ должен оставаться в силе до тех пор, пока не будет найден более безопасный способ выполнения задания.</a:t>
          </a:r>
          <a:r>
            <a:rPr lang="en-GB"/>
            <a:t> </a:t>
          </a:r>
          <a:endParaRPr lang="en-GB" sz="1100"/>
        </a:p>
      </xdr:txBody>
    </xdr:sp>
    <xdr:clientData/>
  </xdr:twoCellAnchor>
  <xdr:twoCellAnchor>
    <xdr:from>
      <xdr:col>3</xdr:col>
      <xdr:colOff>938893</xdr:colOff>
      <xdr:row>32</xdr:row>
      <xdr:rowOff>312964</xdr:rowOff>
    </xdr:from>
    <xdr:to>
      <xdr:col>9</xdr:col>
      <xdr:colOff>843643</xdr:colOff>
      <xdr:row>32</xdr:row>
      <xdr:rowOff>809625</xdr:rowOff>
    </xdr:to>
    <xdr:sp macro="" textlink="">
      <xdr:nvSpPr>
        <xdr:cNvPr id="8" name="TextBox 7">
          <a:extLst>
            <a:ext uri="{FF2B5EF4-FFF2-40B4-BE49-F238E27FC236}">
              <a16:creationId xmlns:a16="http://schemas.microsoft.com/office/drawing/2014/main" id="{4A7EE2EF-C064-4807-AEFD-653E96A797B6}"/>
            </a:ext>
          </a:extLst>
        </xdr:cNvPr>
        <xdr:cNvSpPr txBox="1"/>
      </xdr:nvSpPr>
      <xdr:spPr>
        <a:xfrm>
          <a:off x="2862943" y="11704864"/>
          <a:ext cx="5667375" cy="4871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lang="en-GB" b="1">
              <a:solidFill>
                <a:schemeClr val="dk1"/>
              </a:solidFill>
              <a:latin typeface="Calibri"/>
            </a:rPr>
            <a:t>РИСК = ВЕРОЯТНОСТЬ X ТЯЖЕСТЬ ПОСЛЕДСТВИЙ</a:t>
          </a:r>
          <a:endParaRPr lang="en-GB" sz="1100"/>
        </a:p>
      </xdr:txBody>
    </xdr:sp>
    <xdr:clientData/>
  </xdr:twoCellAnchor>
  <xdr:oneCellAnchor>
    <xdr:from>
      <xdr:col>0</xdr:col>
      <xdr:colOff>171450</xdr:colOff>
      <xdr:row>1</xdr:row>
      <xdr:rowOff>66675</xdr:rowOff>
    </xdr:from>
    <xdr:ext cx="2071687" cy="183041"/>
    <xdr:pic>
      <xdr:nvPicPr>
        <xdr:cNvPr id="9" name="Рисунок 8" descr="bollard">
          <a:extLst>
            <a:ext uri="{FF2B5EF4-FFF2-40B4-BE49-F238E27FC236}">
              <a16:creationId xmlns:a16="http://schemas.microsoft.com/office/drawing/2014/main" id="{8DB492DC-5AE8-4940-BC6F-C2EF79D31C68}"/>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50" y="390525"/>
          <a:ext cx="2071687" cy="183041"/>
        </a:xfrm>
        <a:prstGeom prst="rect">
          <a:avLst/>
        </a:prstGeom>
        <a:noFill/>
      </xdr:spPr>
    </xdr:pic>
    <xdr:clientData/>
  </xdr:oneCellAnchor>
</xdr:wsDr>
</file>

<file path=xl/theme/theme1.xml><?xml version="1.0" encoding="utf-8"?>
<a:theme xmlns:a="http://schemas.openxmlformats.org/drawingml/2006/main" name="Thème Office">
  <a:themeElements>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W58"/>
  <sheetViews>
    <sheetView topLeftCell="A34" zoomScale="80" zoomScaleNormal="80" zoomScalePageLayoutView="70" workbookViewId="0">
      <selection activeCell="A46" sqref="A46:B46"/>
    </sheetView>
  </sheetViews>
  <sheetFormatPr defaultColWidth="9.140625" defaultRowHeight="12.75" x14ac:dyDescent="0.2"/>
  <cols>
    <col min="1" max="1" width="6.85546875" style="3" customWidth="1"/>
    <col min="2" max="2" width="28.5703125" style="3" customWidth="1"/>
    <col min="3" max="3" width="66.140625" style="3" customWidth="1"/>
    <col min="4" max="4" width="4.85546875" style="3" customWidth="1"/>
    <col min="5" max="5" width="5.140625" style="3" customWidth="1"/>
    <col min="6" max="6" width="5.42578125" style="3" customWidth="1"/>
    <col min="7" max="7" width="16.85546875" style="3" customWidth="1"/>
    <col min="8" max="8" width="37" style="3" customWidth="1"/>
    <col min="9" max="9" width="58.42578125" style="3" hidden="1" customWidth="1"/>
    <col min="10" max="10" width="19.5703125" style="3" customWidth="1"/>
    <col min="11" max="11" width="5.42578125" style="3" customWidth="1"/>
    <col min="12" max="12" width="5.140625" style="3" customWidth="1"/>
    <col min="13" max="13" width="5.5703125" style="3" customWidth="1"/>
    <col min="14" max="14" width="10.140625" style="3" customWidth="1"/>
    <col min="15" max="15" width="9.140625" style="3" customWidth="1"/>
    <col min="16" max="16" width="9.140625" style="3" hidden="1" customWidth="1"/>
    <col min="17" max="17" width="11.5703125" style="7" hidden="1" customWidth="1"/>
    <col min="18" max="18" width="13.42578125" style="3" hidden="1" customWidth="1"/>
    <col min="19" max="20" width="14.42578125" style="3" hidden="1" customWidth="1"/>
    <col min="21" max="21" width="10.140625" style="3" hidden="1" customWidth="1"/>
    <col min="22" max="23" width="9.140625" style="3" hidden="1" customWidth="1"/>
    <col min="24" max="16384" width="9.140625" style="3"/>
  </cols>
  <sheetData>
    <row r="1" spans="1:23" ht="11.25" customHeight="1" x14ac:dyDescent="0.35">
      <c r="A1" s="131"/>
      <c r="B1" s="132"/>
      <c r="C1" s="51"/>
      <c r="D1" s="52"/>
      <c r="E1" s="52"/>
      <c r="F1" s="52"/>
      <c r="G1" s="53"/>
      <c r="H1" s="54"/>
      <c r="I1" s="1"/>
      <c r="J1" s="59"/>
      <c r="K1" s="53"/>
      <c r="L1" s="53"/>
      <c r="M1" s="60"/>
      <c r="Q1" s="14" t="s">
        <v>8</v>
      </c>
      <c r="R1" s="14" t="s">
        <v>9</v>
      </c>
      <c r="S1" s="14" t="s">
        <v>10</v>
      </c>
      <c r="T1" s="14" t="s">
        <v>11</v>
      </c>
      <c r="U1" s="14" t="s">
        <v>12</v>
      </c>
      <c r="V1" s="14" t="s">
        <v>13</v>
      </c>
      <c r="W1" s="18" t="s">
        <v>14</v>
      </c>
    </row>
    <row r="2" spans="1:23" ht="25.5" customHeight="1" x14ac:dyDescent="0.2">
      <c r="A2" s="133"/>
      <c r="B2" s="134"/>
      <c r="C2" s="55"/>
      <c r="D2" s="50"/>
      <c r="E2" s="50"/>
      <c r="F2" s="50"/>
      <c r="G2" s="50"/>
      <c r="H2" s="56"/>
      <c r="I2" s="4"/>
      <c r="J2" s="117" t="s">
        <v>145</v>
      </c>
      <c r="K2" s="118"/>
      <c r="L2" s="118"/>
      <c r="M2" s="119"/>
      <c r="P2" s="7"/>
      <c r="Q2" s="14">
        <v>1</v>
      </c>
      <c r="R2" s="14" t="s">
        <v>15</v>
      </c>
      <c r="S2" s="15"/>
      <c r="T2" s="15"/>
      <c r="U2" s="15"/>
      <c r="V2" s="15"/>
      <c r="W2" s="18" t="s">
        <v>16</v>
      </c>
    </row>
    <row r="3" spans="1:23" ht="25.5" customHeight="1" x14ac:dyDescent="0.2">
      <c r="A3" s="133"/>
      <c r="B3" s="134"/>
      <c r="C3" s="128" t="s">
        <v>56</v>
      </c>
      <c r="D3" s="129"/>
      <c r="E3" s="129"/>
      <c r="F3" s="129"/>
      <c r="G3" s="129"/>
      <c r="H3" s="130"/>
      <c r="J3" s="117" t="s">
        <v>146</v>
      </c>
      <c r="K3" s="118"/>
      <c r="L3" s="118"/>
      <c r="M3" s="119"/>
      <c r="P3" s="7"/>
      <c r="Q3" s="14">
        <v>2</v>
      </c>
      <c r="R3" s="14" t="s">
        <v>17</v>
      </c>
      <c r="S3" s="15"/>
      <c r="T3" s="15"/>
      <c r="U3" s="15"/>
      <c r="V3" s="15"/>
      <c r="W3" s="18" t="s">
        <v>18</v>
      </c>
    </row>
    <row r="4" spans="1:23" ht="33.75" customHeight="1" x14ac:dyDescent="0.2">
      <c r="A4" s="135"/>
      <c r="B4" s="136"/>
      <c r="C4" s="58"/>
      <c r="H4" s="57"/>
      <c r="J4" s="120" t="s">
        <v>147</v>
      </c>
      <c r="K4" s="121"/>
      <c r="L4" s="121"/>
      <c r="M4" s="122"/>
      <c r="P4" s="7"/>
      <c r="Q4" s="14"/>
      <c r="R4" s="14"/>
      <c r="S4" s="15"/>
      <c r="T4" s="15"/>
      <c r="U4" s="15"/>
      <c r="V4" s="15"/>
      <c r="W4" s="18"/>
    </row>
    <row r="5" spans="1:23" ht="8.4499999999999993" customHeight="1" x14ac:dyDescent="0.2">
      <c r="A5" s="61"/>
      <c r="B5" s="61"/>
      <c r="C5" s="61"/>
      <c r="D5" s="61"/>
      <c r="E5" s="61"/>
      <c r="F5" s="61"/>
      <c r="G5" s="61"/>
      <c r="H5" s="61"/>
      <c r="I5" s="61"/>
      <c r="J5" s="61"/>
      <c r="K5" s="61"/>
      <c r="L5" s="61"/>
      <c r="M5" s="61"/>
      <c r="P5" s="7"/>
      <c r="Q5" s="14">
        <v>3</v>
      </c>
      <c r="R5" s="14" t="s">
        <v>19</v>
      </c>
      <c r="S5" s="15"/>
      <c r="T5" s="15"/>
      <c r="U5" s="15"/>
      <c r="V5" s="15"/>
      <c r="W5" s="18" t="s">
        <v>20</v>
      </c>
    </row>
    <row r="6" spans="1:23" s="7" customFormat="1" ht="57" customHeight="1" x14ac:dyDescent="0.2">
      <c r="A6" s="161" t="s">
        <v>57</v>
      </c>
      <c r="B6" s="162"/>
      <c r="C6" s="72"/>
      <c r="D6" s="62"/>
      <c r="E6" s="62"/>
      <c r="F6" s="63"/>
      <c r="G6" s="166" t="s">
        <v>61</v>
      </c>
      <c r="H6" s="74" t="s">
        <v>142</v>
      </c>
      <c r="I6" s="62"/>
      <c r="J6" s="167" t="s">
        <v>64</v>
      </c>
      <c r="K6" s="123" t="s">
        <v>63</v>
      </c>
      <c r="L6" s="123"/>
      <c r="M6" s="124"/>
      <c r="Q6" s="14">
        <v>4</v>
      </c>
      <c r="R6" s="14" t="s">
        <v>21</v>
      </c>
      <c r="S6" s="14"/>
      <c r="T6" s="14"/>
      <c r="U6" s="14"/>
      <c r="V6" s="14"/>
    </row>
    <row r="7" spans="1:23" s="7" customFormat="1" ht="36" customHeight="1" x14ac:dyDescent="0.2">
      <c r="A7" s="161" t="s">
        <v>58</v>
      </c>
      <c r="B7" s="162"/>
      <c r="C7" s="71"/>
      <c r="D7" s="163" t="s">
        <v>59</v>
      </c>
      <c r="E7" s="164"/>
      <c r="F7" s="165"/>
      <c r="G7" s="166" t="s">
        <v>60</v>
      </c>
      <c r="H7" s="85" t="s">
        <v>62</v>
      </c>
      <c r="I7" s="86"/>
      <c r="J7" s="87"/>
      <c r="K7" s="163" t="s">
        <v>65</v>
      </c>
      <c r="L7" s="164"/>
      <c r="M7" s="165"/>
      <c r="Q7" s="14">
        <v>5</v>
      </c>
      <c r="R7" s="14" t="s">
        <v>22</v>
      </c>
      <c r="S7" s="14"/>
      <c r="T7" s="14"/>
      <c r="U7" s="14"/>
      <c r="V7" s="14"/>
    </row>
    <row r="8" spans="1:23" ht="158.25" customHeight="1" x14ac:dyDescent="0.2">
      <c r="A8" s="156" t="s">
        <v>66</v>
      </c>
      <c r="B8" s="156" t="s">
        <v>67</v>
      </c>
      <c r="C8" s="156" t="s">
        <v>68</v>
      </c>
      <c r="D8" s="157" t="s">
        <v>69</v>
      </c>
      <c r="E8" s="157" t="s">
        <v>70</v>
      </c>
      <c r="F8" s="157" t="s">
        <v>71</v>
      </c>
      <c r="G8" s="158" t="s">
        <v>72</v>
      </c>
      <c r="H8" s="159"/>
      <c r="I8" s="159"/>
      <c r="J8" s="160"/>
      <c r="K8" s="157" t="s">
        <v>69</v>
      </c>
      <c r="L8" s="157" t="s">
        <v>70</v>
      </c>
      <c r="M8" s="157" t="s">
        <v>73</v>
      </c>
      <c r="Q8" s="14"/>
      <c r="R8" s="15"/>
      <c r="S8" s="15"/>
      <c r="T8" s="15"/>
      <c r="U8" s="15" t="str">
        <f>IF(L11="","",IF(N11="","",IF(M11+O11&lt;=5,$W$14,IF(M11+O11=6,$W$15,IF(M11+O11=7,$W$15,IF(M11+O11&gt;=8,$W$16,""))))))</f>
        <v/>
      </c>
      <c r="V8" s="15"/>
    </row>
    <row r="9" spans="1:23" ht="329.25" customHeight="1" x14ac:dyDescent="0.2">
      <c r="A9" s="73">
        <v>1</v>
      </c>
      <c r="B9" s="77" t="s">
        <v>74</v>
      </c>
      <c r="C9" s="75" t="s">
        <v>75</v>
      </c>
      <c r="D9" s="20">
        <v>4</v>
      </c>
      <c r="E9" s="13" t="s">
        <v>0</v>
      </c>
      <c r="F9" s="68" t="str">
        <f t="shared" ref="F9:F14" si="0">IF(D9="","",(IF(E9="","",IF(U9&lt;=1,"",IF(U9&lt;=5,$W$2,IF(U9=6,$W$3,IF(U9=7,$W$3,IF(U9&gt;=8,$W$5,""))))))))</f>
        <v>M</v>
      </c>
      <c r="G9" s="125" t="s">
        <v>76</v>
      </c>
      <c r="H9" s="126"/>
      <c r="I9" s="126"/>
      <c r="J9" s="127"/>
      <c r="K9" s="20">
        <v>1</v>
      </c>
      <c r="L9" s="13" t="s">
        <v>1</v>
      </c>
      <c r="M9" s="64" t="str">
        <f t="shared" ref="M9:M14" si="1">IF(K9="","",(IF(L9="","",IF(V9&lt;=1,"",IF(V9&lt;=5,$W$2,IF(V9=6,$W$3,IF(V9=7,$W$3,IF(V9&gt;=8,$W$5,""))))))))</f>
        <v>L</v>
      </c>
      <c r="Q9" s="14"/>
      <c r="R9" s="15"/>
      <c r="S9" s="19">
        <f>IF(E9="A",1,IF(E9="B",2,IF(E9="C",3,IF(E9="D",4,IF(E9="E",5,"")))))</f>
        <v>3</v>
      </c>
      <c r="T9" s="19">
        <f t="shared" ref="T9:T14" si="2">IF(L9="A",1,IF(L9="B",2,IF(L9="C",3,IF(L9="D",4,IF(L9="E",5,"")))))</f>
        <v>3</v>
      </c>
      <c r="U9" s="15">
        <f>D9+S9</f>
        <v>7</v>
      </c>
      <c r="V9" s="15">
        <f t="shared" ref="V9:V14" si="3">K9+T9</f>
        <v>4</v>
      </c>
    </row>
    <row r="10" spans="1:23" ht="125.25" customHeight="1" x14ac:dyDescent="0.2">
      <c r="A10" s="73">
        <v>2</v>
      </c>
      <c r="B10" s="77" t="s">
        <v>77</v>
      </c>
      <c r="C10" s="76" t="s">
        <v>78</v>
      </c>
      <c r="D10" s="20">
        <v>3</v>
      </c>
      <c r="E10" s="13" t="s">
        <v>2</v>
      </c>
      <c r="F10" s="68" t="str">
        <f t="shared" si="0"/>
        <v>M</v>
      </c>
      <c r="G10" s="125" t="s">
        <v>79</v>
      </c>
      <c r="H10" s="126"/>
      <c r="I10" s="126"/>
      <c r="J10" s="127"/>
      <c r="K10" s="20">
        <v>1</v>
      </c>
      <c r="L10" s="13" t="s">
        <v>3</v>
      </c>
      <c r="M10" s="64" t="str">
        <f t="shared" si="1"/>
        <v>L</v>
      </c>
      <c r="Q10" s="14"/>
      <c r="R10" s="15"/>
      <c r="S10" s="19">
        <f>IF(E10="A",1,IF(E10="B",2,IF(E10="C",3,IF(E10="D",4,IF(E10="E",5,"")))))</f>
        <v>3</v>
      </c>
      <c r="T10" s="19">
        <f t="shared" si="2"/>
        <v>3</v>
      </c>
      <c r="U10" s="15">
        <f>D10+S10</f>
        <v>6</v>
      </c>
      <c r="V10" s="15">
        <f t="shared" si="3"/>
        <v>4</v>
      </c>
    </row>
    <row r="11" spans="1:23" ht="198.75" customHeight="1" x14ac:dyDescent="0.2">
      <c r="A11" s="73">
        <v>3</v>
      </c>
      <c r="B11" s="78" t="s">
        <v>80</v>
      </c>
      <c r="C11" s="76" t="s">
        <v>81</v>
      </c>
      <c r="D11" s="20">
        <v>3</v>
      </c>
      <c r="E11" s="13" t="s">
        <v>4</v>
      </c>
      <c r="F11" s="68" t="str">
        <f t="shared" si="0"/>
        <v>L</v>
      </c>
      <c r="G11" s="125" t="s">
        <v>82</v>
      </c>
      <c r="H11" s="126"/>
      <c r="I11" s="126"/>
      <c r="J11" s="127"/>
      <c r="K11" s="20">
        <v>2</v>
      </c>
      <c r="L11" s="13" t="s">
        <v>5</v>
      </c>
      <c r="M11" s="64" t="str">
        <f t="shared" si="1"/>
        <v>L</v>
      </c>
      <c r="Q11" s="14"/>
      <c r="R11" s="15"/>
      <c r="S11" s="19">
        <f>IF(E11="A",1,IF(E11="B",2,IF(E11="C",3,IF(E11="D",4,IF(E11="E",5,"")))))</f>
        <v>2</v>
      </c>
      <c r="T11" s="19">
        <f t="shared" si="2"/>
        <v>2</v>
      </c>
      <c r="U11" s="15">
        <f>D11+S11</f>
        <v>5</v>
      </c>
      <c r="V11" s="15">
        <f t="shared" si="3"/>
        <v>4</v>
      </c>
    </row>
    <row r="12" spans="1:23" ht="231" customHeight="1" x14ac:dyDescent="0.2">
      <c r="A12" s="73">
        <v>4</v>
      </c>
      <c r="B12" s="78" t="s">
        <v>83</v>
      </c>
      <c r="C12" s="76" t="s">
        <v>55</v>
      </c>
      <c r="D12" s="20">
        <v>3</v>
      </c>
      <c r="E12" s="13" t="s">
        <v>17</v>
      </c>
      <c r="F12" s="68" t="s">
        <v>16</v>
      </c>
      <c r="G12" s="125" t="s">
        <v>84</v>
      </c>
      <c r="H12" s="126"/>
      <c r="I12" s="126"/>
      <c r="J12" s="127"/>
      <c r="K12" s="20">
        <v>1</v>
      </c>
      <c r="L12" s="13" t="s">
        <v>17</v>
      </c>
      <c r="M12" s="64" t="s">
        <v>16</v>
      </c>
      <c r="Q12" s="14"/>
      <c r="R12" s="15"/>
      <c r="S12" s="19"/>
      <c r="T12" s="19"/>
      <c r="U12" s="15"/>
      <c r="V12" s="15"/>
    </row>
    <row r="13" spans="1:23" ht="226.5" customHeight="1" x14ac:dyDescent="0.2">
      <c r="A13" s="73">
        <v>5</v>
      </c>
      <c r="B13" s="78" t="s">
        <v>85</v>
      </c>
      <c r="C13" s="76" t="s">
        <v>86</v>
      </c>
      <c r="D13" s="20">
        <v>3</v>
      </c>
      <c r="E13" s="13" t="s">
        <v>19</v>
      </c>
      <c r="F13" s="68" t="s">
        <v>18</v>
      </c>
      <c r="G13" s="125" t="s">
        <v>87</v>
      </c>
      <c r="H13" s="126"/>
      <c r="I13" s="126"/>
      <c r="J13" s="127"/>
      <c r="K13" s="20"/>
      <c r="L13" s="13"/>
      <c r="M13" s="64"/>
      <c r="Q13" s="14"/>
      <c r="R13" s="15"/>
      <c r="S13" s="19"/>
      <c r="T13" s="19"/>
      <c r="U13" s="15"/>
      <c r="V13" s="15"/>
    </row>
    <row r="14" spans="1:23" ht="94.5" customHeight="1" x14ac:dyDescent="0.2">
      <c r="A14" s="73">
        <v>6</v>
      </c>
      <c r="B14" s="78" t="s">
        <v>88</v>
      </c>
      <c r="C14" s="76" t="s">
        <v>90</v>
      </c>
      <c r="D14" s="20">
        <v>3</v>
      </c>
      <c r="E14" s="13" t="s">
        <v>6</v>
      </c>
      <c r="F14" s="68" t="str">
        <f t="shared" si="0"/>
        <v>M</v>
      </c>
      <c r="G14" s="125" t="s">
        <v>89</v>
      </c>
      <c r="H14" s="126"/>
      <c r="I14" s="126"/>
      <c r="J14" s="127"/>
      <c r="K14" s="20">
        <v>1</v>
      </c>
      <c r="L14" s="13" t="s">
        <v>7</v>
      </c>
      <c r="M14" s="64" t="str">
        <f t="shared" si="1"/>
        <v>L</v>
      </c>
      <c r="Q14" s="14"/>
      <c r="R14" s="15"/>
      <c r="S14" s="19">
        <f>IF(E14="A",1,IF(E14="B",2,IF(E14="C",3,IF(E14="D",4,IF(E14="E",5,"")))))</f>
        <v>4</v>
      </c>
      <c r="T14" s="19">
        <f t="shared" si="2"/>
        <v>4</v>
      </c>
      <c r="U14" s="15">
        <f>D14+S14</f>
        <v>7</v>
      </c>
      <c r="V14" s="15">
        <f t="shared" si="3"/>
        <v>5</v>
      </c>
    </row>
    <row r="15" spans="1:23" ht="42" customHeight="1" x14ac:dyDescent="0.2">
      <c r="A15" s="91" t="s">
        <v>91</v>
      </c>
      <c r="B15" s="92"/>
      <c r="C15" s="92"/>
      <c r="D15" s="92"/>
      <c r="E15" s="92"/>
      <c r="F15" s="92"/>
      <c r="G15" s="92"/>
      <c r="H15" s="92"/>
      <c r="I15" s="92"/>
      <c r="J15" s="92"/>
      <c r="K15" s="92"/>
      <c r="L15" s="92"/>
      <c r="M15" s="93"/>
      <c r="Q15" s="14"/>
      <c r="R15" s="15"/>
      <c r="S15" s="19" t="e">
        <f>IF(#REF!="A",1,IF(#REF!="B",2,IF(#REF!="C",3,IF(#REF!="D",4,IF(#REF!="E",5,"")))))</f>
        <v>#REF!</v>
      </c>
      <c r="T15" s="19" t="e">
        <f>IF(#REF!="A",1,IF(#REF!="B",2,IF(#REF!="C",3,IF(#REF!="D",4,IF(#REF!="E",5,"")))))</f>
        <v>#REF!</v>
      </c>
      <c r="U15" s="15" t="e">
        <f>#REF!+S15</f>
        <v>#REF!</v>
      </c>
      <c r="V15" s="15" t="e">
        <f>#REF!+T15</f>
        <v>#REF!</v>
      </c>
    </row>
    <row r="16" spans="1:23" ht="46.5" customHeight="1" x14ac:dyDescent="0.2">
      <c r="A16" s="168" t="s">
        <v>92</v>
      </c>
      <c r="B16" s="169"/>
      <c r="C16" s="169"/>
      <c r="D16" s="169"/>
      <c r="E16" s="169"/>
      <c r="F16" s="169"/>
      <c r="G16" s="169"/>
      <c r="H16" s="169"/>
      <c r="I16" s="169"/>
      <c r="J16" s="169"/>
      <c r="K16" s="169"/>
      <c r="L16" s="169"/>
      <c r="M16" s="169"/>
      <c r="Q16" s="14"/>
      <c r="R16" s="15"/>
      <c r="S16" s="19" t="e">
        <f>IF(#REF!="A",1,IF(#REF!="B",2,IF(#REF!="C",3,IF(#REF!="D",4,IF(#REF!="E",5,"")))))</f>
        <v>#REF!</v>
      </c>
      <c r="T16" s="19" t="e">
        <f>IF(#REF!="A",1,IF(#REF!="B",2,IF(#REF!="C",3,IF(#REF!="D",4,IF(#REF!="E",5,"")))))</f>
        <v>#REF!</v>
      </c>
      <c r="U16" s="15" t="e">
        <f>#REF!+S16</f>
        <v>#REF!</v>
      </c>
      <c r="V16" s="15" t="e">
        <f>#REF!+T16</f>
        <v>#REF!</v>
      </c>
    </row>
    <row r="17" spans="1:22" ht="33" customHeight="1" x14ac:dyDescent="0.35">
      <c r="A17" s="170" t="s">
        <v>143</v>
      </c>
      <c r="B17" s="171"/>
      <c r="C17" s="171"/>
      <c r="D17" s="172"/>
      <c r="E17" s="172"/>
      <c r="F17" s="172"/>
      <c r="G17" s="173"/>
      <c r="H17" s="174"/>
      <c r="I17" s="174"/>
      <c r="J17" s="174"/>
      <c r="K17" s="174"/>
      <c r="L17" s="175"/>
      <c r="M17" s="176"/>
      <c r="Q17" s="14"/>
      <c r="R17" s="15"/>
      <c r="S17" s="19" t="e">
        <f>IF(#REF!="A",1,IF(#REF!="B",2,IF(#REF!="C",3,IF(#REF!="D",4,IF(#REF!="E",5,"")))))</f>
        <v>#REF!</v>
      </c>
      <c r="T17" s="19" t="e">
        <f>IF(#REF!="A",1,IF(#REF!="B",2,IF(#REF!="C",3,IF(#REF!="D",4,IF(#REF!="E",5,"")))))</f>
        <v>#REF!</v>
      </c>
      <c r="U17" s="15" t="e">
        <f>#REF!+S17</f>
        <v>#REF!</v>
      </c>
      <c r="V17" s="15" t="e">
        <f>#REF!+T17</f>
        <v>#REF!</v>
      </c>
    </row>
    <row r="18" spans="1:22" ht="45" customHeight="1" x14ac:dyDescent="0.2">
      <c r="A18" s="106" t="s">
        <v>93</v>
      </c>
      <c r="B18" s="107"/>
      <c r="C18" s="107"/>
      <c r="D18" s="107"/>
      <c r="E18" s="107"/>
      <c r="F18" s="107"/>
      <c r="G18" s="107"/>
      <c r="H18" s="107"/>
      <c r="I18" s="107"/>
      <c r="J18" s="107"/>
      <c r="K18" s="107"/>
      <c r="L18" s="107"/>
      <c r="M18" s="108"/>
      <c r="Q18" s="14"/>
      <c r="R18" s="15"/>
      <c r="S18" s="19" t="e">
        <f>IF(#REF!="A",1,IF(#REF!="B",2,IF(#REF!="C",3,IF(#REF!="D",4,IF(#REF!="E",5,"")))))</f>
        <v>#REF!</v>
      </c>
      <c r="T18" s="19" t="e">
        <f>IF(#REF!="A",1,IF(#REF!="B",2,IF(#REF!="C",3,IF(#REF!="D",4,IF(#REF!="E",5,"")))))</f>
        <v>#REF!</v>
      </c>
      <c r="U18" s="15" t="e">
        <f>#REF!+S18</f>
        <v>#REF!</v>
      </c>
      <c r="V18" s="15" t="e">
        <f>#REF!+T18</f>
        <v>#REF!</v>
      </c>
    </row>
    <row r="19" spans="1:22" ht="45.6" customHeight="1" x14ac:dyDescent="0.2">
      <c r="A19" s="114" t="s">
        <v>144</v>
      </c>
      <c r="B19" s="115"/>
      <c r="C19" s="115"/>
      <c r="D19" s="115"/>
      <c r="E19" s="115"/>
      <c r="F19" s="115"/>
      <c r="G19" s="115"/>
      <c r="H19" s="115"/>
      <c r="I19" s="115"/>
      <c r="J19" s="115"/>
      <c r="K19" s="115"/>
      <c r="L19" s="115"/>
      <c r="M19" s="116"/>
      <c r="Q19" s="14"/>
      <c r="R19" s="15"/>
      <c r="S19" s="19" t="e">
        <f>IF(#REF!="A",1,IF(#REF!="B",2,IF(#REF!="C",3,IF(#REF!="D",4,IF(#REF!="E",5,"")))))</f>
        <v>#REF!</v>
      </c>
      <c r="T19" s="19" t="e">
        <f>IF(#REF!="A",1,IF(#REF!="B",2,IF(#REF!="C",3,IF(#REF!="D",4,IF(#REF!="E",5,"")))))</f>
        <v>#REF!</v>
      </c>
      <c r="U19" s="15" t="e">
        <f>#REF!+S19</f>
        <v>#REF!</v>
      </c>
      <c r="V19" s="15" t="e">
        <f>#REF!+T19</f>
        <v>#REF!</v>
      </c>
    </row>
    <row r="20" spans="1:22" ht="45" customHeight="1" x14ac:dyDescent="0.2">
      <c r="A20" s="65">
        <v>1</v>
      </c>
      <c r="B20" s="94" t="s">
        <v>94</v>
      </c>
      <c r="C20" s="109"/>
      <c r="D20" s="109"/>
      <c r="E20" s="109"/>
      <c r="F20" s="109"/>
      <c r="G20" s="109"/>
      <c r="H20" s="109"/>
      <c r="I20" s="109"/>
      <c r="J20" s="109"/>
      <c r="K20" s="109"/>
      <c r="L20" s="109"/>
      <c r="M20" s="110"/>
      <c r="Q20" s="14"/>
      <c r="R20" s="15"/>
      <c r="S20" s="19" t="e">
        <f>IF(#REF!="A",1,IF(#REF!="B",2,IF(#REF!="C",3,IF(#REF!="D",4,IF(#REF!="E",5,"")))))</f>
        <v>#REF!</v>
      </c>
      <c r="T20" s="19" t="e">
        <f>IF(#REF!="A",1,IF(#REF!="B",2,IF(#REF!="C",3,IF(#REF!="D",4,IF(#REF!="E",5,"")))))</f>
        <v>#REF!</v>
      </c>
      <c r="U20" s="15" t="e">
        <f>#REF!+S20</f>
        <v>#REF!</v>
      </c>
      <c r="V20" s="15" t="e">
        <f>#REF!+T20</f>
        <v>#REF!</v>
      </c>
    </row>
    <row r="21" spans="1:22" ht="45" customHeight="1" x14ac:dyDescent="0.2">
      <c r="A21" s="65">
        <v>2</v>
      </c>
      <c r="B21" s="111" t="s">
        <v>95</v>
      </c>
      <c r="C21" s="112"/>
      <c r="D21" s="112"/>
      <c r="E21" s="112"/>
      <c r="F21" s="112"/>
      <c r="G21" s="112"/>
      <c r="H21" s="112"/>
      <c r="I21" s="112"/>
      <c r="J21" s="112"/>
      <c r="K21" s="112"/>
      <c r="L21" s="112"/>
      <c r="M21" s="113"/>
      <c r="Q21" s="14"/>
      <c r="R21" s="15"/>
      <c r="S21" s="19" t="e">
        <f>IF(#REF!="A",1,IF(#REF!="B",2,IF(#REF!="C",3,IF(#REF!="D",4,IF(#REF!="E",5,"")))))</f>
        <v>#REF!</v>
      </c>
      <c r="T21" s="19" t="e">
        <f>IF(#REF!="A",1,IF(#REF!="B",2,IF(#REF!="C",3,IF(#REF!="D",4,IF(#REF!="E",5,"")))))</f>
        <v>#REF!</v>
      </c>
      <c r="U21" s="15" t="e">
        <f>#REF!+S21</f>
        <v>#REF!</v>
      </c>
      <c r="V21" s="15" t="e">
        <f>#REF!+T21</f>
        <v>#REF!</v>
      </c>
    </row>
    <row r="22" spans="1:22" ht="45" customHeight="1" x14ac:dyDescent="0.2">
      <c r="A22" s="65">
        <v>3</v>
      </c>
      <c r="B22" s="94" t="s">
        <v>96</v>
      </c>
      <c r="C22" s="109"/>
      <c r="D22" s="109"/>
      <c r="E22" s="109"/>
      <c r="F22" s="109"/>
      <c r="G22" s="109"/>
      <c r="H22" s="109"/>
      <c r="I22" s="109"/>
      <c r="J22" s="109"/>
      <c r="K22" s="109"/>
      <c r="L22" s="109"/>
      <c r="M22" s="110"/>
      <c r="Q22" s="14"/>
      <c r="R22" s="15"/>
      <c r="S22" s="19" t="e">
        <f>IF(#REF!="A",1,IF(#REF!="B",2,IF(#REF!="C",3,IF(#REF!="D",4,IF(#REF!="E",5,"")))))</f>
        <v>#REF!</v>
      </c>
      <c r="T22" s="19" t="e">
        <f>IF(#REF!="A",1,IF(#REF!="B",2,IF(#REF!="C",3,IF(#REF!="D",4,IF(#REF!="E",5,"")))))</f>
        <v>#REF!</v>
      </c>
      <c r="U22" s="15" t="e">
        <f>#REF!+S22</f>
        <v>#REF!</v>
      </c>
      <c r="V22" s="15" t="e">
        <f>#REF!+T22</f>
        <v>#REF!</v>
      </c>
    </row>
    <row r="23" spans="1:22" ht="45" customHeight="1" x14ac:dyDescent="0.2">
      <c r="A23" s="65">
        <v>4</v>
      </c>
      <c r="B23" s="111" t="s">
        <v>97</v>
      </c>
      <c r="C23" s="112"/>
      <c r="D23" s="112"/>
      <c r="E23" s="112"/>
      <c r="F23" s="112"/>
      <c r="G23" s="112"/>
      <c r="H23" s="112"/>
      <c r="I23" s="112"/>
      <c r="J23" s="112"/>
      <c r="K23" s="112"/>
      <c r="L23" s="112"/>
      <c r="M23" s="113"/>
      <c r="Q23" s="14"/>
      <c r="R23" s="15"/>
      <c r="S23" s="19" t="e">
        <f>IF(#REF!="A",1,IF(#REF!="B",2,IF(#REF!="C",3,IF(#REF!="D",4,IF(#REF!="E",5,"")))))</f>
        <v>#REF!</v>
      </c>
      <c r="T23" s="19" t="e">
        <f>IF(#REF!="A",1,IF(#REF!="B",2,IF(#REF!="C",3,IF(#REF!="D",4,IF(#REF!="E",5,"")))))</f>
        <v>#REF!</v>
      </c>
      <c r="U23" s="15" t="e">
        <f>#REF!+S23</f>
        <v>#REF!</v>
      </c>
      <c r="V23" s="15" t="e">
        <f>#REF!+T23</f>
        <v>#REF!</v>
      </c>
    </row>
    <row r="24" spans="1:22" ht="45" customHeight="1" x14ac:dyDescent="0.2">
      <c r="A24" s="65">
        <v>5</v>
      </c>
      <c r="B24" s="94" t="s">
        <v>98</v>
      </c>
      <c r="C24" s="95"/>
      <c r="D24" s="95"/>
      <c r="E24" s="95"/>
      <c r="F24" s="95"/>
      <c r="G24" s="95"/>
      <c r="H24" s="95"/>
      <c r="I24" s="95"/>
      <c r="J24" s="95"/>
      <c r="K24" s="95"/>
      <c r="L24" s="95"/>
      <c r="M24" s="96"/>
      <c r="Q24" s="14"/>
      <c r="R24" s="15"/>
      <c r="S24" s="19" t="e">
        <f>IF(#REF!="A",1,IF(#REF!="B",2,IF(#REF!="C",3,IF(#REF!="D",4,IF(#REF!="E",5,"")))))</f>
        <v>#REF!</v>
      </c>
      <c r="T24" s="19" t="e">
        <f>IF(#REF!="A",1,IF(#REF!="B",2,IF(#REF!="C",3,IF(#REF!="D",4,IF(#REF!="E",5,"")))))</f>
        <v>#REF!</v>
      </c>
      <c r="U24" s="15" t="e">
        <f>#REF!+S24</f>
        <v>#REF!</v>
      </c>
      <c r="V24" s="15" t="e">
        <f>#REF!+T24</f>
        <v>#REF!</v>
      </c>
    </row>
    <row r="25" spans="1:22" ht="45" customHeight="1" x14ac:dyDescent="0.2">
      <c r="A25" s="65">
        <v>6</v>
      </c>
      <c r="B25" s="111" t="s">
        <v>99</v>
      </c>
      <c r="C25" s="112"/>
      <c r="D25" s="112"/>
      <c r="E25" s="112"/>
      <c r="F25" s="112"/>
      <c r="G25" s="112"/>
      <c r="H25" s="112"/>
      <c r="I25" s="112"/>
      <c r="J25" s="112"/>
      <c r="K25" s="112"/>
      <c r="L25" s="112"/>
      <c r="M25" s="113"/>
    </row>
    <row r="26" spans="1:22" ht="45" customHeight="1" x14ac:dyDescent="0.2">
      <c r="A26" s="65">
        <v>7</v>
      </c>
      <c r="B26" s="94" t="s">
        <v>100</v>
      </c>
      <c r="C26" s="95"/>
      <c r="D26" s="95"/>
      <c r="E26" s="95"/>
      <c r="F26" s="95"/>
      <c r="G26" s="95"/>
      <c r="H26" s="95"/>
      <c r="I26" s="95"/>
      <c r="J26" s="95"/>
      <c r="K26" s="95"/>
      <c r="L26" s="95"/>
      <c r="M26" s="96"/>
    </row>
    <row r="27" spans="1:22" ht="45" customHeight="1" x14ac:dyDescent="0.2">
      <c r="A27" s="65">
        <v>8</v>
      </c>
      <c r="B27" s="94" t="s">
        <v>101</v>
      </c>
      <c r="C27" s="95"/>
      <c r="D27" s="95"/>
      <c r="E27" s="95"/>
      <c r="F27" s="95"/>
      <c r="G27" s="95"/>
      <c r="H27" s="95"/>
      <c r="I27" s="95"/>
      <c r="J27" s="95"/>
      <c r="K27" s="95"/>
      <c r="L27" s="95"/>
      <c r="M27" s="96"/>
    </row>
    <row r="28" spans="1:22" ht="45" customHeight="1" x14ac:dyDescent="0.2">
      <c r="A28" s="65">
        <v>9</v>
      </c>
      <c r="B28" s="94" t="s">
        <v>102</v>
      </c>
      <c r="C28" s="95"/>
      <c r="D28" s="95"/>
      <c r="E28" s="95"/>
      <c r="F28" s="95"/>
      <c r="G28" s="95"/>
      <c r="H28" s="95"/>
      <c r="I28" s="95"/>
      <c r="J28" s="95"/>
      <c r="K28" s="95"/>
      <c r="L28" s="95"/>
      <c r="M28" s="96"/>
    </row>
    <row r="29" spans="1:22" ht="45" customHeight="1" x14ac:dyDescent="0.2">
      <c r="A29" s="65">
        <v>10</v>
      </c>
      <c r="B29" s="103" t="s">
        <v>103</v>
      </c>
      <c r="C29" s="104"/>
      <c r="D29" s="104"/>
      <c r="E29" s="104"/>
      <c r="F29" s="104"/>
      <c r="G29" s="104"/>
      <c r="H29" s="104"/>
      <c r="I29" s="104"/>
      <c r="J29" s="104"/>
      <c r="K29" s="104"/>
      <c r="L29" s="104"/>
      <c r="M29" s="105"/>
    </row>
    <row r="30" spans="1:22" s="9" customFormat="1" ht="45" customHeight="1" x14ac:dyDescent="0.2">
      <c r="A30" s="65">
        <v>11</v>
      </c>
      <c r="B30" s="94" t="s">
        <v>104</v>
      </c>
      <c r="C30" s="95"/>
      <c r="D30" s="95"/>
      <c r="E30" s="95"/>
      <c r="F30" s="95"/>
      <c r="G30" s="95"/>
      <c r="H30" s="95"/>
      <c r="I30" s="95"/>
      <c r="J30" s="95"/>
      <c r="K30" s="95"/>
      <c r="L30" s="95"/>
      <c r="M30" s="96"/>
      <c r="N30" s="8"/>
      <c r="O30" s="8"/>
      <c r="P30" s="8"/>
      <c r="Q30" s="16"/>
    </row>
    <row r="31" spans="1:22" s="9" customFormat="1" ht="45" customHeight="1" x14ac:dyDescent="0.2">
      <c r="A31" s="65">
        <v>12</v>
      </c>
      <c r="B31" s="94" t="s">
        <v>105</v>
      </c>
      <c r="C31" s="95"/>
      <c r="D31" s="95"/>
      <c r="E31" s="95"/>
      <c r="F31" s="95"/>
      <c r="G31" s="95"/>
      <c r="H31" s="95"/>
      <c r="I31" s="95"/>
      <c r="J31" s="95"/>
      <c r="K31" s="95"/>
      <c r="L31" s="95"/>
      <c r="M31" s="96"/>
      <c r="N31" s="8"/>
      <c r="O31" s="8"/>
      <c r="P31" s="8"/>
      <c r="Q31" s="16"/>
    </row>
    <row r="32" spans="1:22" s="9" customFormat="1" ht="45" customHeight="1" x14ac:dyDescent="0.2">
      <c r="A32" s="65">
        <v>13</v>
      </c>
      <c r="B32" s="94" t="s">
        <v>106</v>
      </c>
      <c r="C32" s="95"/>
      <c r="D32" s="95"/>
      <c r="E32" s="95"/>
      <c r="F32" s="95"/>
      <c r="G32" s="95"/>
      <c r="H32" s="95"/>
      <c r="I32" s="95"/>
      <c r="J32" s="95"/>
      <c r="K32" s="95"/>
      <c r="L32" s="95"/>
      <c r="M32" s="96"/>
      <c r="N32" s="8"/>
      <c r="O32" s="8"/>
      <c r="P32" s="8"/>
      <c r="Q32" s="16"/>
    </row>
    <row r="33" spans="1:17" s="9" customFormat="1" ht="45" customHeight="1" x14ac:dyDescent="0.2">
      <c r="A33" s="65">
        <v>14</v>
      </c>
      <c r="B33" s="94" t="s">
        <v>107</v>
      </c>
      <c r="C33" s="95"/>
      <c r="D33" s="95"/>
      <c r="E33" s="95"/>
      <c r="F33" s="95"/>
      <c r="G33" s="95"/>
      <c r="H33" s="95"/>
      <c r="I33" s="95"/>
      <c r="J33" s="95"/>
      <c r="K33" s="95"/>
      <c r="L33" s="95"/>
      <c r="M33" s="96"/>
      <c r="N33" s="8"/>
      <c r="P33" s="8"/>
      <c r="Q33" s="16"/>
    </row>
    <row r="34" spans="1:17" s="9" customFormat="1" ht="45" customHeight="1" x14ac:dyDescent="0.2">
      <c r="A34" s="65">
        <v>15</v>
      </c>
      <c r="B34" s="94" t="s">
        <v>108</v>
      </c>
      <c r="C34" s="95"/>
      <c r="D34" s="95"/>
      <c r="E34" s="95"/>
      <c r="F34" s="95"/>
      <c r="G34" s="95"/>
      <c r="H34" s="95"/>
      <c r="I34" s="95"/>
      <c r="J34" s="95"/>
      <c r="K34" s="95"/>
      <c r="L34" s="95"/>
      <c r="M34" s="96"/>
      <c r="N34" s="8"/>
      <c r="P34" s="8"/>
      <c r="Q34" s="16"/>
    </row>
    <row r="35" spans="1:17" s="9" customFormat="1" ht="30" customHeight="1" x14ac:dyDescent="0.2">
      <c r="A35" s="88" t="s">
        <v>109</v>
      </c>
      <c r="B35" s="89"/>
      <c r="C35" s="89"/>
      <c r="D35" s="89"/>
      <c r="E35" s="89"/>
      <c r="F35" s="89"/>
      <c r="G35" s="89"/>
      <c r="H35" s="89"/>
      <c r="I35" s="89"/>
      <c r="J35" s="89"/>
      <c r="K35" s="89"/>
      <c r="L35" s="89"/>
      <c r="M35" s="90"/>
      <c r="N35" s="8"/>
      <c r="P35" s="8"/>
      <c r="Q35" s="16"/>
    </row>
    <row r="36" spans="1:17" s="9" customFormat="1" ht="15" customHeight="1" x14ac:dyDescent="0.2">
      <c r="A36" s="177" t="s">
        <v>110</v>
      </c>
      <c r="B36" s="178"/>
      <c r="C36" s="179" t="s">
        <v>111</v>
      </c>
      <c r="D36" s="177" t="s">
        <v>112</v>
      </c>
      <c r="E36" s="180"/>
      <c r="F36" s="180"/>
      <c r="G36" s="178"/>
      <c r="H36" s="177" t="s">
        <v>113</v>
      </c>
      <c r="I36" s="180"/>
      <c r="J36" s="180"/>
      <c r="K36" s="180"/>
      <c r="L36" s="180"/>
      <c r="M36" s="178"/>
      <c r="N36" s="8"/>
      <c r="P36" s="8"/>
      <c r="Q36" s="16"/>
    </row>
    <row r="37" spans="1:17" s="9" customFormat="1" ht="18" customHeight="1" x14ac:dyDescent="0.2">
      <c r="A37" s="97"/>
      <c r="B37" s="99"/>
      <c r="C37" s="6"/>
      <c r="D37" s="97"/>
      <c r="E37" s="98"/>
      <c r="F37" s="98"/>
      <c r="G37" s="99"/>
      <c r="H37" s="97"/>
      <c r="I37" s="98"/>
      <c r="J37" s="98"/>
      <c r="K37" s="98"/>
      <c r="L37" s="98"/>
      <c r="M37" s="99"/>
      <c r="N37" s="8"/>
      <c r="P37" s="8"/>
      <c r="Q37" s="16"/>
    </row>
    <row r="38" spans="1:17" s="9" customFormat="1" ht="18" customHeight="1" x14ac:dyDescent="0.2">
      <c r="A38" s="97"/>
      <c r="B38" s="99"/>
      <c r="C38" s="6"/>
      <c r="D38" s="97"/>
      <c r="E38" s="98"/>
      <c r="F38" s="98"/>
      <c r="G38" s="99"/>
      <c r="H38" s="97"/>
      <c r="I38" s="98"/>
      <c r="J38" s="98"/>
      <c r="K38" s="98"/>
      <c r="L38" s="98"/>
      <c r="M38" s="99"/>
      <c r="N38" s="8"/>
      <c r="P38" s="8"/>
      <c r="Q38" s="16"/>
    </row>
    <row r="39" spans="1:17" s="9" customFormat="1" ht="18" customHeight="1" x14ac:dyDescent="0.2">
      <c r="A39" s="97"/>
      <c r="B39" s="99"/>
      <c r="C39" s="6"/>
      <c r="D39" s="97"/>
      <c r="E39" s="98"/>
      <c r="F39" s="98"/>
      <c r="G39" s="99"/>
      <c r="H39" s="97"/>
      <c r="I39" s="98"/>
      <c r="J39" s="98"/>
      <c r="K39" s="98"/>
      <c r="L39" s="98"/>
      <c r="M39" s="99"/>
      <c r="N39" s="8"/>
      <c r="P39" s="8"/>
      <c r="Q39" s="16"/>
    </row>
    <row r="40" spans="1:17" s="9" customFormat="1" ht="18" customHeight="1" x14ac:dyDescent="0.2">
      <c r="A40" s="97"/>
      <c r="B40" s="99"/>
      <c r="C40" s="6"/>
      <c r="D40" s="97"/>
      <c r="E40" s="98"/>
      <c r="F40" s="98"/>
      <c r="G40" s="99"/>
      <c r="H40" s="97"/>
      <c r="I40" s="98"/>
      <c r="J40" s="98"/>
      <c r="K40" s="98"/>
      <c r="L40" s="98"/>
      <c r="M40" s="99"/>
      <c r="N40" s="8"/>
      <c r="P40" s="8"/>
      <c r="Q40" s="16"/>
    </row>
    <row r="41" spans="1:17" s="9" customFormat="1" ht="18" customHeight="1" x14ac:dyDescent="0.2">
      <c r="A41" s="97"/>
      <c r="B41" s="99"/>
      <c r="C41" s="6"/>
      <c r="D41" s="97"/>
      <c r="E41" s="98"/>
      <c r="F41" s="98"/>
      <c r="G41" s="99"/>
      <c r="H41" s="97"/>
      <c r="I41" s="98"/>
      <c r="J41" s="98"/>
      <c r="K41" s="98"/>
      <c r="L41" s="98"/>
      <c r="M41" s="99"/>
      <c r="N41" s="8"/>
      <c r="P41" s="8"/>
      <c r="Q41" s="16"/>
    </row>
    <row r="42" spans="1:17" s="9" customFormat="1" ht="34.5" customHeight="1" x14ac:dyDescent="0.2">
      <c r="A42" s="103" t="s">
        <v>114</v>
      </c>
      <c r="B42" s="104"/>
      <c r="C42" s="104"/>
      <c r="D42" s="104"/>
      <c r="E42" s="104"/>
      <c r="F42" s="104"/>
      <c r="G42" s="104"/>
      <c r="H42" s="104"/>
      <c r="I42" s="104"/>
      <c r="J42" s="104"/>
      <c r="K42" s="104"/>
      <c r="L42" s="104"/>
      <c r="M42" s="105"/>
      <c r="N42" s="8"/>
      <c r="P42" s="8"/>
      <c r="Q42" s="16"/>
    </row>
    <row r="43" spans="1:17" s="9" customFormat="1" ht="34.5" customHeight="1" x14ac:dyDescent="0.2">
      <c r="A43" s="181" t="s">
        <v>115</v>
      </c>
      <c r="B43" s="182"/>
      <c r="C43" s="183" t="s">
        <v>116</v>
      </c>
      <c r="D43" s="184" t="s">
        <v>117</v>
      </c>
      <c r="E43" s="185"/>
      <c r="F43" s="186"/>
      <c r="G43" s="79"/>
      <c r="H43" s="80"/>
      <c r="I43" s="80"/>
      <c r="J43" s="80"/>
      <c r="K43" s="80"/>
      <c r="L43" s="80"/>
      <c r="M43" s="81"/>
      <c r="N43" s="8"/>
      <c r="P43" s="8"/>
      <c r="Q43" s="16"/>
    </row>
    <row r="44" spans="1:17" s="9" customFormat="1" ht="25.5" customHeight="1" x14ac:dyDescent="0.2">
      <c r="A44" s="100"/>
      <c r="B44" s="102"/>
      <c r="C44" s="10"/>
      <c r="D44" s="187"/>
      <c r="E44" s="188"/>
      <c r="F44" s="189"/>
      <c r="G44" s="82"/>
      <c r="H44" s="83"/>
      <c r="I44" s="83"/>
      <c r="J44" s="83"/>
      <c r="K44" s="83"/>
      <c r="L44" s="83"/>
      <c r="M44" s="84"/>
      <c r="N44" s="8"/>
      <c r="P44" s="8"/>
      <c r="Q44" s="16"/>
    </row>
    <row r="45" spans="1:17" s="9" customFormat="1" ht="18" customHeight="1" x14ac:dyDescent="0.2">
      <c r="A45" s="66"/>
      <c r="B45" s="11"/>
      <c r="C45" s="11"/>
      <c r="D45" s="11"/>
      <c r="E45" s="11"/>
      <c r="F45" s="11"/>
      <c r="G45" s="11"/>
      <c r="H45" s="11"/>
      <c r="I45" s="11"/>
      <c r="J45" s="11"/>
      <c r="K45" s="11"/>
      <c r="L45" s="11"/>
      <c r="M45" s="67"/>
      <c r="Q45" s="17"/>
    </row>
    <row r="46" spans="1:17" ht="83.25" customHeight="1" x14ac:dyDescent="0.2">
      <c r="A46" s="190" t="s">
        <v>118</v>
      </c>
      <c r="B46" s="191"/>
      <c r="C46" s="100"/>
      <c r="D46" s="101"/>
      <c r="E46" s="101"/>
      <c r="F46" s="101"/>
      <c r="G46" s="101"/>
      <c r="H46" s="101"/>
      <c r="I46" s="101"/>
      <c r="J46" s="101"/>
      <c r="K46" s="101"/>
      <c r="L46" s="101"/>
      <c r="M46" s="102"/>
    </row>
    <row r="47" spans="1:17" ht="25.5" customHeight="1" x14ac:dyDescent="0.2">
      <c r="A47" s="88" t="s">
        <v>119</v>
      </c>
      <c r="B47" s="89"/>
      <c r="C47" s="89"/>
      <c r="D47" s="89"/>
      <c r="E47" s="89"/>
      <c r="F47" s="89"/>
      <c r="G47" s="89"/>
      <c r="H47" s="89"/>
      <c r="I47" s="89"/>
      <c r="J47" s="89"/>
      <c r="K47" s="89"/>
      <c r="L47" s="89"/>
      <c r="M47" s="90"/>
    </row>
    <row r="48" spans="1:17" ht="18.75" customHeight="1" x14ac:dyDescent="0.2"/>
    <row r="49" spans="1:13" ht="18.75" customHeight="1" x14ac:dyDescent="0.2"/>
    <row r="50" spans="1:13" ht="18.75" customHeight="1" x14ac:dyDescent="0.2"/>
    <row r="51" spans="1:13" ht="18.75" customHeight="1" x14ac:dyDescent="0.2"/>
    <row r="52" spans="1:13" ht="18.75" customHeight="1" x14ac:dyDescent="0.2"/>
    <row r="53" spans="1:13" ht="33.75" customHeight="1" x14ac:dyDescent="0.2"/>
    <row r="54" spans="1:13" ht="20.25" customHeight="1" x14ac:dyDescent="0.2"/>
    <row r="55" spans="1:13" ht="57.75" customHeight="1" x14ac:dyDescent="0.2"/>
    <row r="56" spans="1:13" s="11" customFormat="1" ht="15" customHeight="1" x14ac:dyDescent="0.2">
      <c r="A56" s="3"/>
      <c r="B56" s="3"/>
      <c r="C56" s="3"/>
      <c r="D56" s="3"/>
      <c r="E56" s="3"/>
      <c r="F56" s="3"/>
      <c r="G56" s="3"/>
      <c r="H56" s="3"/>
      <c r="I56" s="3"/>
      <c r="J56" s="3"/>
      <c r="K56" s="3"/>
      <c r="L56" s="3"/>
      <c r="M56" s="3"/>
    </row>
    <row r="57" spans="1:13" ht="119.25" customHeight="1" x14ac:dyDescent="0.2"/>
    <row r="58" spans="1:13" s="12" customFormat="1" ht="24" customHeight="1" x14ac:dyDescent="0.2">
      <c r="A58" s="3"/>
      <c r="B58" s="3"/>
      <c r="C58" s="3"/>
      <c r="D58" s="3"/>
      <c r="E58" s="3"/>
      <c r="F58" s="3"/>
      <c r="G58" s="3"/>
      <c r="H58" s="3"/>
      <c r="I58" s="3"/>
      <c r="J58" s="3"/>
      <c r="K58" s="3"/>
      <c r="L58" s="3"/>
      <c r="M58" s="3"/>
    </row>
  </sheetData>
  <sheetProtection formatCells="0" formatColumns="0" formatRows="0" insertColumns="0" insertRows="0" insertHyperlinks="0" deleteColumns="0" deleteRows="0" sort="0" autoFilter="0" pivotTables="0"/>
  <mergeCells count="64">
    <mergeCell ref="J2:M2"/>
    <mergeCell ref="J3:M3"/>
    <mergeCell ref="J4:M4"/>
    <mergeCell ref="K6:M6"/>
    <mergeCell ref="A16:M16"/>
    <mergeCell ref="G12:J12"/>
    <mergeCell ref="G13:J13"/>
    <mergeCell ref="C3:H3"/>
    <mergeCell ref="G14:J14"/>
    <mergeCell ref="G11:J11"/>
    <mergeCell ref="G10:J10"/>
    <mergeCell ref="G9:J9"/>
    <mergeCell ref="G8:J8"/>
    <mergeCell ref="A1:B4"/>
    <mergeCell ref="B23:M23"/>
    <mergeCell ref="B24:M24"/>
    <mergeCell ref="B27:M27"/>
    <mergeCell ref="B26:M26"/>
    <mergeCell ref="B29:M29"/>
    <mergeCell ref="B34:M34"/>
    <mergeCell ref="A38:B38"/>
    <mergeCell ref="H36:M36"/>
    <mergeCell ref="H37:M37"/>
    <mergeCell ref="A36:B36"/>
    <mergeCell ref="A37:B37"/>
    <mergeCell ref="A40:B40"/>
    <mergeCell ref="A39:B39"/>
    <mergeCell ref="D39:G39"/>
    <mergeCell ref="H38:M38"/>
    <mergeCell ref="H39:M39"/>
    <mergeCell ref="H40:M40"/>
    <mergeCell ref="D38:G38"/>
    <mergeCell ref="C46:M46"/>
    <mergeCell ref="A42:M42"/>
    <mergeCell ref="A18:M18"/>
    <mergeCell ref="B20:M20"/>
    <mergeCell ref="B21:M21"/>
    <mergeCell ref="B22:M22"/>
    <mergeCell ref="A35:M35"/>
    <mergeCell ref="A43:B43"/>
    <mergeCell ref="B25:M25"/>
    <mergeCell ref="A44:B44"/>
    <mergeCell ref="A19:M19"/>
    <mergeCell ref="H41:M41"/>
    <mergeCell ref="D40:G40"/>
    <mergeCell ref="D41:G41"/>
    <mergeCell ref="D43:F44"/>
    <mergeCell ref="A41:B41"/>
    <mergeCell ref="G43:M44"/>
    <mergeCell ref="A6:B6"/>
    <mergeCell ref="H7:J7"/>
    <mergeCell ref="A47:M47"/>
    <mergeCell ref="A7:B7"/>
    <mergeCell ref="A15:M15"/>
    <mergeCell ref="B28:M28"/>
    <mergeCell ref="B33:M33"/>
    <mergeCell ref="B30:M30"/>
    <mergeCell ref="B31:M31"/>
    <mergeCell ref="B32:M32"/>
    <mergeCell ref="K7:M7"/>
    <mergeCell ref="D7:F7"/>
    <mergeCell ref="D36:G36"/>
    <mergeCell ref="D37:G37"/>
    <mergeCell ref="A46:B46"/>
  </mergeCells>
  <phoneticPr fontId="0" type="noConversion"/>
  <conditionalFormatting sqref="F9:F14 M9:M14">
    <cfRule type="cellIs" dxfId="2" priority="7" stopIfTrue="1" operator="equal">
      <formula>$W$5</formula>
    </cfRule>
    <cfRule type="cellIs" dxfId="1" priority="8" stopIfTrue="1" operator="equal">
      <formula>$W$3</formula>
    </cfRule>
    <cfRule type="cellIs" dxfId="0" priority="9" stopIfTrue="1" operator="equal">
      <formula>$W$2</formula>
    </cfRule>
  </conditionalFormatting>
  <dataValidations count="2">
    <dataValidation type="list" allowBlank="1" showInputMessage="1" showErrorMessage="1" sqref="K9:K14 D9:D14" xr:uid="{00000000-0002-0000-0000-000000000000}">
      <formula1>$Q$2:$Q$7</formula1>
    </dataValidation>
    <dataValidation type="list" allowBlank="1" showInputMessage="1" showErrorMessage="1" sqref="L9:L14 E9:E14" xr:uid="{00000000-0002-0000-0000-000001000000}">
      <formula1>$R$2:$R$7</formula1>
    </dataValidation>
  </dataValidations>
  <pageMargins left="0.62029109589041098" right="0.59332191780821919" top="0.55118110236220474" bottom="0.51181102362204722" header="7.874015748031496E-2" footer="0.23622047244094491"/>
  <pageSetup paperSize="9" scale="63" fitToHeight="2" orientation="landscape" horizontalDpi="300" verticalDpi="300" copies="3" r:id="rId1"/>
  <headerFooter>
    <oddFooter>&amp;L&amp;8&amp;K000000Issue date: 03-03-2017 Revision: 02Document owner: Group SHEQ Manager.&amp;R&amp;8&amp;P/&amp;N</oddFooter>
  </headerFooter>
  <rowBreaks count="1" manualBreakCount="1">
    <brk id="16" max="10"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067B8-1144-4BC0-838F-089AFE3074BA}">
  <dimension ref="A1:V34"/>
  <sheetViews>
    <sheetView tabSelected="1" showWhiteSpace="0" view="pageLayout" workbookViewId="0">
      <selection activeCell="J10" sqref="J10"/>
    </sheetView>
  </sheetViews>
  <sheetFormatPr defaultColWidth="9.140625" defaultRowHeight="12.75" x14ac:dyDescent="0.2"/>
  <cols>
    <col min="1" max="1" width="4.42578125" style="3" customWidth="1"/>
    <col min="2" max="2" width="9.42578125" style="3" customWidth="1"/>
    <col min="3" max="3" width="13.5703125" style="3" customWidth="1"/>
    <col min="4" max="4" width="14" style="3" customWidth="1"/>
    <col min="5" max="5" width="13.85546875" style="3" customWidth="1"/>
    <col min="6" max="6" width="12.85546875" style="3" customWidth="1"/>
    <col min="7" max="7" width="13.85546875" style="3" customWidth="1"/>
    <col min="8" max="8" width="13.42578125" style="3" customWidth="1"/>
    <col min="9" max="9" width="14.140625" style="3" customWidth="1"/>
    <col min="10" max="10" width="13.140625" style="3" customWidth="1"/>
    <col min="11" max="12" width="11.7109375" style="3" hidden="1" customWidth="1"/>
    <col min="13" max="14" width="9.140625" style="3" hidden="1" customWidth="1"/>
    <col min="15" max="15" width="11.5703125" style="7" hidden="1" customWidth="1"/>
    <col min="16" max="16" width="13.28515625" style="3" hidden="1" customWidth="1"/>
    <col min="17" max="18" width="14.42578125" style="3" hidden="1" customWidth="1"/>
    <col min="19" max="19" width="10.140625" style="3" hidden="1" customWidth="1"/>
    <col min="20" max="21" width="9.140625" style="3" hidden="1" customWidth="1"/>
    <col min="22" max="22" width="0.5703125" style="3" customWidth="1"/>
    <col min="23" max="23" width="2.42578125" style="3" customWidth="1"/>
    <col min="24" max="16384" width="9.140625" style="3"/>
  </cols>
  <sheetData>
    <row r="1" spans="1:22" ht="25.5" customHeight="1" x14ac:dyDescent="0.35">
      <c r="A1" s="155"/>
      <c r="B1" s="155"/>
      <c r="C1" s="155"/>
      <c r="D1" s="192"/>
      <c r="E1" s="192"/>
      <c r="F1" s="192"/>
      <c r="G1" s="1"/>
      <c r="H1" s="1"/>
      <c r="I1" s="193"/>
      <c r="J1" s="193"/>
      <c r="O1" s="14" t="s">
        <v>8</v>
      </c>
      <c r="P1" s="14" t="s">
        <v>9</v>
      </c>
      <c r="Q1" s="14" t="s">
        <v>10</v>
      </c>
      <c r="R1" s="14" t="s">
        <v>11</v>
      </c>
      <c r="S1" s="14" t="s">
        <v>12</v>
      </c>
      <c r="T1" s="14" t="s">
        <v>13</v>
      </c>
      <c r="U1" s="18" t="s">
        <v>14</v>
      </c>
      <c r="V1" s="2"/>
    </row>
    <row r="2" spans="1:22" ht="25.5" customHeight="1" x14ac:dyDescent="0.2">
      <c r="A2" s="155"/>
      <c r="B2" s="155"/>
      <c r="C2" s="155"/>
      <c r="D2" s="194" t="s">
        <v>120</v>
      </c>
      <c r="E2" s="144"/>
      <c r="F2" s="144"/>
      <c r="G2" s="144"/>
      <c r="H2" s="144"/>
      <c r="I2" s="195"/>
      <c r="J2" s="195"/>
      <c r="N2" s="7"/>
      <c r="O2" s="14">
        <v>1</v>
      </c>
      <c r="P2" s="14" t="s">
        <v>15</v>
      </c>
      <c r="Q2" s="15"/>
      <c r="R2" s="15"/>
      <c r="S2" s="15"/>
      <c r="T2" s="15"/>
      <c r="U2" s="18" t="s">
        <v>16</v>
      </c>
      <c r="V2" s="5"/>
    </row>
    <row r="3" spans="1:22" ht="25.5" customHeight="1" x14ac:dyDescent="0.2">
      <c r="A3" s="155"/>
      <c r="B3" s="155"/>
      <c r="C3" s="155"/>
      <c r="D3" s="49"/>
      <c r="E3" s="49"/>
      <c r="F3" s="49"/>
      <c r="G3" s="49"/>
      <c r="H3" s="49"/>
      <c r="I3" s="196"/>
      <c r="J3" s="196"/>
      <c r="K3" s="49"/>
      <c r="L3" s="49"/>
      <c r="M3" s="22"/>
    </row>
    <row r="4" spans="1:22" ht="17.45" customHeight="1" thickBot="1" x14ac:dyDescent="0.25">
      <c r="A4" s="46"/>
      <c r="B4" s="46"/>
      <c r="C4" s="46"/>
      <c r="D4" s="46"/>
      <c r="E4" s="46"/>
      <c r="F4" s="46"/>
      <c r="G4" s="46"/>
      <c r="H4" s="46"/>
      <c r="I4" s="46"/>
      <c r="J4" s="46"/>
      <c r="K4" s="46"/>
      <c r="L4" s="46"/>
      <c r="M4" s="22"/>
    </row>
    <row r="5" spans="1:22" ht="25.15" customHeight="1" thickBot="1" x14ac:dyDescent="0.25">
      <c r="A5" s="149" t="s">
        <v>69</v>
      </c>
      <c r="B5" s="150"/>
      <c r="C5" s="139" t="s">
        <v>121</v>
      </c>
      <c r="D5" s="140"/>
      <c r="E5" s="140"/>
      <c r="F5" s="140"/>
      <c r="G5" s="141"/>
      <c r="H5" s="139" t="s">
        <v>122</v>
      </c>
      <c r="I5" s="140"/>
      <c r="J5" s="140"/>
      <c r="K5" s="140"/>
      <c r="L5" s="141"/>
      <c r="M5" s="22"/>
    </row>
    <row r="6" spans="1:22" ht="20.25" customHeight="1" thickBot="1" x14ac:dyDescent="0.25">
      <c r="A6" s="151"/>
      <c r="B6" s="152"/>
      <c r="C6" s="197" t="s">
        <v>126</v>
      </c>
      <c r="D6" s="197" t="s">
        <v>127</v>
      </c>
      <c r="E6" s="197" t="s">
        <v>128</v>
      </c>
      <c r="F6" s="197" t="s">
        <v>148</v>
      </c>
      <c r="G6" s="197" t="s">
        <v>149</v>
      </c>
      <c r="H6" s="69" t="s">
        <v>23</v>
      </c>
      <c r="I6" s="69" t="s">
        <v>24</v>
      </c>
      <c r="J6" s="69" t="s">
        <v>25</v>
      </c>
      <c r="K6" s="21" t="s">
        <v>21</v>
      </c>
      <c r="L6" s="21" t="s">
        <v>22</v>
      </c>
      <c r="M6" s="22"/>
    </row>
    <row r="7" spans="1:22" ht="112.5" x14ac:dyDescent="0.2">
      <c r="A7" s="151"/>
      <c r="B7" s="152"/>
      <c r="C7" s="198"/>
      <c r="D7" s="198"/>
      <c r="E7" s="198"/>
      <c r="F7" s="198"/>
      <c r="G7" s="198"/>
      <c r="H7" s="70" t="s">
        <v>123</v>
      </c>
      <c r="I7" s="70" t="s">
        <v>124</v>
      </c>
      <c r="J7" s="70" t="s">
        <v>150</v>
      </c>
      <c r="K7" s="23" t="s">
        <v>41</v>
      </c>
      <c r="L7" s="23" t="s">
        <v>42</v>
      </c>
      <c r="M7" s="22"/>
    </row>
    <row r="8" spans="1:22" ht="12.75" customHeight="1" x14ac:dyDescent="0.2">
      <c r="A8" s="151"/>
      <c r="B8" s="152"/>
      <c r="C8" s="198"/>
      <c r="D8" s="198"/>
      <c r="E8" s="198"/>
      <c r="F8" s="198"/>
      <c r="G8" s="198"/>
      <c r="H8" s="137" t="s">
        <v>125</v>
      </c>
      <c r="I8" s="137" t="s">
        <v>151</v>
      </c>
      <c r="J8" s="137" t="s">
        <v>152</v>
      </c>
      <c r="K8" s="137" t="s">
        <v>43</v>
      </c>
      <c r="L8" s="137" t="s">
        <v>44</v>
      </c>
      <c r="M8" s="22"/>
    </row>
    <row r="9" spans="1:22" ht="40.5" customHeight="1" thickBot="1" x14ac:dyDescent="0.25">
      <c r="A9" s="153"/>
      <c r="B9" s="154"/>
      <c r="C9" s="199"/>
      <c r="D9" s="199"/>
      <c r="E9" s="199"/>
      <c r="F9" s="199"/>
      <c r="G9" s="199"/>
      <c r="H9" s="138"/>
      <c r="I9" s="138"/>
      <c r="J9" s="138"/>
      <c r="K9" s="138"/>
      <c r="L9" s="138"/>
      <c r="M9" s="22"/>
    </row>
    <row r="10" spans="1:22" ht="49.5" customHeight="1" x14ac:dyDescent="0.2">
      <c r="A10" s="145">
        <v>1</v>
      </c>
      <c r="B10" s="146"/>
      <c r="C10" s="38" t="s">
        <v>129</v>
      </c>
      <c r="D10" s="38" t="s">
        <v>130</v>
      </c>
      <c r="E10" s="38" t="s">
        <v>131</v>
      </c>
      <c r="F10" s="38" t="s">
        <v>153</v>
      </c>
      <c r="G10" s="39" t="s">
        <v>154</v>
      </c>
      <c r="H10" s="30" t="s">
        <v>26</v>
      </c>
      <c r="I10" s="31" t="s">
        <v>27</v>
      </c>
      <c r="J10" s="31" t="s">
        <v>28</v>
      </c>
      <c r="K10" s="40" t="s">
        <v>45</v>
      </c>
      <c r="L10" s="32" t="s">
        <v>46</v>
      </c>
      <c r="M10" s="22"/>
    </row>
    <row r="11" spans="1:22" ht="64.5" customHeight="1" x14ac:dyDescent="0.2">
      <c r="A11" s="147">
        <v>2</v>
      </c>
      <c r="B11" s="148"/>
      <c r="C11" s="24" t="s">
        <v>155</v>
      </c>
      <c r="D11" s="24" t="s">
        <v>156</v>
      </c>
      <c r="E11" s="38" t="s">
        <v>157</v>
      </c>
      <c r="F11" s="24" t="s">
        <v>158</v>
      </c>
      <c r="G11" s="28" t="s">
        <v>132</v>
      </c>
      <c r="H11" s="33" t="s">
        <v>29</v>
      </c>
      <c r="I11" s="34" t="s">
        <v>30</v>
      </c>
      <c r="J11" s="34" t="s">
        <v>31</v>
      </c>
      <c r="K11" s="35" t="s">
        <v>47</v>
      </c>
      <c r="L11" s="36" t="s">
        <v>48</v>
      </c>
      <c r="M11" s="22"/>
    </row>
    <row r="12" spans="1:22" ht="69" customHeight="1" x14ac:dyDescent="0.2">
      <c r="A12" s="147">
        <v>3</v>
      </c>
      <c r="B12" s="148"/>
      <c r="C12" s="24" t="s">
        <v>133</v>
      </c>
      <c r="D12" s="24" t="s">
        <v>159</v>
      </c>
      <c r="E12" s="38" t="s">
        <v>160</v>
      </c>
      <c r="F12" s="24" t="s">
        <v>161</v>
      </c>
      <c r="G12" s="28" t="s">
        <v>134</v>
      </c>
      <c r="H12" s="33" t="s">
        <v>32</v>
      </c>
      <c r="I12" s="34" t="s">
        <v>33</v>
      </c>
      <c r="J12" s="35" t="s">
        <v>34</v>
      </c>
      <c r="K12" s="35" t="s">
        <v>49</v>
      </c>
      <c r="L12" s="41" t="s">
        <v>50</v>
      </c>
      <c r="M12" s="22"/>
    </row>
    <row r="13" spans="1:22" ht="78.75" customHeight="1" x14ac:dyDescent="0.2">
      <c r="A13" s="147">
        <v>4</v>
      </c>
      <c r="B13" s="148"/>
      <c r="C13" s="24" t="s">
        <v>135</v>
      </c>
      <c r="D13" s="24" t="s">
        <v>162</v>
      </c>
      <c r="E13" s="38" t="s">
        <v>136</v>
      </c>
      <c r="F13" s="24" t="s">
        <v>163</v>
      </c>
      <c r="G13" s="28" t="s">
        <v>137</v>
      </c>
      <c r="H13" s="33" t="s">
        <v>35</v>
      </c>
      <c r="I13" s="35" t="s">
        <v>36</v>
      </c>
      <c r="J13" s="35" t="s">
        <v>37</v>
      </c>
      <c r="K13" s="42" t="s">
        <v>51</v>
      </c>
      <c r="L13" s="41" t="s">
        <v>52</v>
      </c>
      <c r="M13" s="22"/>
    </row>
    <row r="14" spans="1:22" ht="75" customHeight="1" thickBot="1" x14ac:dyDescent="0.25">
      <c r="A14" s="142">
        <v>5</v>
      </c>
      <c r="B14" s="143"/>
      <c r="C14" s="25" t="s">
        <v>138</v>
      </c>
      <c r="D14" s="25" t="s">
        <v>164</v>
      </c>
      <c r="E14" s="25" t="s">
        <v>139</v>
      </c>
      <c r="F14" s="25" t="s">
        <v>140</v>
      </c>
      <c r="G14" s="29" t="s">
        <v>141</v>
      </c>
      <c r="H14" s="45" t="s">
        <v>38</v>
      </c>
      <c r="I14" s="37" t="s">
        <v>39</v>
      </c>
      <c r="J14" s="43" t="s">
        <v>40</v>
      </c>
      <c r="K14" s="43" t="s">
        <v>53</v>
      </c>
      <c r="L14" s="44" t="s">
        <v>54</v>
      </c>
      <c r="M14" s="22"/>
    </row>
    <row r="15" spans="1:22" x14ac:dyDescent="0.2">
      <c r="A15" s="47"/>
      <c r="B15" s="47"/>
      <c r="C15" s="48"/>
      <c r="D15" s="48"/>
      <c r="E15" s="48"/>
      <c r="F15" s="48"/>
      <c r="G15" s="48"/>
      <c r="H15" s="26"/>
      <c r="I15" s="26"/>
      <c r="J15" s="26"/>
      <c r="K15" s="27"/>
      <c r="L15" s="27"/>
      <c r="M15" s="22"/>
    </row>
    <row r="16" spans="1:22" x14ac:dyDescent="0.2">
      <c r="A16" s="22"/>
      <c r="B16" s="22"/>
      <c r="C16" s="22"/>
      <c r="D16" s="22"/>
      <c r="E16" s="22"/>
      <c r="F16" s="22"/>
      <c r="G16" s="22"/>
      <c r="H16" s="22"/>
      <c r="I16" s="22"/>
      <c r="J16" s="22"/>
      <c r="K16" s="22"/>
      <c r="L16" s="22"/>
      <c r="M16" s="22"/>
    </row>
    <row r="17" spans="1:13" x14ac:dyDescent="0.2">
      <c r="A17" s="22"/>
      <c r="B17" s="22"/>
      <c r="C17" s="22"/>
      <c r="D17" s="22"/>
      <c r="E17" s="22"/>
      <c r="F17" s="22"/>
      <c r="G17" s="22"/>
      <c r="H17" s="22"/>
      <c r="I17" s="22"/>
      <c r="J17" s="22"/>
      <c r="K17" s="22"/>
      <c r="L17" s="22"/>
      <c r="M17" s="22"/>
    </row>
    <row r="18" spans="1:13" x14ac:dyDescent="0.2">
      <c r="A18" s="22"/>
      <c r="B18" s="22"/>
      <c r="C18" s="22"/>
      <c r="D18" s="22"/>
      <c r="E18" s="22"/>
      <c r="F18" s="22"/>
      <c r="G18" s="22"/>
      <c r="H18" s="22"/>
      <c r="I18" s="22"/>
      <c r="J18" s="22"/>
      <c r="K18" s="22"/>
      <c r="L18" s="22"/>
      <c r="M18" s="22"/>
    </row>
    <row r="19" spans="1:13" x14ac:dyDescent="0.2">
      <c r="A19" s="22"/>
      <c r="B19" s="22"/>
      <c r="C19" s="22"/>
      <c r="D19" s="22"/>
      <c r="E19" s="22"/>
      <c r="F19" s="22"/>
      <c r="G19" s="22"/>
      <c r="H19" s="22"/>
      <c r="I19" s="22"/>
      <c r="J19" s="22"/>
      <c r="K19" s="22"/>
      <c r="L19" s="22"/>
      <c r="M19" s="22"/>
    </row>
    <row r="20" spans="1:13" ht="30.75" customHeight="1" x14ac:dyDescent="0.2">
      <c r="A20" s="22"/>
      <c r="B20" s="22"/>
      <c r="C20" s="22"/>
      <c r="D20" s="22"/>
      <c r="E20" s="22"/>
      <c r="F20" s="22"/>
      <c r="G20" s="22"/>
      <c r="H20" s="22"/>
      <c r="I20" s="22"/>
      <c r="J20" s="22"/>
      <c r="K20" s="22"/>
      <c r="L20" s="22"/>
      <c r="M20" s="22"/>
    </row>
    <row r="21" spans="1:13" x14ac:dyDescent="0.2">
      <c r="A21" s="22"/>
      <c r="B21" s="22"/>
      <c r="C21" s="22"/>
      <c r="D21" s="22"/>
      <c r="E21" s="22"/>
      <c r="F21" s="22"/>
      <c r="G21" s="22"/>
      <c r="H21" s="22"/>
      <c r="I21" s="22"/>
      <c r="J21" s="22"/>
      <c r="K21" s="22"/>
      <c r="L21" s="22"/>
      <c r="M21" s="22"/>
    </row>
    <row r="22" spans="1:13" x14ac:dyDescent="0.2">
      <c r="A22" s="22"/>
      <c r="B22" s="22"/>
      <c r="C22" s="22"/>
      <c r="D22" s="22"/>
      <c r="E22" s="22"/>
      <c r="F22" s="22"/>
      <c r="G22" s="22"/>
      <c r="H22" s="22"/>
      <c r="I22" s="22"/>
      <c r="J22" s="22"/>
      <c r="K22" s="22"/>
      <c r="L22" s="22"/>
      <c r="M22" s="22"/>
    </row>
    <row r="23" spans="1:13" x14ac:dyDescent="0.2">
      <c r="A23" s="22"/>
      <c r="B23" s="22"/>
      <c r="C23" s="22"/>
      <c r="D23" s="22"/>
      <c r="E23" s="22"/>
      <c r="F23" s="22"/>
      <c r="G23" s="22"/>
      <c r="H23" s="22"/>
      <c r="I23" s="22"/>
      <c r="J23" s="22"/>
      <c r="K23" s="22"/>
      <c r="L23" s="22"/>
      <c r="M23" s="22"/>
    </row>
    <row r="24" spans="1:13" x14ac:dyDescent="0.2">
      <c r="A24" s="22"/>
      <c r="B24" s="22"/>
      <c r="C24" s="22"/>
      <c r="D24" s="22"/>
      <c r="E24" s="22"/>
      <c r="F24" s="22"/>
      <c r="G24" s="22"/>
      <c r="H24" s="22"/>
      <c r="I24" s="22"/>
      <c r="J24" s="22"/>
      <c r="K24" s="22"/>
      <c r="L24" s="22"/>
      <c r="M24" s="22"/>
    </row>
    <row r="25" spans="1:13" ht="12" customHeight="1" x14ac:dyDescent="0.2">
      <c r="A25" s="22"/>
      <c r="B25" s="22"/>
      <c r="C25" s="22"/>
      <c r="D25" s="22"/>
      <c r="E25" s="22"/>
      <c r="F25" s="22"/>
      <c r="G25" s="22"/>
      <c r="H25" s="22"/>
      <c r="I25" s="22"/>
      <c r="J25" s="22"/>
      <c r="K25" s="22"/>
      <c r="L25" s="22"/>
      <c r="M25" s="22"/>
    </row>
    <row r="26" spans="1:13" ht="21.75" customHeight="1" x14ac:dyDescent="0.2">
      <c r="A26" s="22"/>
      <c r="B26" s="22"/>
      <c r="C26" s="22"/>
      <c r="D26" s="22"/>
      <c r="E26" s="22"/>
      <c r="F26" s="22"/>
      <c r="G26" s="22"/>
      <c r="H26" s="22"/>
      <c r="I26" s="22"/>
      <c r="J26" s="22"/>
      <c r="K26" s="22"/>
      <c r="L26" s="22"/>
      <c r="M26" s="22"/>
    </row>
    <row r="27" spans="1:13" x14ac:dyDescent="0.2">
      <c r="A27" s="22"/>
      <c r="B27" s="22"/>
      <c r="C27" s="22"/>
      <c r="D27" s="22"/>
      <c r="E27" s="22"/>
      <c r="F27" s="22"/>
      <c r="G27" s="22"/>
      <c r="H27" s="22"/>
      <c r="I27" s="22"/>
      <c r="J27" s="22"/>
      <c r="K27" s="22"/>
      <c r="L27" s="22"/>
      <c r="M27" s="22"/>
    </row>
    <row r="28" spans="1:13" x14ac:dyDescent="0.2">
      <c r="A28" s="22"/>
      <c r="B28" s="22"/>
      <c r="C28" s="22"/>
      <c r="D28" s="22"/>
      <c r="E28" s="22"/>
      <c r="F28" s="22"/>
      <c r="G28" s="22"/>
      <c r="H28" s="22"/>
      <c r="I28" s="22"/>
      <c r="J28" s="22"/>
      <c r="K28" s="22"/>
      <c r="L28" s="22"/>
      <c r="M28" s="22"/>
    </row>
    <row r="29" spans="1:13" x14ac:dyDescent="0.2">
      <c r="A29" s="22"/>
      <c r="B29" s="22"/>
      <c r="C29" s="22"/>
      <c r="D29" s="22"/>
      <c r="E29" s="22"/>
      <c r="F29" s="22"/>
      <c r="G29" s="22"/>
      <c r="H29" s="22"/>
      <c r="I29" s="22"/>
      <c r="J29" s="22"/>
      <c r="K29" s="22"/>
      <c r="L29" s="22"/>
      <c r="M29" s="22"/>
    </row>
    <row r="30" spans="1:13" x14ac:dyDescent="0.2">
      <c r="A30" s="22"/>
      <c r="B30" s="22"/>
      <c r="C30" s="22"/>
      <c r="D30" s="22"/>
      <c r="E30" s="22"/>
      <c r="F30" s="22"/>
      <c r="G30" s="22"/>
      <c r="H30" s="22"/>
      <c r="I30" s="22"/>
      <c r="J30" s="22"/>
      <c r="K30" s="22"/>
      <c r="L30" s="22"/>
      <c r="M30" s="22"/>
    </row>
    <row r="31" spans="1:13" x14ac:dyDescent="0.2">
      <c r="A31" s="22"/>
      <c r="B31" s="22"/>
      <c r="C31" s="22"/>
      <c r="D31" s="22"/>
      <c r="E31" s="22"/>
      <c r="F31" s="22"/>
      <c r="G31" s="22"/>
      <c r="H31" s="22"/>
      <c r="I31" s="22"/>
      <c r="J31" s="22"/>
      <c r="K31" s="22"/>
      <c r="L31" s="22"/>
      <c r="M31" s="22"/>
    </row>
    <row r="32" spans="1:13" x14ac:dyDescent="0.2">
      <c r="A32" s="22"/>
      <c r="B32" s="22"/>
      <c r="C32" s="22"/>
      <c r="D32" s="22"/>
      <c r="E32" s="22"/>
      <c r="F32" s="22"/>
      <c r="G32" s="22"/>
      <c r="H32" s="22"/>
      <c r="I32" s="22"/>
      <c r="J32" s="22"/>
      <c r="K32" s="22"/>
      <c r="L32" s="22"/>
      <c r="M32" s="22"/>
    </row>
    <row r="33" spans="1:13" ht="63" customHeight="1" x14ac:dyDescent="0.2">
      <c r="A33" s="22"/>
      <c r="B33" s="22"/>
      <c r="C33" s="22"/>
      <c r="D33" s="22"/>
      <c r="E33" s="22"/>
      <c r="F33" s="22"/>
      <c r="G33" s="22"/>
      <c r="H33" s="22"/>
      <c r="I33" s="22"/>
      <c r="J33" s="22"/>
      <c r="K33" s="22"/>
      <c r="L33" s="22"/>
      <c r="M33" s="22"/>
    </row>
    <row r="34" spans="1:13" hidden="1" x14ac:dyDescent="0.2">
      <c r="A34" s="22"/>
      <c r="B34" s="22"/>
      <c r="C34" s="22"/>
      <c r="D34" s="22"/>
      <c r="E34" s="22"/>
      <c r="F34" s="22"/>
      <c r="G34" s="22"/>
      <c r="H34" s="22"/>
      <c r="I34" s="22"/>
      <c r="J34" s="22"/>
      <c r="K34" s="22"/>
      <c r="L34" s="22"/>
      <c r="M34" s="22"/>
    </row>
  </sheetData>
  <sheetProtection selectLockedCells="1" selectUnlockedCells="1"/>
  <mergeCells count="23">
    <mergeCell ref="A14:B14"/>
    <mergeCell ref="K8:K9"/>
    <mergeCell ref="L8:L9"/>
    <mergeCell ref="A10:B10"/>
    <mergeCell ref="A11:B11"/>
    <mergeCell ref="A12:B12"/>
    <mergeCell ref="A13:B13"/>
    <mergeCell ref="E6:E9"/>
    <mergeCell ref="F6:F9"/>
    <mergeCell ref="G6:G9"/>
    <mergeCell ref="H8:H9"/>
    <mergeCell ref="I8:I9"/>
    <mergeCell ref="J8:J9"/>
    <mergeCell ref="A1:C3"/>
    <mergeCell ref="I1:J1"/>
    <mergeCell ref="D2:H2"/>
    <mergeCell ref="I2:J2"/>
    <mergeCell ref="I3:J3"/>
    <mergeCell ref="A5:B9"/>
    <mergeCell ref="C5:G5"/>
    <mergeCell ref="H5:L5"/>
    <mergeCell ref="C6:C9"/>
    <mergeCell ref="D6:D9"/>
  </mergeCells>
  <pageMargins left="0.78740157480314965" right="0.78740157480314965" top="0.62992125984251968" bottom="0.51181102362204722" header="0.27559055118110237" footer="0.23622047244094491"/>
  <pageSetup paperSize="9" scale="70" orientation="landscape" horizontalDpi="300" verticalDpi="300" copies="3" r:id="rId1"/>
  <headerFooter>
    <oddFooter>&amp;L&amp;7Issue date: 01-01-2014 Revision: 01Document Owner: Group SHEQ Manager&amp;R&amp;7&amp;P/&amp;N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F58E9632D3CD444A21C64920A96E18B" ma:contentTypeVersion="13" ma:contentTypeDescription="Create a new document." ma:contentTypeScope="" ma:versionID="3c72acce436c1b49d739fe3f4c7af673">
  <xsd:schema xmlns:xsd="http://www.w3.org/2001/XMLSchema" xmlns:p="http://schemas.microsoft.com/office/2006/metadata/properties" xmlns:ns2="5470fdc2-d5b4-45ba-ae4a-b04105b307e7" xmlns:ns3="faa5c77d-98fa-4e50-863f-182fb51ee117" targetNamespace="http://schemas.microsoft.com/office/2006/metadata/properties" ma:root="true" ma:fieldsID="93784c78931b4267596e2e53a122eea3" ns2:_="" ns3:_="">
    <xsd:import namespace="5470fdc2-d5b4-45ba-ae4a-b04105b307e7"/>
    <xsd:import namespace="faa5c77d-98fa-4e50-863f-182fb51ee117"/>
    <xsd:element name="properties">
      <xsd:complexType>
        <xsd:sequence>
          <xsd:element name="documentManagement">
            <xsd:complexType>
              <xsd:all>
                <xsd:element ref="ns2:TemplateDescription" minOccurs="0"/>
                <xsd:element ref="ns2:Document_x0020_Type" minOccurs="0"/>
                <xsd:element ref="ns2:Process_x0020_Activity" minOccurs="0"/>
                <xsd:element ref="ns2:Internal" minOccurs="0"/>
                <xsd:element ref="ns3:Publication_x0020_status" minOccurs="0"/>
                <xsd:element ref="ns3:Comments" minOccurs="0"/>
                <xsd:element ref="ns3:Prepared_x0020_by" minOccurs="0"/>
                <xsd:element ref="ns3:Approved_x0020_by" minOccurs="0"/>
                <xsd:element ref="ns3:Process_x0020_Number" minOccurs="0"/>
              </xsd:all>
            </xsd:complexType>
          </xsd:element>
        </xsd:sequence>
      </xsd:complexType>
    </xsd:element>
  </xsd:schema>
  <xsd:schema xmlns:xsd="http://www.w3.org/2001/XMLSchema" xmlns:dms="http://schemas.microsoft.com/office/2006/documentManagement/types" targetNamespace="5470fdc2-d5b4-45ba-ae4a-b04105b307e7" elementFormDefault="qualified">
    <xsd:import namespace="http://schemas.microsoft.com/office/2006/documentManagement/types"/>
    <xsd:element name="TemplateDescription" ma:index="8" nillable="true" ma:displayName="Description" ma:internalName="TemplateDescription">
      <xsd:simpleType>
        <xsd:restriction base="dms:Note"/>
      </xsd:simpleType>
    </xsd:element>
    <xsd:element name="Document_x0020_Type" ma:index="9" nillable="true" ma:displayName="Document Type" ma:internalName="Document_x0020_Type">
      <xsd:simpleType>
        <xsd:restriction base="dms:Text">
          <xsd:maxLength value="255"/>
        </xsd:restriction>
      </xsd:simpleType>
    </xsd:element>
    <xsd:element name="Process_x0020_Activity" ma:index="10" nillable="true" ma:displayName="Process Activity" ma:internalName="Process_x0020_Activity">
      <xsd:simpleType>
        <xsd:restriction base="dms:Text">
          <xsd:maxLength value="255"/>
        </xsd:restriction>
      </xsd:simpleType>
    </xsd:element>
    <xsd:element name="Internal" ma:index="11" nillable="true" ma:displayName="Internal" ma:default="1" ma:internalName="Internal">
      <xsd:simpleType>
        <xsd:restriction base="dms:Boolean"/>
      </xsd:simpleType>
    </xsd:element>
  </xsd:schema>
  <xsd:schema xmlns:xsd="http://www.w3.org/2001/XMLSchema" xmlns:dms="http://schemas.microsoft.com/office/2006/documentManagement/types" targetNamespace="faa5c77d-98fa-4e50-863f-182fb51ee117" elementFormDefault="qualified">
    <xsd:import namespace="http://schemas.microsoft.com/office/2006/documentManagement/types"/>
    <xsd:element name="Publication_x0020_status" ma:index="12" nillable="true" ma:displayName="Publication status" ma:format="Dropdown" ma:internalName="Publication_x0020_status">
      <xsd:simpleType>
        <xsd:restriction base="dms:Choice">
          <xsd:enumeration value="Affiliate documents"/>
          <xsd:enumeration value="Affiliate records"/>
          <xsd:enumeration value="Corporate documents"/>
          <xsd:enumeration value="Corporate drafts"/>
          <xsd:enumeration value="Corporate in project"/>
          <xsd:enumeration value="Corporate originals"/>
          <xsd:enumeration value="Corporate records"/>
          <xsd:enumeration value="Obsolete"/>
        </xsd:restriction>
      </xsd:simpleType>
    </xsd:element>
    <xsd:element name="Comments" ma:index="13" nillable="true" ma:displayName="Comments" ma:internalName="Comments">
      <xsd:simpleType>
        <xsd:restriction base="dms:Note"/>
      </xsd:simpleType>
    </xsd:element>
    <xsd:element name="Prepared_x0020_by" ma:index="14" nillable="true" ma:displayName="Prepared by" ma:list="UserInfo" ma:internalName="Prepared_x0020_by"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pproved_x0020_by" ma:index="15" nillable="true" ma:displayName="Approved by" ma:list="UserInfo" ma:internalName="Approved_x0020_by"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rocess_x0020_Number" ma:index="16" nillable="true" ma:displayName="Process Number" ma:default="03" ma:internalName="Process_x0020_Number">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Lab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repared_x0020_by xmlns="faa5c77d-98fa-4e50-863f-182fb51ee117">
      <UserInfo>
        <DisplayName/>
        <AccountId>178</AccountId>
        <AccountType/>
      </UserInfo>
    </Prepared_x0020_by>
    <Comments xmlns="faa5c77d-98fa-4e50-863f-182fb51ee117" xsi:nil="true"/>
    <Process_x0020_Number xmlns="faa5c77d-98fa-4e50-863f-182fb51ee117">03</Process_x0020_Number>
    <TemplateDescription xmlns="5470fdc2-d5b4-45ba-ae4a-b04105b307e7" xsi:nil="true"/>
    <Document_x0020_Type xmlns="5470fdc2-d5b4-45ba-ae4a-b04105b307e7">Form</Document_x0020_Type>
    <Internal xmlns="5470fdc2-d5b4-45ba-ae4a-b04105b307e7">true</Internal>
    <Approved_x0020_by xmlns="faa5c77d-98fa-4e50-863f-182fb51ee117">
      <UserInfo>
        <DisplayName/>
        <AccountId>178</AccountId>
        <AccountType/>
      </UserInfo>
    </Approved_x0020_by>
    <Process_x0020_Activity xmlns="5470fdc2-d5b4-45ba-ae4a-b04105b307e7" xsi:nil="true"/>
    <Publication_x0020_status xmlns="faa5c77d-98fa-4e50-863f-182fb51ee117">Corporate originals</Publication_x0020_statu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LongProperties xmlns="http://schemas.microsoft.com/office/2006/metadata/longProperties"/>
</file>

<file path=customXml/itemProps1.xml><?xml version="1.0" encoding="utf-8"?>
<ds:datastoreItem xmlns:ds="http://schemas.openxmlformats.org/officeDocument/2006/customXml" ds:itemID="{20276EED-1D6C-446D-BC18-A4C346AE40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70fdc2-d5b4-45ba-ae4a-b04105b307e7"/>
    <ds:schemaRef ds:uri="faa5c77d-98fa-4e50-863f-182fb51ee117"/>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34A5DBCF-E2DA-4D23-9549-E8E78AF171AB}">
  <ds:schemaRefs>
    <ds:schemaRef ds:uri="http://purl.org/dc/terms/"/>
    <ds:schemaRef ds:uri="http://schemas.openxmlformats.org/package/2006/metadata/core-properties"/>
    <ds:schemaRef ds:uri="http://schemas.microsoft.com/office/2006/documentManagement/types"/>
    <ds:schemaRef ds:uri="http://purl.org/dc/elements/1.1/"/>
    <ds:schemaRef ds:uri="http://schemas.microsoft.com/office/2006/metadata/properties"/>
    <ds:schemaRef ds:uri="faa5c77d-98fa-4e50-863f-182fb51ee117"/>
    <ds:schemaRef ds:uri="5470fdc2-d5b4-45ba-ae4a-b04105b307e7"/>
    <ds:schemaRef ds:uri="http://www.w3.org/XML/1998/namespace"/>
    <ds:schemaRef ds:uri="http://purl.org/dc/dcmitype/"/>
    <ds:schemaRef ds:uri="http://schemas.microsoft.com/office/infopath/2007/PartnerControls"/>
  </ds:schemaRefs>
</ds:datastoreItem>
</file>

<file path=customXml/itemProps3.xml><?xml version="1.0" encoding="utf-8"?>
<ds:datastoreItem xmlns:ds="http://schemas.openxmlformats.org/officeDocument/2006/customXml" ds:itemID="{EA921F7F-51B9-4976-A2B7-454C25076784}">
  <ds:schemaRefs>
    <ds:schemaRef ds:uri="http://schemas.microsoft.com/sharepoint/v3/contenttype/forms"/>
  </ds:schemaRefs>
</ds:datastoreItem>
</file>

<file path=customXml/itemProps4.xml><?xml version="1.0" encoding="utf-8"?>
<ds:datastoreItem xmlns:ds="http://schemas.openxmlformats.org/officeDocument/2006/customXml" ds:itemID="{C5B5785D-A764-4DF2-800E-02F490C0ABC7}">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5</vt:i4>
      </vt:variant>
    </vt:vector>
  </HeadingPairs>
  <TitlesOfParts>
    <vt:vector size="7" baseType="lpstr">
      <vt:lpstr>АСОР</vt:lpstr>
      <vt:lpstr>МОР</vt:lpstr>
      <vt:lpstr>АСОР!Strongly_emphasise_each_individual_s__71</vt:lpstr>
      <vt:lpstr>АСОР!Заголовки_для_печати</vt:lpstr>
      <vt:lpstr>МОР!Заголовки_для_печати</vt:lpstr>
      <vt:lpstr>АСОР!Область_печати</vt:lpstr>
      <vt:lpstr>МОР!Область_печати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Specific Job Safety Analysis (S-JSA)</dc:title>
  <dc:creator>Erik Nuhoff</dc:creator>
  <cp:lastModifiedBy>Dolzhikov Vladislav</cp:lastModifiedBy>
  <cp:lastPrinted>2014-11-10T14:56:30Z</cp:lastPrinted>
  <dcterms:created xsi:type="dcterms:W3CDTF">2011-02-21T14:14:41Z</dcterms:created>
  <dcterms:modified xsi:type="dcterms:W3CDTF">2025-02-26T14:26:00Z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0x0101004F58E9632D3CD444A21C64920A96E18B</vt:lpwstr>
  </property>
  <property fmtid="{D5CDD505-2E9C-101B-9397-08002B2CF9AE}" pid="3" name="PublishingExpirationDate">
    <vt:lpwstr/>
  </property>
  <property fmtid="{D5CDD505-2E9C-101B-9397-08002B2CF9AE}" pid="4" name="PublishingStartDate">
    <vt:lpwstr/>
  </property>
  <property fmtid="{D5CDD505-2E9C-101B-9397-08002B2CF9AE}" pid="5" name="ContentType">
    <vt:lpwstr>Document</vt:lpwstr>
  </property>
  <property fmtid="{D5CDD505-2E9C-101B-9397-08002B2CF9AE}" pid="6" name="Format">
    <vt:lpwstr/>
  </property>
  <property fmtid="{D5CDD505-2E9C-101B-9397-08002B2CF9AE}" pid="7" name="Date and Time">
    <vt:lpwstr/>
  </property>
  <property fmtid="{D5CDD505-2E9C-101B-9397-08002B2CF9AE}" pid="8" name="display_urn:schemas-microsoft-com:office:office#Prepared_x0020_by">
    <vt:lpwstr>DIXON Chris</vt:lpwstr>
  </property>
  <property fmtid="{D5CDD505-2E9C-101B-9397-08002B2CF9AE}" pid="9" name="display_urn:schemas-microsoft-com:office:office#Approved_x0020_by">
    <vt:lpwstr>DIXON Chris</vt:lpwstr>
  </property>
</Properties>
</file>