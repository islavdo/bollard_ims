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autoCompressPictures="0"/>
  <mc:AlternateContent xmlns:mc="http://schemas.openxmlformats.org/markup-compatibility/2006">
    <mc:Choice Requires="x15">
      <x15ac:absPath xmlns:x15ac="http://schemas.microsoft.com/office/spreadsheetml/2010/11/ac" url="C:\Users\Vladislav\Desktop\SMS BOLLARD\Формы SMS\Forms 09 Система управления охраной труда\Стандартный JHA\"/>
    </mc:Choice>
  </mc:AlternateContent>
  <xr:revisionPtr revIDLastSave="0" documentId="13_ncr:1_{F853E7C6-49B4-43EE-A918-A9B3C11745CE}" xr6:coauthVersionLast="47" xr6:coauthVersionMax="47" xr10:uidLastSave="{00000000-0000-0000-0000-000000000000}"/>
  <bookViews>
    <workbookView xWindow="-120" yWindow="-120" windowWidth="29040" windowHeight="15720" tabRatio="307" activeTab="1" xr2:uid="{00000000-000D-0000-FFFF-FFFF00000000}"/>
  </bookViews>
  <sheets>
    <sheet name="АСОР" sheetId="1" r:id="rId1"/>
    <sheet name="МОР" sheetId="4" r:id="rId2"/>
  </sheets>
  <definedNames>
    <definedName name="Strongly_emphasise_each_individual_s__71" localSheetId="0">АСОР!$O$57</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АСОР!$A$1:$M$47</definedName>
    <definedName name="_xlnm.Print_Area" localSheetId="1">МОР!$A$1:$V$34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1" l="1"/>
  <c r="U15" i="1"/>
  <c r="S16" i="1"/>
  <c r="U16" i="1"/>
  <c r="T15" i="1"/>
  <c r="V15" i="1"/>
  <c r="S9" i="1"/>
  <c r="U9" i="1"/>
  <c r="F9" i="1"/>
  <c r="S10" i="1"/>
  <c r="U10" i="1"/>
  <c r="F10" i="1"/>
  <c r="S11" i="1"/>
  <c r="U11" i="1"/>
  <c r="F11" i="1"/>
  <c r="S14" i="1"/>
  <c r="U14" i="1"/>
  <c r="F14" i="1"/>
  <c r="T24" i="1"/>
  <c r="V24" i="1"/>
  <c r="S24" i="1"/>
  <c r="U24" i="1"/>
  <c r="T23" i="1"/>
  <c r="V23" i="1"/>
  <c r="S23" i="1"/>
  <c r="U23" i="1"/>
  <c r="T22" i="1"/>
  <c r="V22" i="1"/>
  <c r="S22" i="1"/>
  <c r="U22" i="1"/>
  <c r="T21" i="1"/>
  <c r="V21" i="1"/>
  <c r="S21" i="1"/>
  <c r="U21" i="1"/>
  <c r="T20" i="1"/>
  <c r="V20" i="1"/>
  <c r="S20" i="1"/>
  <c r="U20" i="1"/>
  <c r="T19" i="1"/>
  <c r="V19" i="1"/>
  <c r="S19" i="1"/>
  <c r="U19" i="1"/>
  <c r="T18" i="1"/>
  <c r="V18" i="1"/>
  <c r="S18" i="1"/>
  <c r="U18" i="1"/>
  <c r="T17" i="1"/>
  <c r="V17" i="1"/>
  <c r="S17" i="1"/>
  <c r="U17" i="1"/>
  <c r="T16" i="1"/>
  <c r="V16" i="1"/>
  <c r="T14" i="1"/>
  <c r="V14" i="1"/>
  <c r="M14" i="1"/>
  <c r="T11" i="1"/>
  <c r="V11" i="1"/>
  <c r="M11" i="1"/>
  <c r="T10" i="1"/>
  <c r="V10" i="1"/>
  <c r="M10" i="1"/>
  <c r="T9" i="1"/>
  <c r="V9" i="1"/>
  <c r="M9" i="1"/>
  <c r="U8" i="1"/>
</calcChain>
</file>

<file path=xl/sharedStrings.xml><?xml version="1.0" encoding="utf-8"?>
<sst xmlns="http://schemas.openxmlformats.org/spreadsheetml/2006/main" count="186" uniqueCount="163">
  <si>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</si>
  <si>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</si>
  <si>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</si>
  <si>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</si>
  <si>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</si>
  <si>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D</t>
    </r>
  </si>
  <si>
    <r>
      <rPr>
        <sz val="12"/>
        <rFont val="Arial"/>
        <family val="2"/>
      </rPr>
      <t>D</t>
    </r>
  </si>
  <si>
    <r>
      <rPr>
        <sz val="10"/>
        <color rgb="FF000000"/>
        <rFont val="Arial"/>
        <family val="2"/>
      </rPr>
      <t>Fully review and discuss the completed JHA with particular attention to identified hazards and the methods of controlling / removing them / Полный обзор и обсуждение составленного АСОР с особым вниманием на выявленные опасности и методы их контроля / устранения.</t>
    </r>
  </si>
  <si>
    <r>
      <rPr>
        <sz val="10"/>
        <color theme="0"/>
        <rFont val="Arial"/>
        <family val="2"/>
      </rPr>
      <t>Full Name / ФИО</t>
    </r>
  </si>
  <si>
    <r>
      <rPr>
        <sz val="10"/>
        <color theme="0"/>
        <rFont val="Arial"/>
        <family val="2"/>
      </rPr>
      <t>Job Title / Должность</t>
    </r>
  </si>
  <si>
    <r>
      <rPr>
        <sz val="10"/>
        <color theme="0"/>
        <rFont val="Arial"/>
        <family val="2"/>
      </rPr>
      <t>Signature / Подпись</t>
    </r>
  </si>
  <si>
    <r>
      <rPr>
        <sz val="10"/>
        <color theme="0"/>
        <rFont val="Arial"/>
        <family val="2"/>
      </rPr>
      <t>Comments, if any    "SAFETY IS MY PERSONAL VALUE" / Замечания, если имеются «БЕЗОПАСНОСТЬ - МОЯ ЛИЧНАЯ ЦЕННОСТЬ»</t>
    </r>
  </si>
  <si>
    <t>Severity</t>
  </si>
  <si>
    <t>Likelihood</t>
  </si>
  <si>
    <t>Likelihood tranf initial</t>
  </si>
  <si>
    <t>Likelihood tranf residual</t>
  </si>
  <si>
    <t>Initial</t>
  </si>
  <si>
    <t>residual</t>
  </si>
  <si>
    <t xml:space="preserve">Risk </t>
  </si>
  <si>
    <t>A</t>
  </si>
  <si>
    <t>L</t>
  </si>
  <si>
    <t>B</t>
  </si>
  <si>
    <t>M</t>
  </si>
  <si>
    <t>C</t>
  </si>
  <si>
    <t>H</t>
  </si>
  <si>
    <t>D</t>
  </si>
  <si>
    <t>E</t>
  </si>
  <si>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</si>
  <si>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</si>
  <si>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</si>
  <si>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</si>
  <si>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</si>
  <si>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</si>
  <si>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</si>
  <si>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</si>
  <si>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</si>
  <si>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</si>
  <si>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</si>
  <si>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</si>
  <si>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</si>
  <si>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</si>
  <si>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</si>
  <si>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</si>
  <si>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</si>
  <si>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</si>
  <si>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</si>
  <si>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</si>
  <si>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</si>
  <si>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</si>
  <si>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</si>
  <si>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</si>
  <si>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</si>
  <si>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</si>
  <si>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</si>
  <si>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</si>
  <si>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</si>
  <si>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</si>
  <si>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</si>
  <si>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</si>
  <si>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Название судна</t>
  </si>
  <si>
    <t>Дата</t>
  </si>
  <si>
    <t xml:space="preserve"> Исходный риск</t>
  </si>
  <si>
    <t>Оборудование</t>
  </si>
  <si>
    <t xml:space="preserve"> Описание работ</t>
  </si>
  <si>
    <t>Груоподъемное оборудование и механизмы, СИЗ, спасательные средсттва,</t>
  </si>
  <si>
    <t>Перемещение оборудования</t>
  </si>
  <si>
    <t>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</si>
  <si>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</si>
  <si>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</si>
  <si>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</si>
  <si>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</si>
  <si>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</si>
  <si>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</si>
  <si>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</si>
  <si>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</si>
  <si>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 xml:space="preserve"> Номер оценки рисков</t>
  </si>
  <si>
    <t>Ручная обработка</t>
  </si>
  <si>
    <t xml:space="preserve">Травмы персонала или другие повреждения в результате удара падающим/движущимся предметом и т.д. Ущерб окружающей среде в результате разрыва гидравлического шланга или повреждения/попадания оборудования в воду. Повреждение оборудования компании и/или третьих лиц или крана в результате неправильного использования. </t>
  </si>
  <si>
    <t>Необходимо использовать соответствующие СИЗ, включая каски, защитные очки, защитную обувь, рабочие перчатки и комбинезоны. По всей территории должны быть развешаны знаки безопасности, указывающие на безопасный способ/роложение для персонала при подъеме грузов. Предварительно необходимо проводить беседы о правильном методе подъема. Персонал должен знать вес поднимаемого предмета. Механические приспособления должны использоваться по мере возможности.  Тара должна быть надежной / иметь подходящую конструкцию.</t>
  </si>
  <si>
    <t xml:space="preserve">Работа с использованием палубного крана
</t>
  </si>
  <si>
    <t xml:space="preserve">Травмы персонала в результате скольжения, падения или падения между судами. Повреждение трапа в результате движения судна. Потеря рабочего времени. Не исключены более серьезные травмы. Повреждения буксира. Травма с потерей времени. Не исключена постоянная инвалидность.Разлив нефти &lt; 1 барреля, ограниченное воздействие на окружающую среду. Повреждение крана, требующее ремонта, или оборудования, требующего замены. </t>
  </si>
  <si>
    <t>Управлять краном должен ковалифицированный сотрудник. Кран и вспомогательное оборудование должны быть проверены перед использованием. Для крана и оборудования должен быть разработани применяться график планового технического обслуживания. Работой должен руководить один человек. Должны использоваться согласованные сигналы руками. При необходимости должна использоваться радиосвязь. Персонал должен носить каски, защитные ботинки, защитные очки и другие соответствующие СИЗ. На палубу должен допускаться только необходимый персонал. Оборудование для ликвидации разливов должно быть в свободном доступе. Должны быть проведен предварительный инструктаж. . На стреле крана должны быть четко обозначены SWL и другие соответствующие данные. Выключатель крана должен работать. Необходимо регулярно проводить инструктажи и обучения  использования крана. При необходимости должны быть разработаны планы подъема.</t>
  </si>
  <si>
    <t>Травмы персонала из-за жары. Истощение и поскальзывание/походы по скользким (мокрым/покрытым наледью) поверхностям. Обледенение оборудования. Повреждение оборудования. Окружающая среда.</t>
  </si>
  <si>
    <t>Работа в жарких/холодных/ветреных/снежных/дождевых погодных условиях и ночью.</t>
  </si>
  <si>
    <t xml:space="preserve">Необходимо регулярно проводить инструктажи о работе в плохую погоду. Система планового технического обслуживания должна быть внедрена и хорошо выполняться. Должны быть установлены погодные параметры для безопасной работы в море.  Одевайтесь правильно в соответствии с погодой. Не допускайте промокания одежды. Ограничьте время пребывания на улице, регулярно меняйте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Обеспечьте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лебедок и других поверхностей. </t>
  </si>
  <si>
    <t>Травмы персонала из-за жары. Истощение и поскальзывание/движение по скользким (мокрым/обледеневшим) поверхностям. Обледенение оборудования.</t>
  </si>
  <si>
    <t xml:space="preserve">Необходимо регулярно проводить беседы о особенностях работы в плохую погоду.  Система планового технического обслуживания должна быть внедрена и  выполняться.  Должны быть установлены погодные параметры для безопасной работы в море.  Правильно одевайтесь в соответствии с погодными условиями. По возможности усключите промокание одежды. Ограничьте время пребывания на улице, регулярно меняйте вахтенный персонал. Персонал должен носить соответствующие СИЗ, каски, защитные ботинки, перчатки, защитные очки, комбинезоны и спасательные жилеты. Будьте внимательны к условиям.  Хорошее освещение.  Четкая связь между всеми участниками.  Храните канаты в теплых и закрытых помещениях, когда они не используются.  Используйте песок или другую смесь на покрытой льдом палубе.  Используйте деревянные инструменты для удаления льда с крышек и лебедок. </t>
  </si>
  <si>
    <t>Человек за бортом</t>
  </si>
  <si>
    <t xml:space="preserve">Травма с потерей рабочего времени. Не исключен летальный исход. </t>
  </si>
  <si>
    <t>Защитные ограждения / леера и т.д. должны поддерживаться в хорошем состоянии.  Боковые ворота должны быть закрыты, когда вы находитесь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</si>
  <si>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АНАЛИЗ СТЕПЕНИ ОПАСНОСТИ РАБОТ (АСОР)</t>
  </si>
  <si>
    <t xml:space="preserve"> 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</si>
  <si>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t>Учетная документация по инструктажам на рабочем месте</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</si>
  <si>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</si>
  <si>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</si>
  <si>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</si>
  <si>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</si>
  <si>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</si>
  <si>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</si>
  <si>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</si>
  <si>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</si>
  <si>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</si>
  <si>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</si>
  <si>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</si>
  <si>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</si>
  <si>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</si>
  <si>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</si>
  <si>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</si>
  <si>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</si>
  <si>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</si>
  <si>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</si>
  <si>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</si>
  <si>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</si>
  <si>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</si>
  <si>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Возрастающая вероятность</t>
  </si>
  <si>
    <t>Последствия</t>
  </si>
  <si>
    <t>Люди</t>
  </si>
  <si>
    <t>Окружающая среда</t>
  </si>
  <si>
    <t>Имущество</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</si>
  <si>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</si>
  <si>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</si>
  <si>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Крайне маловероятно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</si>
  <si>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</si>
  <si>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</si>
  <si>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</si>
  <si>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</si>
  <si>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</si>
  <si>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</si>
  <si>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</si>
  <si>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</si>
  <si>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</si>
  <si>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 xml:space="preserve"> Травма, ведущая к потере трудоспособности или к частичной нетрудоспособности</t>
  </si>
  <si>
    <t>Умеренное повреждение 
&lt;50.000€ / евро</t>
  </si>
  <si>
    <t>Умеренное негативное воздействие</t>
  </si>
  <si>
    <t>Постоянная утрата трудоспособности или летальный исход</t>
  </si>
  <si>
    <t>Значительное негативное воздействие</t>
  </si>
  <si>
    <t>Задержка 48 часов – 7 дней</t>
  </si>
  <si>
    <t>Более 1 смертельного случая</t>
  </si>
  <si>
    <t>Сильное негативное воздействие</t>
  </si>
  <si>
    <t>Задержка более 7 дней</t>
  </si>
  <si>
    <t xml:space="preserve">Работа в жарких/холодных/ветреных/снежных/дождевых погодных условиях и ночью. </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</si>
  <si>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</si>
  <si>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r>
      <rPr>
        <i/>
        <sz val="10"/>
        <color rgb="FF000000"/>
        <rFont val="Arial"/>
        <family val="2"/>
        <charset val="204"/>
      </rPr>
      <t>Необходимо</t>
    </r>
    <r>
      <rPr>
        <sz val="10"/>
        <color rgb="FF000000"/>
        <rFont val="Arial"/>
        <family val="2"/>
        <charset val="204"/>
      </rPr>
      <t xml:space="preserve"> проверить следующие пункты:</t>
    </r>
  </si>
  <si>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</si>
  <si>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</si>
  <si>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Неконтролируемое движение судов при швартовке у причала или к другому судну.</t>
  </si>
  <si>
    <t>Травмы персонала в результате скольжения, падения или падения между судами. Повреждение трапа или перил в результате движения судна. Потеря рабочего времени. Не исключена более серьезная травма. Повреждение трапа/перил, требующее ремонта или замены. Повреждение оборудования. Окружающая среда.</t>
  </si>
  <si>
    <t>Необходимо использовать достаточное количество швартовых линий, чтобы предотвратить «навал» судов друг на друга.  Погрузка/разгрузка должна производиться только после подтверждения капитаном, что судно находится в безопасности. Капитан должен оценить погодные условия перед переходом. Во время погрузочных работ весь персонал должен быть одет в спасательные жилеты.  Спасательное оборудование должно быть на месте. Следите за движением судна и выбирайте подходящий момент для переноса оборудования вручную или с помощью крана.</t>
  </si>
  <si>
    <t>File 09 / Папка 09</t>
  </si>
  <si>
    <t>Retention 3 Year / Срок хранения документа 3 года</t>
  </si>
  <si>
    <t>BL_FRM-VSL-09-1312-009</t>
  </si>
  <si>
    <t xml:space="preserve"> Репутация</t>
  </si>
  <si>
    <t xml:space="preserve"> График</t>
  </si>
  <si>
    <t>Происходило в Компании в прошлом году или более одного раза в год в сфере морских судов обеспечения (на берегу или в плавании)</t>
  </si>
  <si>
    <t>Маловероятно</t>
  </si>
  <si>
    <t>Возможно</t>
  </si>
  <si>
    <t xml:space="preserve"> Задержка 1–12 часов</t>
  </si>
  <si>
    <t>Умеренное воздействие
 менее - 1 баррель</t>
  </si>
  <si>
    <t xml:space="preserve"> Задержка 12–48 часов</t>
  </si>
  <si>
    <t>Значительное воздействие
1-10 баррелей</t>
  </si>
  <si>
    <t xml:space="preserve"> Значительное повреждение 
&lt;500.000€ / евро</t>
  </si>
  <si>
    <t>Сильное воздействие
&gt; 10  баррелей</t>
  </si>
  <si>
    <t>Обширное повреждение
&gt; 500.000€ / евро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</si>
</sst>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sz val="8"/>
      <color rgb="FF006666"/>
      <name val="Arial Black"/>
      <family val="2"/>
      <charset val="204"/>
    </font>
    <font>
      <sz val="8"/>
      <color rgb="FF333399"/>
      <name val="Arial Black"/>
      <family val="2"/>
      <charset val="204"/>
    </font>
    <font>
      <b/>
      <sz val="12"/>
      <name val="Verdana"/>
      <family val="2"/>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
      <b/>
      <sz val="11"/>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8E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04">
    <xf numFmtId="0" fontId="0" fillId="0" borderId="0" xfId="0"/>
    <xf numFmtId="0" fontId="13" fillId="2" borderId="0" xfId="0" applyFont="1" applyFill="1"/>
    <xf numFmtId="0" fontId="16" fillId="2" borderId="0" xfId="0" applyFont="1" applyFill="1" applyAlignment="1">
      <alignment horizontal="right" vertical="center"/>
    </xf>
    <xf numFmtId="0" fontId="0" fillId="2" borderId="0" xfId="0" applyFill="1" applyAlignment="1">
      <alignment vertical="center" wrapText="1"/>
    </xf>
    <xf numFmtId="0" fontId="15" fillId="2" borderId="0" xfId="0" applyFont="1" applyFill="1" applyAlignment="1">
      <alignment vertical="center"/>
    </xf>
    <xf numFmtId="0" fontId="2" fillId="2" borderId="0" xfId="0" applyFont="1" applyFill="1" applyAlignment="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19" fillId="3" borderId="5" xfId="0" applyFont="1" applyFill="1" applyBorder="1" applyAlignment="1">
      <alignment horizontal="justify" vertical="top" wrapText="1"/>
    </xf>
    <xf numFmtId="0" fontId="0" fillId="2" borderId="0" xfId="0" applyFill="1"/>
    <xf numFmtId="0" fontId="17" fillId="0" borderId="6" xfId="0" applyFont="1" applyBorder="1" applyAlignment="1">
      <alignment horizontal="center" vertical="top" wrapText="1"/>
    </xf>
    <xf numFmtId="0" fontId="21" fillId="0" borderId="1" xfId="0" applyFont="1" applyBorder="1" applyAlignment="1">
      <alignment horizontal="center" vertical="center" wrapText="1"/>
    </xf>
    <xf numFmtId="0" fontId="21" fillId="0" borderId="7" xfId="0" applyFont="1" applyBorder="1" applyAlignment="1">
      <alignment horizontal="center" vertical="center" wrapText="1"/>
    </xf>
    <xf numFmtId="0" fontId="26" fillId="2" borderId="0" xfId="0" applyFont="1" applyFill="1" applyAlignment="1">
      <alignment horizontal="center" vertical="center" wrapText="1"/>
    </xf>
    <xf numFmtId="0" fontId="22" fillId="2" borderId="0" xfId="0" applyFont="1" applyFill="1" applyAlignment="1">
      <alignment horizontal="center" vertical="center" wrapText="1"/>
    </xf>
    <xf numFmtId="0" fontId="21"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6" fillId="4" borderId="10" xfId="0" applyFont="1" applyFill="1" applyBorder="1" applyAlignment="1">
      <alignment horizontal="center" vertical="center" wrapText="1"/>
    </xf>
    <xf numFmtId="0" fontId="26" fillId="4" borderId="11" xfId="0" applyFont="1" applyFill="1" applyBorder="1" applyAlignment="1">
      <alignment horizontal="center" vertical="center" wrapText="1"/>
    </xf>
    <xf numFmtId="0" fontId="22" fillId="5" borderId="12" xfId="0" applyFont="1" applyFill="1" applyBorder="1" applyAlignment="1">
      <alignment horizontal="center" vertical="center" wrapText="1"/>
    </xf>
    <xf numFmtId="0" fontId="26" fillId="4" borderId="2"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7" fillId="4" borderId="11"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7" xfId="0" applyFont="1" applyFill="1" applyBorder="1" applyAlignment="1">
      <alignment horizontal="center" vertical="center" wrapText="1"/>
    </xf>
    <xf numFmtId="0" fontId="27" fillId="6" borderId="15" xfId="0" applyFont="1" applyFill="1" applyBorder="1" applyAlignment="1">
      <alignment horizontal="center" vertical="center" wrapText="1"/>
    </xf>
    <xf numFmtId="0" fontId="22" fillId="5" borderId="16" xfId="0" applyFont="1" applyFill="1" applyBorder="1" applyAlignment="1">
      <alignment horizontal="center" vertical="center" wrapText="1"/>
    </xf>
    <xf numFmtId="0" fontId="11" fillId="2" borderId="0" xfId="0" applyFont="1" applyFill="1" applyAlignment="1">
      <alignment horizontal="left" vertical="center"/>
    </xf>
    <xf numFmtId="0" fontId="18" fillId="2" borderId="0" xfId="0" applyFont="1" applyFill="1" applyAlignment="1">
      <alignment horizontal="center" wrapText="1"/>
    </xf>
    <xf numFmtId="0" fontId="21" fillId="2" borderId="0" xfId="0" applyFont="1" applyFill="1" applyAlignment="1">
      <alignment horizontal="center" vertical="center" wrapText="1"/>
    </xf>
    <xf numFmtId="0" fontId="9" fillId="2" borderId="0" xfId="0" applyFont="1" applyFill="1" applyAlignment="1">
      <alignment horizontal="left" vertical="center"/>
    </xf>
    <xf numFmtId="0" fontId="3" fillId="2" borderId="0" xfId="0" applyFont="1" applyFill="1" applyAlignment="1">
      <alignment horizontal="left" vertical="center" indent="1"/>
    </xf>
    <xf numFmtId="0" fontId="25" fillId="2" borderId="18" xfId="0" applyFont="1" applyFill="1" applyBorder="1" applyAlignment="1">
      <alignment horizontal="center"/>
    </xf>
    <xf numFmtId="0" fontId="25"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5"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29" xfId="0" applyFont="1" applyFill="1" applyBorder="1" applyAlignment="1">
      <alignment wrapText="1"/>
    </xf>
    <xf numFmtId="0" fontId="4" fillId="2" borderId="8"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7"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9" fillId="2" borderId="8" xfId="0" applyFont="1" applyFill="1" applyBorder="1" applyAlignment="1" applyProtection="1">
      <alignment horizontal="left" vertical="center" wrapText="1" shrinkToFit="1"/>
      <protection locked="0"/>
    </xf>
    <xf numFmtId="0" fontId="33" fillId="0" borderId="4" xfId="0" applyFont="1" applyBorder="1" applyAlignment="1" applyProtection="1">
      <alignment horizontal="left" vertical="center" wrapText="1"/>
      <protection locked="0"/>
    </xf>
    <xf numFmtId="0" fontId="33"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0" fontId="39" fillId="0" borderId="1" xfId="0" applyFont="1" applyBorder="1" applyAlignment="1" applyProtection="1">
      <alignment horizontal="left" vertical="center" wrapText="1"/>
      <protection locked="0"/>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0" fontId="36"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35"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6"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1" fillId="2" borderId="8" xfId="0" applyFont="1" applyFill="1" applyBorder="1" applyAlignment="1">
      <alignment horizontal="left" vertical="center" wrapText="1"/>
    </xf>
    <xf numFmtId="0" fontId="41" fillId="2" borderId="8" xfId="0" applyFont="1" applyFill="1" applyBorder="1" applyAlignment="1">
      <alignment horizontal="left" vertical="center" wrapText="1"/>
    </xf>
    <xf numFmtId="0" fontId="43" fillId="2" borderId="17" xfId="0" applyFont="1" applyFill="1" applyBorder="1" applyAlignment="1">
      <alignment horizontal="left" vertical="center" wrapText="1"/>
    </xf>
    <xf numFmtId="0" fontId="43" fillId="2" borderId="4" xfId="0" applyFont="1" applyFill="1" applyBorder="1" applyAlignment="1">
      <alignment horizontal="left" vertical="center" wrapText="1"/>
    </xf>
    <xf numFmtId="0" fontId="11" fillId="2" borderId="28" xfId="0" applyFont="1" applyFill="1" applyBorder="1" applyAlignment="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16" fillId="2" borderId="28" xfId="0" applyFont="1" applyFill="1" applyBorder="1" applyAlignment="1">
      <alignment horizontal="center" vertical="center"/>
    </xf>
    <xf numFmtId="0" fontId="16" fillId="2" borderId="0" xfId="0" applyFont="1" applyFill="1" applyAlignment="1">
      <alignment horizontal="center" vertical="center"/>
    </xf>
    <xf numFmtId="0" fontId="16" fillId="2" borderId="29" xfId="0" applyFont="1" applyFill="1" applyBorder="1" applyAlignment="1">
      <alignment horizontal="center" vertical="center"/>
    </xf>
    <xf numFmtId="0" fontId="37" fillId="2" borderId="18" xfId="0" applyFont="1" applyFill="1" applyBorder="1" applyAlignment="1">
      <alignment horizontal="center" vertical="center" wrapText="1"/>
    </xf>
    <xf numFmtId="0" fontId="12" fillId="2" borderId="20" xfId="0" applyFont="1" applyFill="1" applyBorder="1" applyAlignment="1">
      <alignment horizontal="center" vertical="center"/>
    </xf>
    <xf numFmtId="0" fontId="12" fillId="2" borderId="28" xfId="0" applyFont="1" applyFill="1" applyBorder="1" applyAlignment="1">
      <alignment horizontal="center" vertical="center"/>
    </xf>
    <xf numFmtId="0" fontId="12" fillId="2" borderId="29" xfId="0" applyFont="1" applyFill="1" applyBorder="1" applyAlignment="1">
      <alignment horizontal="center" vertical="center"/>
    </xf>
    <xf numFmtId="0" fontId="12" fillId="2" borderId="14" xfId="0" applyFont="1" applyFill="1" applyBorder="1" applyAlignment="1">
      <alignment horizontal="center" vertical="center"/>
    </xf>
    <xf numFmtId="0" fontId="12" fillId="2" borderId="22" xfId="0" applyFont="1" applyFill="1" applyBorder="1" applyAlignment="1">
      <alignment horizontal="center" vertical="center"/>
    </xf>
    <xf numFmtId="0" fontId="20" fillId="0" borderId="23" xfId="0" applyFont="1" applyBorder="1" applyAlignment="1">
      <alignment horizontal="center" vertical="center" wrapText="1"/>
    </xf>
    <xf numFmtId="0" fontId="20" fillId="0" borderId="24" xfId="0" applyFont="1" applyBorder="1" applyAlignment="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18" fillId="0" borderId="39" xfId="0" applyFont="1" applyBorder="1" applyAlignment="1">
      <alignment horizontal="center" vertical="center" wrapText="1"/>
    </xf>
    <xf numFmtId="0" fontId="0" fillId="0" borderId="31" xfId="0" applyBorder="1" applyAlignment="1">
      <alignment horizontal="center" vertical="center" wrapText="1"/>
    </xf>
    <xf numFmtId="0" fontId="0" fillId="0" borderId="0" xfId="0" applyAlignment="1">
      <alignment horizontal="center" vertical="center"/>
    </xf>
    <xf numFmtId="0" fontId="18" fillId="0" borderId="36" xfId="0" applyFont="1" applyBorder="1" applyAlignment="1">
      <alignment horizontal="center" vertical="center" wrapText="1"/>
    </xf>
    <xf numFmtId="0" fontId="0" fillId="0" borderId="37" xfId="0" applyBorder="1" applyAlignment="1">
      <alignment horizontal="center" vertical="center" wrapText="1"/>
    </xf>
    <xf numFmtId="0" fontId="18"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38" fillId="2" borderId="0" xfId="0" applyFont="1" applyFill="1" applyAlignment="1">
      <alignment horizontal="center" vertical="center" wrapText="1"/>
    </xf>
    <xf numFmtId="0" fontId="24" fillId="8" borderId="8" xfId="0" applyFont="1" applyFill="1" applyBorder="1" applyAlignment="1">
      <alignment horizontal="right" vertical="center" wrapText="1"/>
    </xf>
    <xf numFmtId="0" fontId="24" fillId="8" borderId="4" xfId="0" applyFont="1" applyFill="1" applyBorder="1" applyAlignment="1">
      <alignment horizontal="right" vertical="center" wrapText="1"/>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textRotation="90" wrapText="1"/>
    </xf>
    <xf numFmtId="0" fontId="28" fillId="8" borderId="8" xfId="0" applyFont="1" applyFill="1" applyBorder="1" applyAlignment="1">
      <alignment horizontal="center" vertical="center" wrapText="1"/>
    </xf>
    <xf numFmtId="0" fontId="28" fillId="8" borderId="17" xfId="0" applyFont="1" applyFill="1" applyBorder="1" applyAlignment="1">
      <alignment horizontal="center" vertical="center" wrapText="1"/>
    </xf>
    <xf numFmtId="0" fontId="28" fillId="8" borderId="4" xfId="0" applyFont="1" applyFill="1" applyBorder="1" applyAlignment="1">
      <alignment horizontal="center" vertical="center" wrapText="1"/>
    </xf>
    <xf numFmtId="14" fontId="24" fillId="8" borderId="8" xfId="0" applyNumberFormat="1" applyFont="1" applyFill="1" applyBorder="1" applyAlignment="1">
      <alignment horizontal="center" vertical="center" wrapText="1"/>
    </xf>
    <xf numFmtId="14" fontId="24" fillId="8" borderId="17" xfId="0" applyNumberFormat="1" applyFont="1" applyFill="1" applyBorder="1" applyAlignment="1">
      <alignment horizontal="center" vertical="center" wrapText="1"/>
    </xf>
    <xf numFmtId="14" fontId="24" fillId="8" borderId="4" xfId="0" applyNumberFormat="1" applyFont="1" applyFill="1" applyBorder="1" applyAlignment="1">
      <alignment horizontal="center" vertical="center" wrapText="1"/>
    </xf>
    <xf numFmtId="0" fontId="24" fillId="8" borderId="1" xfId="0" applyFont="1" applyFill="1" applyBorder="1" applyAlignment="1">
      <alignment horizontal="right" vertical="center" wrapText="1"/>
    </xf>
    <xf numFmtId="0" fontId="24" fillId="8" borderId="1" xfId="0" applyFont="1" applyFill="1" applyBorder="1" applyAlignment="1" applyProtection="1">
      <alignment horizontal="center" vertical="center" wrapText="1"/>
      <protection locked="0"/>
    </xf>
    <xf numFmtId="0" fontId="40" fillId="8" borderId="17" xfId="0" applyFont="1" applyFill="1" applyBorder="1" applyAlignment="1">
      <alignment horizontal="left" vertical="center" wrapText="1"/>
    </xf>
    <xf numFmtId="0" fontId="29" fillId="8" borderId="17" xfId="0" applyFont="1" applyFill="1" applyBorder="1" applyAlignment="1">
      <alignment horizontal="left" vertical="center" wrapText="1"/>
    </xf>
    <xf numFmtId="0" fontId="30" fillId="8" borderId="18" xfId="0" applyFont="1" applyFill="1" applyBorder="1" applyAlignment="1">
      <alignment vertical="center"/>
    </xf>
    <xf numFmtId="0" fontId="30" fillId="8" borderId="19" xfId="0" applyFont="1" applyFill="1" applyBorder="1" applyAlignment="1">
      <alignment vertical="center"/>
    </xf>
    <xf numFmtId="0" fontId="31" fillId="8" borderId="19" xfId="0" applyFont="1" applyFill="1" applyBorder="1" applyAlignment="1">
      <alignment horizontal="center"/>
    </xf>
    <xf numFmtId="0" fontId="32" fillId="8" borderId="19" xfId="0" applyFont="1" applyFill="1" applyBorder="1" applyAlignment="1">
      <alignment horizontal="left" vertical="center" indent="1"/>
    </xf>
    <xf numFmtId="0" fontId="28" fillId="8" borderId="19" xfId="0" applyFont="1" applyFill="1" applyBorder="1" applyAlignment="1">
      <alignment vertical="center"/>
    </xf>
    <xf numFmtId="0" fontId="28" fillId="8" borderId="19" xfId="0" applyFont="1" applyFill="1" applyBorder="1" applyAlignment="1">
      <alignment horizontal="left" vertical="center"/>
    </xf>
    <xf numFmtId="0" fontId="28" fillId="8" borderId="20" xfId="0" applyFont="1" applyFill="1" applyBorder="1" applyAlignment="1">
      <alignment horizontal="right" vertical="center"/>
    </xf>
    <xf numFmtId="0" fontId="23" fillId="8" borderId="8" xfId="0" applyFont="1" applyFill="1" applyBorder="1" applyAlignment="1">
      <alignment horizontal="left" vertical="center" wrapText="1"/>
    </xf>
    <xf numFmtId="0" fontId="23" fillId="8" borderId="4" xfId="0" applyFont="1" applyFill="1" applyBorder="1" applyAlignment="1">
      <alignment horizontal="left" vertical="center" wrapText="1"/>
    </xf>
    <xf numFmtId="0" fontId="23" fillId="8" borderId="1" xfId="0" applyFont="1" applyFill="1" applyBorder="1" applyAlignment="1">
      <alignment horizontal="left" vertical="center" wrapText="1"/>
    </xf>
    <xf numFmtId="0" fontId="23" fillId="8" borderId="17" xfId="0" applyFont="1" applyFill="1" applyBorder="1" applyAlignment="1">
      <alignment horizontal="left" vertical="center" wrapText="1"/>
    </xf>
    <xf numFmtId="0" fontId="23" fillId="8" borderId="14" xfId="0" applyFont="1" applyFill="1" applyBorder="1" applyAlignment="1">
      <alignment horizontal="center" vertical="center" wrapText="1"/>
    </xf>
    <xf numFmtId="0" fontId="23" fillId="8" borderId="21" xfId="0" applyFont="1" applyFill="1" applyBorder="1" applyAlignment="1">
      <alignment horizontal="center" vertical="center" wrapText="1"/>
    </xf>
    <xf numFmtId="0" fontId="23" fillId="8" borderId="22" xfId="0" applyFont="1" applyFill="1" applyBorder="1" applyAlignment="1">
      <alignment horizontal="center" vertical="center" wrapText="1"/>
    </xf>
    <xf numFmtId="0" fontId="23" fillId="8" borderId="8" xfId="0" applyFont="1" applyFill="1" applyBorder="1" applyAlignment="1">
      <alignment vertical="center" wrapText="1"/>
    </xf>
    <xf numFmtId="0" fontId="23" fillId="8" borderId="4" xfId="0" applyFont="1" applyFill="1" applyBorder="1" applyAlignment="1">
      <alignment vertical="center" wrapText="1"/>
    </xf>
    <xf numFmtId="0" fontId="23" fillId="8" borderId="1" xfId="0" applyFont="1" applyFill="1" applyBorder="1" applyAlignment="1">
      <alignment vertical="center" wrapText="1"/>
    </xf>
    <xf numFmtId="0" fontId="23" fillId="8" borderId="18" xfId="0" applyFont="1" applyFill="1" applyBorder="1" applyAlignment="1">
      <alignment horizontal="center" vertical="center" wrapText="1"/>
    </xf>
    <xf numFmtId="0" fontId="23" fillId="8" borderId="19" xfId="0" applyFont="1" applyFill="1" applyBorder="1" applyAlignment="1">
      <alignment horizontal="center" vertical="center" wrapText="1"/>
    </xf>
    <xf numFmtId="0" fontId="23" fillId="8" borderId="20" xfId="0" applyFont="1" applyFill="1" applyBorder="1" applyAlignment="1">
      <alignment horizontal="center" vertical="center" wrapText="1"/>
    </xf>
    <xf numFmtId="0" fontId="5" fillId="0" borderId="8" xfId="0" applyFont="1" applyFill="1" applyBorder="1" applyAlignment="1" applyProtection="1">
      <alignment horizontal="left" vertical="center" wrapText="1"/>
      <protection locked="0"/>
    </xf>
    <xf numFmtId="0" fontId="5" fillId="0" borderId="4" xfId="0" applyFont="1" applyFill="1" applyBorder="1" applyAlignment="1" applyProtection="1">
      <alignment horizontal="left" vertical="center" wrapText="1"/>
      <protection locked="0"/>
    </xf>
    <xf numFmtId="0" fontId="23" fillId="8" borderId="8"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5" fillId="2" borderId="0" xfId="0" applyFont="1" applyFill="1" applyAlignment="1">
      <alignment horizontal="center"/>
    </xf>
    <xf numFmtId="0" fontId="14" fillId="2" borderId="0" xfId="0" applyFont="1" applyFill="1" applyAlignment="1">
      <alignment horizontal="center"/>
    </xf>
    <xf numFmtId="0" fontId="9" fillId="2" borderId="0" xfId="0" applyFont="1" applyFill="1" applyAlignment="1">
      <alignment horizontal="center" vertical="center"/>
    </xf>
    <xf numFmtId="0" fontId="14" fillId="2" borderId="0" xfId="0" applyFont="1" applyFill="1" applyAlignment="1">
      <alignment horizontal="center" vertical="center"/>
    </xf>
    <xf numFmtId="0" fontId="14" fillId="2" borderId="0" xfId="0" applyFont="1" applyFill="1" applyAlignment="1">
      <alignment horizontal="center" vertical="center" wrapText="1"/>
    </xf>
    <xf numFmtId="0" fontId="44" fillId="3" borderId="6" xfId="0" applyFont="1" applyFill="1" applyBorder="1" applyAlignment="1">
      <alignment horizontal="center" textRotation="90" wrapText="1"/>
    </xf>
    <xf numFmtId="0" fontId="44" fillId="3" borderId="23" xfId="0" applyFont="1" applyFill="1" applyBorder="1" applyAlignment="1">
      <alignment horizontal="center" textRotation="90" wrapText="1"/>
    </xf>
    <xf numFmtId="0" fontId="44" fillId="3" borderId="24" xfId="0" applyFont="1" applyFill="1" applyBorder="1" applyAlignment="1">
      <alignment horizontal="center" textRotation="90"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E8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14</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0</xdr:col>
      <xdr:colOff>142875</xdr:colOff>
      <xdr:row>2</xdr:row>
      <xdr:rowOff>47626</xdr:rowOff>
    </xdr:from>
    <xdr:to>
      <xdr:col>1</xdr:col>
      <xdr:colOff>1762124</xdr:colOff>
      <xdr:row>2</xdr:row>
      <xdr:rowOff>230667</xdr:rowOff>
    </xdr:to>
    <xdr:pic>
      <xdr:nvPicPr>
        <xdr:cNvPr id="2" name="Рисунок 1" descr="bollard">
          <a:extLst>
            <a:ext uri="{FF2B5EF4-FFF2-40B4-BE49-F238E27FC236}">
              <a16:creationId xmlns:a16="http://schemas.microsoft.com/office/drawing/2014/main" id="{AE56B3EA-64C6-4177-A649-66AD33CBE8A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514351"/>
          <a:ext cx="2076449" cy="183041"/>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2" name="Text Box 30">
          <a:extLst>
            <a:ext uri="{FF2B5EF4-FFF2-40B4-BE49-F238E27FC236}">
              <a16:creationId xmlns:a16="http://schemas.microsoft.com/office/drawing/2014/main" id="{C179DB1B-9C72-4E22-8DEE-C48AFBC5175D}"/>
            </a:ext>
          </a:extLst>
        </xdr:cNvPr>
        <xdr:cNvSpPr txBox="1">
          <a:spLocks noChangeArrowheads="1"/>
        </xdr:cNvSpPr>
      </xdr:nvSpPr>
      <xdr:spPr bwMode="auto">
        <a:xfrm>
          <a:off x="19050" y="8467725"/>
          <a:ext cx="2888192"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LOW RISK / НИЗКИЙ РИСК</a:t>
          </a:r>
        </a:p>
        <a:p>
          <a:pPr algn="l" rtl="0">
            <a:lnSpc>
              <a:spcPts val="1100"/>
            </a:lnSpc>
          </a:pPr>
          <a:endParaRPr lang="en-GB" sz="1100"/>
        </a:p>
      </xdr:txBody>
    </xdr:sp>
    <xdr:clientData/>
  </xdr:twoCellAnchor>
  <xdr:twoCellAnchor>
    <xdr:from>
      <xdr:col>0</xdr:col>
      <xdr:colOff>28575</xdr:colOff>
      <xdr:row>21</xdr:row>
      <xdr:rowOff>28575</xdr:rowOff>
    </xdr:from>
    <xdr:to>
      <xdr:col>4</xdr:col>
      <xdr:colOff>2117</xdr:colOff>
      <xdr:row>24</xdr:row>
      <xdr:rowOff>0</xdr:rowOff>
    </xdr:to>
    <xdr:sp macro="" textlink="">
      <xdr:nvSpPr>
        <xdr:cNvPr id="3" name="Text Box 31">
          <a:extLst>
            <a:ext uri="{FF2B5EF4-FFF2-40B4-BE49-F238E27FC236}">
              <a16:creationId xmlns:a16="http://schemas.microsoft.com/office/drawing/2014/main" id="{13DC636C-221F-4D6B-9EE7-CD6291B2A7F2}"/>
            </a:ext>
          </a:extLst>
        </xdr:cNvPr>
        <xdr:cNvSpPr txBox="1">
          <a:spLocks noChangeArrowheads="1"/>
        </xdr:cNvSpPr>
      </xdr:nvSpPr>
      <xdr:spPr bwMode="auto">
        <a:xfrm>
          <a:off x="28575" y="9534525"/>
          <a:ext cx="2878667" cy="457200"/>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MEDIUM RISK / УМЕРЕННЫЙ РИСК</a:t>
          </a:r>
        </a:p>
        <a:p>
          <a:pPr algn="l" rtl="0">
            <a:lnSpc>
              <a:spcPts val="1100"/>
            </a:lnSpc>
          </a:pPr>
          <a:endParaRPr lang="en-GB" sz="1100"/>
        </a:p>
      </xdr:txBody>
    </xdr:sp>
    <xdr:clientData/>
  </xdr:twoCellAnchor>
  <xdr:twoCellAnchor>
    <xdr:from>
      <xdr:col>0</xdr:col>
      <xdr:colOff>2117</xdr:colOff>
      <xdr:row>26</xdr:row>
      <xdr:rowOff>76200</xdr:rowOff>
    </xdr:from>
    <xdr:to>
      <xdr:col>4</xdr:col>
      <xdr:colOff>2117</xdr:colOff>
      <xdr:row>29</xdr:row>
      <xdr:rowOff>38100</xdr:rowOff>
    </xdr:to>
    <xdr:sp macro="" textlink="">
      <xdr:nvSpPr>
        <xdr:cNvPr id="4" name="Text Box 32">
          <a:extLst>
            <a:ext uri="{FF2B5EF4-FFF2-40B4-BE49-F238E27FC236}">
              <a16:creationId xmlns:a16="http://schemas.microsoft.com/office/drawing/2014/main" id="{C6A8F1E8-685D-48AD-A180-5CAADF47219D}"/>
            </a:ext>
          </a:extLst>
        </xdr:cNvPr>
        <xdr:cNvSpPr txBox="1">
          <a:spLocks noChangeArrowheads="1"/>
        </xdr:cNvSpPr>
      </xdr:nvSpPr>
      <xdr:spPr bwMode="auto">
        <a:xfrm>
          <a:off x="2117" y="10496550"/>
          <a:ext cx="2905125" cy="447675"/>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HIGH RISK / ВЫСОКИЙ РИСК</a:t>
          </a:r>
        </a:p>
        <a:p>
          <a:pPr algn="l" rtl="0">
            <a:lnSpc>
              <a:spcPts val="1100"/>
            </a:lnSpc>
          </a:pPr>
          <a:endParaRPr lang="en-GB" sz="1100"/>
        </a:p>
      </xdr:txBody>
    </xdr:sp>
    <xdr:clientData/>
  </xdr:twoCellAnchor>
  <xdr:twoCellAnchor>
    <xdr:from>
      <xdr:col>4</xdr:col>
      <xdr:colOff>27214</xdr:colOff>
      <xdr:row>15</xdr:row>
      <xdr:rowOff>85727</xdr:rowOff>
    </xdr:from>
    <xdr:to>
      <xdr:col>10</xdr:col>
      <xdr:colOff>0</xdr:colOff>
      <xdr:row>19</xdr:row>
      <xdr:rowOff>197304</xdr:rowOff>
    </xdr:to>
    <xdr:sp macro="" textlink="">
      <xdr:nvSpPr>
        <xdr:cNvPr id="5" name="TextBox 4">
          <a:extLst>
            <a:ext uri="{FF2B5EF4-FFF2-40B4-BE49-F238E27FC236}">
              <a16:creationId xmlns:a16="http://schemas.microsoft.com/office/drawing/2014/main" id="{BBB64D22-2437-4CD5-9FEE-1D11B387C39F}"/>
            </a:ext>
          </a:extLst>
        </xdr:cNvPr>
        <xdr:cNvSpPr txBox="1"/>
      </xdr:nvSpPr>
      <xdr:spPr>
        <a:xfrm>
          <a:off x="2932339" y="8391527"/>
          <a:ext cx="5678261" cy="7592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57831</xdr:rowOff>
    </xdr:from>
    <xdr:to>
      <xdr:col>21</xdr:col>
      <xdr:colOff>27215</xdr:colOff>
      <xdr:row>25</xdr:row>
      <xdr:rowOff>360591</xdr:rowOff>
    </xdr:to>
    <xdr:sp macro="" textlink="">
      <xdr:nvSpPr>
        <xdr:cNvPr id="6" name="TextBox 5">
          <a:extLst>
            <a:ext uri="{FF2B5EF4-FFF2-40B4-BE49-F238E27FC236}">
              <a16:creationId xmlns:a16="http://schemas.microsoft.com/office/drawing/2014/main" id="{CDE09A24-EE35-4602-9D3D-FCB1485B156C}"/>
            </a:ext>
          </a:extLst>
        </xdr:cNvPr>
        <xdr:cNvSpPr txBox="1"/>
      </xdr:nvSpPr>
      <xdr:spPr>
        <a:xfrm>
          <a:off x="2934457" y="9401856"/>
          <a:ext cx="5703358" cy="10171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endParaRPr lang="en-GB" sz="1100"/>
        </a:p>
      </xdr:txBody>
    </xdr:sp>
    <xdr:clientData/>
  </xdr:twoCellAnchor>
  <xdr:twoCellAnchor>
    <xdr:from>
      <xdr:col>4</xdr:col>
      <xdr:colOff>2117</xdr:colOff>
      <xdr:row>26</xdr:row>
      <xdr:rowOff>19050</xdr:rowOff>
    </xdr:from>
    <xdr:to>
      <xdr:col>10</xdr:col>
      <xdr:colOff>0</xdr:colOff>
      <xdr:row>32</xdr:row>
      <xdr:rowOff>224518</xdr:rowOff>
    </xdr:to>
    <xdr:sp macro="" textlink="">
      <xdr:nvSpPr>
        <xdr:cNvPr id="7" name="TextBox 6">
          <a:extLst>
            <a:ext uri="{FF2B5EF4-FFF2-40B4-BE49-F238E27FC236}">
              <a16:creationId xmlns:a16="http://schemas.microsoft.com/office/drawing/2014/main" id="{B2E78987-F7C5-4632-B778-39E7968BDF87}"/>
            </a:ext>
          </a:extLst>
        </xdr:cNvPr>
        <xdr:cNvSpPr txBox="1"/>
      </xdr:nvSpPr>
      <xdr:spPr>
        <a:xfrm>
          <a:off x="2907242" y="10439400"/>
          <a:ext cx="5703358" cy="1177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32</xdr:row>
      <xdr:rowOff>312964</xdr:rowOff>
    </xdr:from>
    <xdr:to>
      <xdr:col>9</xdr:col>
      <xdr:colOff>843643</xdr:colOff>
      <xdr:row>32</xdr:row>
      <xdr:rowOff>809625</xdr:rowOff>
    </xdr:to>
    <xdr:sp macro="" textlink="">
      <xdr:nvSpPr>
        <xdr:cNvPr id="8" name="TextBox 7">
          <a:extLst>
            <a:ext uri="{FF2B5EF4-FFF2-40B4-BE49-F238E27FC236}">
              <a16:creationId xmlns:a16="http://schemas.microsoft.com/office/drawing/2014/main" id="{0F98C266-4BD4-40CA-9196-45D4549BA152}"/>
            </a:ext>
          </a:extLst>
        </xdr:cNvPr>
        <xdr:cNvSpPr txBox="1"/>
      </xdr:nvSpPr>
      <xdr:spPr>
        <a:xfrm>
          <a:off x="2862943" y="11704864"/>
          <a:ext cx="5667375" cy="487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oneCellAnchor>
    <xdr:from>
      <xdr:col>0</xdr:col>
      <xdr:colOff>171450</xdr:colOff>
      <xdr:row>1</xdr:row>
      <xdr:rowOff>66675</xdr:rowOff>
    </xdr:from>
    <xdr:ext cx="2071687" cy="183041"/>
    <xdr:pic>
      <xdr:nvPicPr>
        <xdr:cNvPr id="9" name="Рисунок 8" descr="bollard">
          <a:extLst>
            <a:ext uri="{FF2B5EF4-FFF2-40B4-BE49-F238E27FC236}">
              <a16:creationId xmlns:a16="http://schemas.microsoft.com/office/drawing/2014/main" id="{FEDF2564-BB98-40AA-BF5B-AD9C23374EA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390525"/>
          <a:ext cx="2071687" cy="183041"/>
        </a:xfrm>
        <a:prstGeom prst="rect">
          <a:avLst/>
        </a:prstGeom>
        <a:noFill/>
      </xdr:spPr>
    </xdr:pic>
    <xdr:clientData/>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58"/>
  <sheetViews>
    <sheetView zoomScale="80" zoomScaleNormal="80" zoomScalePageLayoutView="70" workbookViewId="0">
      <selection activeCell="G13" sqref="G13:J13"/>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32"/>
      <c r="B1" s="133"/>
      <c r="C1" s="51"/>
      <c r="D1" s="52"/>
      <c r="E1" s="52"/>
      <c r="F1" s="52"/>
      <c r="G1" s="53"/>
      <c r="H1" s="54"/>
      <c r="I1" s="1"/>
      <c r="J1" s="59"/>
      <c r="K1" s="53"/>
      <c r="L1" s="53"/>
      <c r="M1" s="60"/>
      <c r="Q1" s="14" t="s">
        <v>12</v>
      </c>
      <c r="R1" s="14" t="s">
        <v>13</v>
      </c>
      <c r="S1" s="14" t="s">
        <v>14</v>
      </c>
      <c r="T1" s="14" t="s">
        <v>15</v>
      </c>
      <c r="U1" s="14" t="s">
        <v>16</v>
      </c>
      <c r="V1" s="14" t="s">
        <v>17</v>
      </c>
      <c r="W1" s="18" t="s">
        <v>18</v>
      </c>
    </row>
    <row r="2" spans="1:23" ht="25.5" customHeight="1" x14ac:dyDescent="0.2">
      <c r="A2" s="134"/>
      <c r="B2" s="135"/>
      <c r="C2" s="55"/>
      <c r="D2" s="50"/>
      <c r="E2" s="50"/>
      <c r="F2" s="50"/>
      <c r="G2" s="50"/>
      <c r="H2" s="56"/>
      <c r="I2" s="4"/>
      <c r="J2" s="118" t="s">
        <v>150</v>
      </c>
      <c r="K2" s="119"/>
      <c r="L2" s="119"/>
      <c r="M2" s="120"/>
      <c r="P2" s="7"/>
      <c r="Q2" s="14">
        <v>1</v>
      </c>
      <c r="R2" s="14" t="s">
        <v>19</v>
      </c>
      <c r="S2" s="15"/>
      <c r="T2" s="15"/>
      <c r="U2" s="15"/>
      <c r="V2" s="15"/>
      <c r="W2" s="18" t="s">
        <v>20</v>
      </c>
    </row>
    <row r="3" spans="1:23" ht="25.5" customHeight="1" x14ac:dyDescent="0.2">
      <c r="A3" s="134"/>
      <c r="B3" s="135"/>
      <c r="C3" s="129" t="s">
        <v>90</v>
      </c>
      <c r="D3" s="130"/>
      <c r="E3" s="130"/>
      <c r="F3" s="130"/>
      <c r="G3" s="130"/>
      <c r="H3" s="131"/>
      <c r="J3" s="118" t="s">
        <v>148</v>
      </c>
      <c r="K3" s="119"/>
      <c r="L3" s="119"/>
      <c r="M3" s="120"/>
      <c r="P3" s="7"/>
      <c r="Q3" s="14">
        <v>2</v>
      </c>
      <c r="R3" s="14" t="s">
        <v>21</v>
      </c>
      <c r="S3" s="15"/>
      <c r="T3" s="15"/>
      <c r="U3" s="15"/>
      <c r="V3" s="15"/>
      <c r="W3" s="18" t="s">
        <v>22</v>
      </c>
    </row>
    <row r="4" spans="1:23" ht="33.75" customHeight="1" x14ac:dyDescent="0.2">
      <c r="A4" s="136"/>
      <c r="B4" s="137"/>
      <c r="C4" s="58"/>
      <c r="H4" s="57"/>
      <c r="J4" s="121" t="s">
        <v>149</v>
      </c>
      <c r="K4" s="122"/>
      <c r="L4" s="122"/>
      <c r="M4" s="123"/>
      <c r="P4" s="7"/>
      <c r="Q4" s="14"/>
      <c r="R4" s="14"/>
      <c r="S4" s="15"/>
      <c r="T4" s="15"/>
      <c r="U4" s="15"/>
      <c r="V4" s="15"/>
      <c r="W4" s="18"/>
    </row>
    <row r="5" spans="1:23" ht="8.4499999999999993" customHeight="1" x14ac:dyDescent="0.2">
      <c r="A5" s="61"/>
      <c r="B5" s="61"/>
      <c r="C5" s="61"/>
      <c r="D5" s="61"/>
      <c r="E5" s="61"/>
      <c r="F5" s="61"/>
      <c r="G5" s="61"/>
      <c r="H5" s="61"/>
      <c r="I5" s="61"/>
      <c r="J5" s="61"/>
      <c r="K5" s="61"/>
      <c r="L5" s="61"/>
      <c r="M5" s="61"/>
      <c r="P5" s="7"/>
      <c r="Q5" s="14">
        <v>3</v>
      </c>
      <c r="R5" s="14" t="s">
        <v>23</v>
      </c>
      <c r="S5" s="15"/>
      <c r="T5" s="15"/>
      <c r="U5" s="15"/>
      <c r="V5" s="15"/>
      <c r="W5" s="18" t="s">
        <v>24</v>
      </c>
    </row>
    <row r="6" spans="1:23" s="7" customFormat="1" ht="57" customHeight="1" x14ac:dyDescent="0.2">
      <c r="A6" s="157" t="s">
        <v>59</v>
      </c>
      <c r="B6" s="158"/>
      <c r="C6" s="72"/>
      <c r="D6" s="62"/>
      <c r="E6" s="62"/>
      <c r="F6" s="63"/>
      <c r="G6" s="167" t="s">
        <v>63</v>
      </c>
      <c r="H6" s="74" t="s">
        <v>65</v>
      </c>
      <c r="I6" s="62"/>
      <c r="J6" s="168" t="s">
        <v>75</v>
      </c>
      <c r="K6" s="124" t="s">
        <v>150</v>
      </c>
      <c r="L6" s="124"/>
      <c r="M6" s="125"/>
      <c r="Q6" s="14">
        <v>4</v>
      </c>
      <c r="R6" s="14" t="s">
        <v>25</v>
      </c>
      <c r="S6" s="14"/>
      <c r="T6" s="14"/>
      <c r="U6" s="14"/>
      <c r="V6" s="14"/>
    </row>
    <row r="7" spans="1:23" s="7" customFormat="1" ht="36" customHeight="1" x14ac:dyDescent="0.2">
      <c r="A7" s="157" t="s">
        <v>60</v>
      </c>
      <c r="B7" s="158"/>
      <c r="C7" s="71"/>
      <c r="D7" s="164" t="s">
        <v>61</v>
      </c>
      <c r="E7" s="165"/>
      <c r="F7" s="166"/>
      <c r="G7" s="167" t="s">
        <v>62</v>
      </c>
      <c r="H7" s="85" t="s">
        <v>64</v>
      </c>
      <c r="I7" s="86"/>
      <c r="J7" s="87"/>
      <c r="K7" s="164" t="s">
        <v>66</v>
      </c>
      <c r="L7" s="165"/>
      <c r="M7" s="166"/>
      <c r="Q7" s="14">
        <v>5</v>
      </c>
      <c r="R7" s="14" t="s">
        <v>26</v>
      </c>
      <c r="S7" s="14"/>
      <c r="T7" s="14"/>
      <c r="U7" s="14"/>
      <c r="V7" s="14"/>
    </row>
    <row r="8" spans="1:23" ht="158.25" customHeight="1" x14ac:dyDescent="0.2">
      <c r="A8" s="159" t="s">
        <v>67</v>
      </c>
      <c r="B8" s="159" t="s">
        <v>68</v>
      </c>
      <c r="C8" s="159" t="s">
        <v>69</v>
      </c>
      <c r="D8" s="160" t="s">
        <v>70</v>
      </c>
      <c r="E8" s="160" t="s">
        <v>71</v>
      </c>
      <c r="F8" s="160" t="s">
        <v>72</v>
      </c>
      <c r="G8" s="161" t="s">
        <v>73</v>
      </c>
      <c r="H8" s="162"/>
      <c r="I8" s="162"/>
      <c r="J8" s="163"/>
      <c r="K8" s="160" t="s">
        <v>70</v>
      </c>
      <c r="L8" s="160" t="s">
        <v>71</v>
      </c>
      <c r="M8" s="160" t="s">
        <v>74</v>
      </c>
      <c r="Q8" s="14"/>
      <c r="R8" s="15"/>
      <c r="S8" s="15"/>
      <c r="T8" s="15"/>
      <c r="U8" s="15" t="str">
        <f>IF(L11="","",IF(N11="","",IF(M11+O11&lt;=5,$W$14,IF(M11+O11=6,$W$15,IF(M11+O11=7,$W$15,IF(M11+O11&gt;=8,$W$16,""))))))</f>
        <v/>
      </c>
      <c r="V8" s="15"/>
    </row>
    <row r="9" spans="1:23" ht="153.6" customHeight="1" x14ac:dyDescent="0.2">
      <c r="A9" s="73">
        <v>1</v>
      </c>
      <c r="B9" s="77" t="s">
        <v>76</v>
      </c>
      <c r="C9" s="75" t="s">
        <v>77</v>
      </c>
      <c r="D9" s="20">
        <v>4</v>
      </c>
      <c r="E9" s="13" t="s">
        <v>0</v>
      </c>
      <c r="F9" s="68" t="str">
        <f t="shared" ref="F9:F14" si="0">IF(D9="","",(IF(E9="","",IF(U9&lt;=1,"",IF(U9&lt;=5,$W$2,IF(U9=6,$W$3,IF(U9=7,$W$3,IF(U9&gt;=8,$W$5,""))))))))</f>
        <v>M</v>
      </c>
      <c r="G9" s="126" t="s">
        <v>78</v>
      </c>
      <c r="H9" s="127"/>
      <c r="I9" s="127"/>
      <c r="J9" s="128"/>
      <c r="K9" s="20">
        <v>1</v>
      </c>
      <c r="L9" s="13" t="s">
        <v>1</v>
      </c>
      <c r="M9" s="64" t="str">
        <f t="shared" ref="M9:M14" si="1">IF(K9="","",(IF(L9="","",IF(V9&lt;=1,"",IF(V9&lt;=5,$W$2,IF(V9=6,$W$3,IF(V9=7,$W$3,IF(V9&gt;=8,$W$5,""))))))))</f>
        <v>L</v>
      </c>
      <c r="Q9" s="14"/>
      <c r="R9" s="15"/>
      <c r="S9" s="19">
        <f>IF(E9="A",1,IF(E9="B",2,IF(E9="C",3,IF(E9="D",4,IF(E9="E",5,"")))))</f>
        <v>3</v>
      </c>
      <c r="T9" s="19">
        <f t="shared" ref="T9:T14" si="2">IF(L9="A",1,IF(L9="B",2,IF(L9="C",3,IF(L9="D",4,IF(L9="E",5,"")))))</f>
        <v>3</v>
      </c>
      <c r="U9" s="15">
        <f>D9+S9</f>
        <v>7</v>
      </c>
      <c r="V9" s="15">
        <f t="shared" ref="V9:V14" si="3">K9+T9</f>
        <v>4</v>
      </c>
    </row>
    <row r="10" spans="1:23" ht="250.5" customHeight="1" x14ac:dyDescent="0.2">
      <c r="A10" s="73">
        <v>2</v>
      </c>
      <c r="B10" s="77" t="s">
        <v>79</v>
      </c>
      <c r="C10" s="76" t="s">
        <v>80</v>
      </c>
      <c r="D10" s="20">
        <v>3</v>
      </c>
      <c r="E10" s="13" t="s">
        <v>2</v>
      </c>
      <c r="F10" s="68" t="str">
        <f t="shared" si="0"/>
        <v>M</v>
      </c>
      <c r="G10" s="126" t="s">
        <v>81</v>
      </c>
      <c r="H10" s="127"/>
      <c r="I10" s="127"/>
      <c r="J10" s="128"/>
      <c r="K10" s="20">
        <v>1</v>
      </c>
      <c r="L10" s="13" t="s">
        <v>3</v>
      </c>
      <c r="M10" s="64" t="str">
        <f t="shared" si="1"/>
        <v>L</v>
      </c>
      <c r="Q10" s="14"/>
      <c r="R10" s="15"/>
      <c r="S10" s="19">
        <f>IF(E10="A",1,IF(E10="B",2,IF(E10="C",3,IF(E10="D",4,IF(E10="E",5,"")))))</f>
        <v>3</v>
      </c>
      <c r="T10" s="19">
        <f t="shared" si="2"/>
        <v>3</v>
      </c>
      <c r="U10" s="15">
        <f>D10+S10</f>
        <v>6</v>
      </c>
      <c r="V10" s="15">
        <f t="shared" si="3"/>
        <v>4</v>
      </c>
    </row>
    <row r="11" spans="1:23" ht="237.75" customHeight="1" x14ac:dyDescent="0.2">
      <c r="A11" s="73">
        <v>3</v>
      </c>
      <c r="B11" s="78" t="s">
        <v>83</v>
      </c>
      <c r="C11" s="76" t="s">
        <v>82</v>
      </c>
      <c r="D11" s="20">
        <v>4</v>
      </c>
      <c r="E11" s="13" t="s">
        <v>23</v>
      </c>
      <c r="F11" s="68" t="str">
        <f t="shared" si="0"/>
        <v>M</v>
      </c>
      <c r="G11" s="126" t="s">
        <v>84</v>
      </c>
      <c r="H11" s="127"/>
      <c r="I11" s="127"/>
      <c r="J11" s="128"/>
      <c r="K11" s="20">
        <v>2</v>
      </c>
      <c r="L11" s="13" t="s">
        <v>4</v>
      </c>
      <c r="M11" s="64" t="str">
        <f t="shared" si="1"/>
        <v>L</v>
      </c>
      <c r="Q11" s="14"/>
      <c r="R11" s="15"/>
      <c r="S11" s="19">
        <f>IF(E11="A",1,IF(E11="B",2,IF(E11="C",3,IF(E11="D",4,IF(E11="E",5,"")))))</f>
        <v>3</v>
      </c>
      <c r="T11" s="19">
        <f t="shared" si="2"/>
        <v>2</v>
      </c>
      <c r="U11" s="15">
        <f>D11+S11</f>
        <v>7</v>
      </c>
      <c r="V11" s="15">
        <f t="shared" si="3"/>
        <v>4</v>
      </c>
    </row>
    <row r="12" spans="1:23" ht="147.75" customHeight="1" x14ac:dyDescent="0.2">
      <c r="A12" s="73">
        <v>4</v>
      </c>
      <c r="B12" s="78" t="s">
        <v>145</v>
      </c>
      <c r="C12" s="76" t="s">
        <v>146</v>
      </c>
      <c r="D12" s="20">
        <v>3</v>
      </c>
      <c r="E12" s="13" t="s">
        <v>21</v>
      </c>
      <c r="F12" s="68" t="s">
        <v>22</v>
      </c>
      <c r="G12" s="126" t="s">
        <v>147</v>
      </c>
      <c r="H12" s="127"/>
      <c r="I12" s="127"/>
      <c r="J12" s="128"/>
      <c r="K12" s="20">
        <v>1</v>
      </c>
      <c r="L12" s="13" t="s">
        <v>21</v>
      </c>
      <c r="M12" s="64" t="s">
        <v>20</v>
      </c>
      <c r="Q12" s="14"/>
      <c r="R12" s="15"/>
      <c r="S12" s="19"/>
      <c r="T12" s="19"/>
      <c r="U12" s="15"/>
      <c r="V12" s="15"/>
    </row>
    <row r="13" spans="1:23" ht="225" customHeight="1" x14ac:dyDescent="0.2">
      <c r="A13" s="73">
        <v>5</v>
      </c>
      <c r="B13" s="78" t="s">
        <v>140</v>
      </c>
      <c r="C13" s="76" t="s">
        <v>85</v>
      </c>
      <c r="D13" s="20">
        <v>3</v>
      </c>
      <c r="E13" s="13" t="s">
        <v>23</v>
      </c>
      <c r="F13" s="68" t="s">
        <v>22</v>
      </c>
      <c r="G13" s="126" t="s">
        <v>86</v>
      </c>
      <c r="H13" s="127"/>
      <c r="I13" s="127"/>
      <c r="J13" s="128"/>
      <c r="K13" s="20"/>
      <c r="L13" s="13"/>
      <c r="M13" s="195" t="s">
        <v>20</v>
      </c>
      <c r="Q13" s="14"/>
      <c r="R13" s="15"/>
      <c r="S13" s="19"/>
      <c r="T13" s="19"/>
      <c r="U13" s="15"/>
      <c r="V13" s="15"/>
    </row>
    <row r="14" spans="1:23" ht="93.75" customHeight="1" x14ac:dyDescent="0.2">
      <c r="A14" s="73">
        <v>6</v>
      </c>
      <c r="B14" s="78" t="s">
        <v>87</v>
      </c>
      <c r="C14" s="76" t="s">
        <v>88</v>
      </c>
      <c r="D14" s="20">
        <v>3</v>
      </c>
      <c r="E14" s="13" t="s">
        <v>5</v>
      </c>
      <c r="F14" s="68" t="str">
        <f t="shared" si="0"/>
        <v>M</v>
      </c>
      <c r="G14" s="126" t="s">
        <v>89</v>
      </c>
      <c r="H14" s="127"/>
      <c r="I14" s="127"/>
      <c r="J14" s="128"/>
      <c r="K14" s="20">
        <v>1</v>
      </c>
      <c r="L14" s="13" t="s">
        <v>6</v>
      </c>
      <c r="M14" s="64" t="str">
        <f t="shared" si="1"/>
        <v>L</v>
      </c>
      <c r="Q14" s="14"/>
      <c r="R14" s="15"/>
      <c r="S14" s="19">
        <f>IF(E14="A",1,IF(E14="B",2,IF(E14="C",3,IF(E14="D",4,IF(E14="E",5,"")))))</f>
        <v>4</v>
      </c>
      <c r="T14" s="19">
        <f t="shared" si="2"/>
        <v>4</v>
      </c>
      <c r="U14" s="15">
        <f>D14+S14</f>
        <v>7</v>
      </c>
      <c r="V14" s="15">
        <f t="shared" si="3"/>
        <v>5</v>
      </c>
    </row>
    <row r="15" spans="1:23" ht="42" customHeight="1" x14ac:dyDescent="0.2">
      <c r="A15" s="91" t="s">
        <v>141</v>
      </c>
      <c r="B15" s="92"/>
      <c r="C15" s="92"/>
      <c r="D15" s="92"/>
      <c r="E15" s="92"/>
      <c r="F15" s="92"/>
      <c r="G15" s="92"/>
      <c r="H15" s="92"/>
      <c r="I15" s="92"/>
      <c r="J15" s="92"/>
      <c r="K15" s="92"/>
      <c r="L15" s="92"/>
      <c r="M15" s="93"/>
      <c r="Q15" s="14"/>
      <c r="R15" s="15"/>
      <c r="S15" s="19" t="e">
        <f>IF(#REF!="A",1,IF(#REF!="B",2,IF(#REF!="C",3,IF(#REF!="D",4,IF(#REF!="E",5,"")))))</f>
        <v>#REF!</v>
      </c>
      <c r="T15" s="19" t="e">
        <f>IF(#REF!="A",1,IF(#REF!="B",2,IF(#REF!="C",3,IF(#REF!="D",4,IF(#REF!="E",5,"")))))</f>
        <v>#REF!</v>
      </c>
      <c r="U15" s="15" t="e">
        <f>#REF!+S15</f>
        <v>#REF!</v>
      </c>
      <c r="V15" s="15" t="e">
        <f>#REF!+T15</f>
        <v>#REF!</v>
      </c>
    </row>
    <row r="16" spans="1:23" ht="36.6" customHeight="1" x14ac:dyDescent="0.2">
      <c r="A16" s="169" t="s">
        <v>91</v>
      </c>
      <c r="B16" s="170"/>
      <c r="C16" s="170"/>
      <c r="D16" s="170"/>
      <c r="E16" s="170"/>
      <c r="F16" s="170"/>
      <c r="G16" s="170"/>
      <c r="H16" s="170"/>
      <c r="I16" s="170"/>
      <c r="J16" s="170"/>
      <c r="K16" s="170"/>
      <c r="L16" s="170"/>
      <c r="M16" s="170"/>
      <c r="Q16" s="14"/>
      <c r="R16" s="15"/>
      <c r="S16" s="19" t="e">
        <f>IF(#REF!="A",1,IF(#REF!="B",2,IF(#REF!="C",3,IF(#REF!="D",4,IF(#REF!="E",5,"")))))</f>
        <v>#REF!</v>
      </c>
      <c r="T16" s="19" t="e">
        <f>IF(#REF!="A",1,IF(#REF!="B",2,IF(#REF!="C",3,IF(#REF!="D",4,IF(#REF!="E",5,"")))))</f>
        <v>#REF!</v>
      </c>
      <c r="U16" s="15" t="e">
        <f>#REF!+S16</f>
        <v>#REF!</v>
      </c>
      <c r="V16" s="15" t="e">
        <f>#REF!+T16</f>
        <v>#REF!</v>
      </c>
    </row>
    <row r="17" spans="1:22" ht="25.5" customHeight="1" x14ac:dyDescent="0.35">
      <c r="A17" s="171" t="s">
        <v>92</v>
      </c>
      <c r="B17" s="172"/>
      <c r="C17" s="172"/>
      <c r="D17" s="173"/>
      <c r="E17" s="173"/>
      <c r="F17" s="173"/>
      <c r="G17" s="174"/>
      <c r="H17" s="175"/>
      <c r="I17" s="175"/>
      <c r="J17" s="175"/>
      <c r="K17" s="175"/>
      <c r="L17" s="176"/>
      <c r="M17" s="177"/>
      <c r="Q17" s="14"/>
      <c r="R17" s="15"/>
      <c r="S17" s="19" t="e">
        <f>IF(#REF!="A",1,IF(#REF!="B",2,IF(#REF!="C",3,IF(#REF!="D",4,IF(#REF!="E",5,"")))))</f>
        <v>#REF!</v>
      </c>
      <c r="T17" s="19" t="e">
        <f>IF(#REF!="A",1,IF(#REF!="B",2,IF(#REF!="C",3,IF(#REF!="D",4,IF(#REF!="E",5,"")))))</f>
        <v>#REF!</v>
      </c>
      <c r="U17" s="15" t="e">
        <f>#REF!+S17</f>
        <v>#REF!</v>
      </c>
      <c r="V17" s="15" t="e">
        <f>#REF!+T17</f>
        <v>#REF!</v>
      </c>
    </row>
    <row r="18" spans="1:22" ht="45" customHeight="1" x14ac:dyDescent="0.2">
      <c r="A18" s="106" t="s">
        <v>93</v>
      </c>
      <c r="B18" s="107"/>
      <c r="C18" s="107"/>
      <c r="D18" s="107"/>
      <c r="E18" s="107"/>
      <c r="F18" s="107"/>
      <c r="G18" s="107"/>
      <c r="H18" s="107"/>
      <c r="I18" s="107"/>
      <c r="J18" s="107"/>
      <c r="K18" s="107"/>
      <c r="L18" s="107"/>
      <c r="M18" s="108"/>
      <c r="Q18" s="14"/>
      <c r="R18" s="15"/>
      <c r="S18" s="19" t="e">
        <f>IF(#REF!="A",1,IF(#REF!="B",2,IF(#REF!="C",3,IF(#REF!="D",4,IF(#REF!="E",5,"")))))</f>
        <v>#REF!</v>
      </c>
      <c r="T18" s="19" t="e">
        <f>IF(#REF!="A",1,IF(#REF!="B",2,IF(#REF!="C",3,IF(#REF!="D",4,IF(#REF!="E",5,"")))))</f>
        <v>#REF!</v>
      </c>
      <c r="U18" s="15" t="e">
        <f>#REF!+S18</f>
        <v>#REF!</v>
      </c>
      <c r="V18" s="15" t="e">
        <f>#REF!+T18</f>
        <v>#REF!</v>
      </c>
    </row>
    <row r="19" spans="1:22" ht="45" customHeight="1" x14ac:dyDescent="0.2">
      <c r="A19" s="115" t="s">
        <v>142</v>
      </c>
      <c r="B19" s="116"/>
      <c r="C19" s="116"/>
      <c r="D19" s="116"/>
      <c r="E19" s="116"/>
      <c r="F19" s="116"/>
      <c r="G19" s="116"/>
      <c r="H19" s="116"/>
      <c r="I19" s="116"/>
      <c r="J19" s="116"/>
      <c r="K19" s="116"/>
      <c r="L19" s="116"/>
      <c r="M19" s="117"/>
      <c r="Q19" s="14"/>
      <c r="R19" s="15"/>
      <c r="S19" s="19" t="e">
        <f>IF(#REF!="A",1,IF(#REF!="B",2,IF(#REF!="C",3,IF(#REF!="D",4,IF(#REF!="E",5,"")))))</f>
        <v>#REF!</v>
      </c>
      <c r="T19" s="19" t="e">
        <f>IF(#REF!="A",1,IF(#REF!="B",2,IF(#REF!="C",3,IF(#REF!="D",4,IF(#REF!="E",5,"")))))</f>
        <v>#REF!</v>
      </c>
      <c r="U19" s="15" t="e">
        <f>#REF!+S19</f>
        <v>#REF!</v>
      </c>
      <c r="V19" s="15" t="e">
        <f>#REF!+T19</f>
        <v>#REF!</v>
      </c>
    </row>
    <row r="20" spans="1:22" ht="45" customHeight="1" x14ac:dyDescent="0.2">
      <c r="A20" s="65">
        <v>1</v>
      </c>
      <c r="B20" s="94" t="s">
        <v>94</v>
      </c>
      <c r="C20" s="109"/>
      <c r="D20" s="109"/>
      <c r="E20" s="109"/>
      <c r="F20" s="109"/>
      <c r="G20" s="109"/>
      <c r="H20" s="109"/>
      <c r="I20" s="109"/>
      <c r="J20" s="109"/>
      <c r="K20" s="109"/>
      <c r="L20" s="109"/>
      <c r="M20" s="110"/>
      <c r="Q20" s="14"/>
      <c r="R20" s="15"/>
      <c r="S20" s="19" t="e">
        <f>IF(#REF!="A",1,IF(#REF!="B",2,IF(#REF!="C",3,IF(#REF!="D",4,IF(#REF!="E",5,"")))))</f>
        <v>#REF!</v>
      </c>
      <c r="T20" s="19" t="e">
        <f>IF(#REF!="A",1,IF(#REF!="B",2,IF(#REF!="C",3,IF(#REF!="D",4,IF(#REF!="E",5,"")))))</f>
        <v>#REF!</v>
      </c>
      <c r="U20" s="15" t="e">
        <f>#REF!+S20</f>
        <v>#REF!</v>
      </c>
      <c r="V20" s="15" t="e">
        <f>#REF!+T20</f>
        <v>#REF!</v>
      </c>
    </row>
    <row r="21" spans="1:22" ht="45" customHeight="1" x14ac:dyDescent="0.2">
      <c r="A21" s="65">
        <v>2</v>
      </c>
      <c r="B21" s="111" t="s">
        <v>95</v>
      </c>
      <c r="C21" s="112"/>
      <c r="D21" s="112"/>
      <c r="E21" s="112"/>
      <c r="F21" s="112"/>
      <c r="G21" s="112"/>
      <c r="H21" s="112"/>
      <c r="I21" s="112"/>
      <c r="J21" s="112"/>
      <c r="K21" s="112"/>
      <c r="L21" s="112"/>
      <c r="M21" s="113"/>
      <c r="Q21" s="14"/>
      <c r="R21" s="15"/>
      <c r="S21" s="19" t="e">
        <f>IF(#REF!="A",1,IF(#REF!="B",2,IF(#REF!="C",3,IF(#REF!="D",4,IF(#REF!="E",5,"")))))</f>
        <v>#REF!</v>
      </c>
      <c r="T21" s="19" t="e">
        <f>IF(#REF!="A",1,IF(#REF!="B",2,IF(#REF!="C",3,IF(#REF!="D",4,IF(#REF!="E",5,"")))))</f>
        <v>#REF!</v>
      </c>
      <c r="U21" s="15" t="e">
        <f>#REF!+S21</f>
        <v>#REF!</v>
      </c>
      <c r="V21" s="15" t="e">
        <f>#REF!+T21</f>
        <v>#REF!</v>
      </c>
    </row>
    <row r="22" spans="1:22" ht="45" customHeight="1" x14ac:dyDescent="0.2">
      <c r="A22" s="65">
        <v>3</v>
      </c>
      <c r="B22" s="114" t="s">
        <v>7</v>
      </c>
      <c r="C22" s="109"/>
      <c r="D22" s="109"/>
      <c r="E22" s="109"/>
      <c r="F22" s="109"/>
      <c r="G22" s="109"/>
      <c r="H22" s="109"/>
      <c r="I22" s="109"/>
      <c r="J22" s="109"/>
      <c r="K22" s="109"/>
      <c r="L22" s="109"/>
      <c r="M22" s="110"/>
      <c r="Q22" s="14"/>
      <c r="R22" s="15"/>
      <c r="S22" s="19" t="e">
        <f>IF(#REF!="A",1,IF(#REF!="B",2,IF(#REF!="C",3,IF(#REF!="D",4,IF(#REF!="E",5,"")))))</f>
        <v>#REF!</v>
      </c>
      <c r="T22" s="19" t="e">
        <f>IF(#REF!="A",1,IF(#REF!="B",2,IF(#REF!="C",3,IF(#REF!="D",4,IF(#REF!="E",5,"")))))</f>
        <v>#REF!</v>
      </c>
      <c r="U22" s="15" t="e">
        <f>#REF!+S22</f>
        <v>#REF!</v>
      </c>
      <c r="V22" s="15" t="e">
        <f>#REF!+T22</f>
        <v>#REF!</v>
      </c>
    </row>
    <row r="23" spans="1:22" ht="45" customHeight="1" x14ac:dyDescent="0.2">
      <c r="A23" s="65">
        <v>4</v>
      </c>
      <c r="B23" s="111" t="s">
        <v>96</v>
      </c>
      <c r="C23" s="112"/>
      <c r="D23" s="112"/>
      <c r="E23" s="112"/>
      <c r="F23" s="112"/>
      <c r="G23" s="112"/>
      <c r="H23" s="112"/>
      <c r="I23" s="112"/>
      <c r="J23" s="112"/>
      <c r="K23" s="112"/>
      <c r="L23" s="112"/>
      <c r="M23" s="113"/>
      <c r="Q23" s="14"/>
      <c r="R23" s="15"/>
      <c r="S23" s="19" t="e">
        <f>IF(#REF!="A",1,IF(#REF!="B",2,IF(#REF!="C",3,IF(#REF!="D",4,IF(#REF!="E",5,"")))))</f>
        <v>#REF!</v>
      </c>
      <c r="T23" s="19" t="e">
        <f>IF(#REF!="A",1,IF(#REF!="B",2,IF(#REF!="C",3,IF(#REF!="D",4,IF(#REF!="E",5,"")))))</f>
        <v>#REF!</v>
      </c>
      <c r="U23" s="15" t="e">
        <f>#REF!+S23</f>
        <v>#REF!</v>
      </c>
      <c r="V23" s="15" t="e">
        <f>#REF!+T23</f>
        <v>#REF!</v>
      </c>
    </row>
    <row r="24" spans="1:22" ht="45" customHeight="1" x14ac:dyDescent="0.2">
      <c r="A24" s="65">
        <v>5</v>
      </c>
      <c r="B24" s="94" t="s">
        <v>97</v>
      </c>
      <c r="C24" s="95"/>
      <c r="D24" s="95"/>
      <c r="E24" s="95"/>
      <c r="F24" s="95"/>
      <c r="G24" s="95"/>
      <c r="H24" s="95"/>
      <c r="I24" s="95"/>
      <c r="J24" s="95"/>
      <c r="K24" s="95"/>
      <c r="L24" s="95"/>
      <c r="M24" s="96"/>
      <c r="Q24" s="14"/>
      <c r="R24" s="15"/>
      <c r="S24" s="19" t="e">
        <f>IF(#REF!="A",1,IF(#REF!="B",2,IF(#REF!="C",3,IF(#REF!="D",4,IF(#REF!="E",5,"")))))</f>
        <v>#REF!</v>
      </c>
      <c r="T24" s="19" t="e">
        <f>IF(#REF!="A",1,IF(#REF!="B",2,IF(#REF!="C",3,IF(#REF!="D",4,IF(#REF!="E",5,"")))))</f>
        <v>#REF!</v>
      </c>
      <c r="U24" s="15" t="e">
        <f>#REF!+S24</f>
        <v>#REF!</v>
      </c>
      <c r="V24" s="15" t="e">
        <f>#REF!+T24</f>
        <v>#REF!</v>
      </c>
    </row>
    <row r="25" spans="1:22" ht="45" customHeight="1" x14ac:dyDescent="0.2">
      <c r="A25" s="65">
        <v>6</v>
      </c>
      <c r="B25" s="111" t="s">
        <v>98</v>
      </c>
      <c r="C25" s="112"/>
      <c r="D25" s="112"/>
      <c r="E25" s="112"/>
      <c r="F25" s="112"/>
      <c r="G25" s="112"/>
      <c r="H25" s="112"/>
      <c r="I25" s="112"/>
      <c r="J25" s="112"/>
      <c r="K25" s="112"/>
      <c r="L25" s="112"/>
      <c r="M25" s="113"/>
    </row>
    <row r="26" spans="1:22" ht="45" customHeight="1" x14ac:dyDescent="0.2">
      <c r="A26" s="65">
        <v>7</v>
      </c>
      <c r="B26" s="94" t="s">
        <v>99</v>
      </c>
      <c r="C26" s="95"/>
      <c r="D26" s="95"/>
      <c r="E26" s="95"/>
      <c r="F26" s="95"/>
      <c r="G26" s="95"/>
      <c r="H26" s="95"/>
      <c r="I26" s="95"/>
      <c r="J26" s="95"/>
      <c r="K26" s="95"/>
      <c r="L26" s="95"/>
      <c r="M26" s="96"/>
    </row>
    <row r="27" spans="1:22" ht="45" customHeight="1" x14ac:dyDescent="0.2">
      <c r="A27" s="65">
        <v>8</v>
      </c>
      <c r="B27" s="94" t="s">
        <v>143</v>
      </c>
      <c r="C27" s="95"/>
      <c r="D27" s="95"/>
      <c r="E27" s="95"/>
      <c r="F27" s="95"/>
      <c r="G27" s="95"/>
      <c r="H27" s="95"/>
      <c r="I27" s="95"/>
      <c r="J27" s="95"/>
      <c r="K27" s="95"/>
      <c r="L27" s="95"/>
      <c r="M27" s="96"/>
    </row>
    <row r="28" spans="1:22" ht="45" customHeight="1" x14ac:dyDescent="0.2">
      <c r="A28" s="65">
        <v>9</v>
      </c>
      <c r="B28" s="94" t="s">
        <v>144</v>
      </c>
      <c r="C28" s="95"/>
      <c r="D28" s="95"/>
      <c r="E28" s="95"/>
      <c r="F28" s="95"/>
      <c r="G28" s="95"/>
      <c r="H28" s="95"/>
      <c r="I28" s="95"/>
      <c r="J28" s="95"/>
      <c r="K28" s="95"/>
      <c r="L28" s="95"/>
      <c r="M28" s="96"/>
    </row>
    <row r="29" spans="1:22" ht="45" customHeight="1" x14ac:dyDescent="0.2">
      <c r="A29" s="65">
        <v>10</v>
      </c>
      <c r="B29" s="103" t="s">
        <v>100</v>
      </c>
      <c r="C29" s="104"/>
      <c r="D29" s="104"/>
      <c r="E29" s="104"/>
      <c r="F29" s="104"/>
      <c r="G29" s="104"/>
      <c r="H29" s="104"/>
      <c r="I29" s="104"/>
      <c r="J29" s="104"/>
      <c r="K29" s="104"/>
      <c r="L29" s="104"/>
      <c r="M29" s="105"/>
    </row>
    <row r="30" spans="1:22" s="9" customFormat="1" ht="45" customHeight="1" x14ac:dyDescent="0.2">
      <c r="A30" s="65">
        <v>11</v>
      </c>
      <c r="B30" s="94" t="s">
        <v>101</v>
      </c>
      <c r="C30" s="95"/>
      <c r="D30" s="95"/>
      <c r="E30" s="95"/>
      <c r="F30" s="95"/>
      <c r="G30" s="95"/>
      <c r="H30" s="95"/>
      <c r="I30" s="95"/>
      <c r="J30" s="95"/>
      <c r="K30" s="95"/>
      <c r="L30" s="95"/>
      <c r="M30" s="96"/>
      <c r="N30" s="8"/>
      <c r="O30" s="8"/>
      <c r="P30" s="8"/>
      <c r="Q30" s="16"/>
    </row>
    <row r="31" spans="1:22" s="9" customFormat="1" ht="45" customHeight="1" x14ac:dyDescent="0.2">
      <c r="A31" s="65">
        <v>12</v>
      </c>
      <c r="B31" s="94" t="s">
        <v>102</v>
      </c>
      <c r="C31" s="95"/>
      <c r="D31" s="95"/>
      <c r="E31" s="95"/>
      <c r="F31" s="95"/>
      <c r="G31" s="95"/>
      <c r="H31" s="95"/>
      <c r="I31" s="95"/>
      <c r="J31" s="95"/>
      <c r="K31" s="95"/>
      <c r="L31" s="95"/>
      <c r="M31" s="96"/>
      <c r="N31" s="8"/>
      <c r="O31" s="8"/>
      <c r="P31" s="8"/>
      <c r="Q31" s="16"/>
    </row>
    <row r="32" spans="1:22" s="9" customFormat="1" ht="45" customHeight="1" x14ac:dyDescent="0.2">
      <c r="A32" s="65">
        <v>13</v>
      </c>
      <c r="B32" s="94" t="s">
        <v>103</v>
      </c>
      <c r="C32" s="95"/>
      <c r="D32" s="95"/>
      <c r="E32" s="95"/>
      <c r="F32" s="95"/>
      <c r="G32" s="95"/>
      <c r="H32" s="95"/>
      <c r="I32" s="95"/>
      <c r="J32" s="95"/>
      <c r="K32" s="95"/>
      <c r="L32" s="95"/>
      <c r="M32" s="96"/>
      <c r="N32" s="8"/>
      <c r="O32" s="8"/>
      <c r="P32" s="8"/>
      <c r="Q32" s="16"/>
    </row>
    <row r="33" spans="1:17" s="9" customFormat="1" ht="45" customHeight="1" x14ac:dyDescent="0.2">
      <c r="A33" s="65">
        <v>14</v>
      </c>
      <c r="B33" s="94" t="s">
        <v>104</v>
      </c>
      <c r="C33" s="95"/>
      <c r="D33" s="95"/>
      <c r="E33" s="95"/>
      <c r="F33" s="95"/>
      <c r="G33" s="95"/>
      <c r="H33" s="95"/>
      <c r="I33" s="95"/>
      <c r="J33" s="95"/>
      <c r="K33" s="95"/>
      <c r="L33" s="95"/>
      <c r="M33" s="96"/>
      <c r="N33" s="8"/>
      <c r="P33" s="8"/>
      <c r="Q33" s="16"/>
    </row>
    <row r="34" spans="1:17" s="9" customFormat="1" ht="45" customHeight="1" x14ac:dyDescent="0.2">
      <c r="A34" s="65">
        <v>15</v>
      </c>
      <c r="B34" s="94" t="s">
        <v>105</v>
      </c>
      <c r="C34" s="95"/>
      <c r="D34" s="95"/>
      <c r="E34" s="95"/>
      <c r="F34" s="95"/>
      <c r="G34" s="95"/>
      <c r="H34" s="95"/>
      <c r="I34" s="95"/>
      <c r="J34" s="95"/>
      <c r="K34" s="95"/>
      <c r="L34" s="95"/>
      <c r="M34" s="96"/>
      <c r="N34" s="8"/>
      <c r="P34" s="8"/>
      <c r="Q34" s="16"/>
    </row>
    <row r="35" spans="1:17" s="9" customFormat="1" ht="30" customHeight="1" x14ac:dyDescent="0.2">
      <c r="A35" s="88" t="s">
        <v>106</v>
      </c>
      <c r="B35" s="89"/>
      <c r="C35" s="89"/>
      <c r="D35" s="89"/>
      <c r="E35" s="89"/>
      <c r="F35" s="89"/>
      <c r="G35" s="89"/>
      <c r="H35" s="89"/>
      <c r="I35" s="89"/>
      <c r="J35" s="89"/>
      <c r="K35" s="89"/>
      <c r="L35" s="89"/>
      <c r="M35" s="90"/>
      <c r="N35" s="8"/>
      <c r="P35" s="8"/>
      <c r="Q35" s="16"/>
    </row>
    <row r="36" spans="1:17" s="9" customFormat="1" ht="25.5" customHeight="1" x14ac:dyDescent="0.2">
      <c r="A36" s="178" t="s">
        <v>8</v>
      </c>
      <c r="B36" s="179"/>
      <c r="C36" s="180" t="s">
        <v>9</v>
      </c>
      <c r="D36" s="178" t="s">
        <v>10</v>
      </c>
      <c r="E36" s="181"/>
      <c r="F36" s="181"/>
      <c r="G36" s="179"/>
      <c r="H36" s="178" t="s">
        <v>11</v>
      </c>
      <c r="I36" s="181"/>
      <c r="J36" s="181"/>
      <c r="K36" s="181"/>
      <c r="L36" s="181"/>
      <c r="M36" s="179"/>
      <c r="N36" s="8"/>
      <c r="P36" s="8"/>
      <c r="Q36" s="16"/>
    </row>
    <row r="37" spans="1:17" s="9" customFormat="1" ht="18" customHeight="1" x14ac:dyDescent="0.2">
      <c r="A37" s="97"/>
      <c r="B37" s="99"/>
      <c r="C37" s="6"/>
      <c r="D37" s="97"/>
      <c r="E37" s="98"/>
      <c r="F37" s="98"/>
      <c r="G37" s="99"/>
      <c r="H37" s="97"/>
      <c r="I37" s="98"/>
      <c r="J37" s="98"/>
      <c r="K37" s="98"/>
      <c r="L37" s="98"/>
      <c r="M37" s="99"/>
      <c r="N37" s="8"/>
      <c r="P37" s="8"/>
      <c r="Q37" s="16"/>
    </row>
    <row r="38" spans="1:17" s="9" customFormat="1" ht="18" customHeight="1" x14ac:dyDescent="0.2">
      <c r="A38" s="97"/>
      <c r="B38" s="99"/>
      <c r="C38" s="6"/>
      <c r="D38" s="97"/>
      <c r="E38" s="98"/>
      <c r="F38" s="98"/>
      <c r="G38" s="99"/>
      <c r="H38" s="97"/>
      <c r="I38" s="98"/>
      <c r="J38" s="98"/>
      <c r="K38" s="98"/>
      <c r="L38" s="98"/>
      <c r="M38" s="99"/>
      <c r="N38" s="8"/>
      <c r="P38" s="8"/>
      <c r="Q38" s="16"/>
    </row>
    <row r="39" spans="1:17" s="9" customFormat="1" ht="18" customHeight="1" x14ac:dyDescent="0.2">
      <c r="A39" s="97"/>
      <c r="B39" s="99"/>
      <c r="C39" s="6"/>
      <c r="D39" s="97"/>
      <c r="E39" s="98"/>
      <c r="F39" s="98"/>
      <c r="G39" s="99"/>
      <c r="H39" s="97"/>
      <c r="I39" s="98"/>
      <c r="J39" s="98"/>
      <c r="K39" s="98"/>
      <c r="L39" s="98"/>
      <c r="M39" s="99"/>
      <c r="N39" s="8"/>
      <c r="P39" s="8"/>
      <c r="Q39" s="16"/>
    </row>
    <row r="40" spans="1:17" s="9" customFormat="1" ht="18" customHeight="1" x14ac:dyDescent="0.2">
      <c r="A40" s="97"/>
      <c r="B40" s="99"/>
      <c r="C40" s="6"/>
      <c r="D40" s="97"/>
      <c r="E40" s="98"/>
      <c r="F40" s="98"/>
      <c r="G40" s="99"/>
      <c r="H40" s="97"/>
      <c r="I40" s="98"/>
      <c r="J40" s="98"/>
      <c r="K40" s="98"/>
      <c r="L40" s="98"/>
      <c r="M40" s="99"/>
      <c r="N40" s="8"/>
      <c r="P40" s="8"/>
      <c r="Q40" s="16"/>
    </row>
    <row r="41" spans="1:17" s="9" customFormat="1" ht="18" customHeight="1" x14ac:dyDescent="0.2">
      <c r="A41" s="97"/>
      <c r="B41" s="99"/>
      <c r="C41" s="6"/>
      <c r="D41" s="97"/>
      <c r="E41" s="98"/>
      <c r="F41" s="98"/>
      <c r="G41" s="99"/>
      <c r="H41" s="97"/>
      <c r="I41" s="98"/>
      <c r="J41" s="98"/>
      <c r="K41" s="98"/>
      <c r="L41" s="98"/>
      <c r="M41" s="99"/>
      <c r="N41" s="8"/>
      <c r="P41" s="8"/>
      <c r="Q41" s="16"/>
    </row>
    <row r="42" spans="1:17" s="9" customFormat="1" ht="34.5" customHeight="1" x14ac:dyDescent="0.2">
      <c r="A42" s="103" t="s">
        <v>107</v>
      </c>
      <c r="B42" s="104"/>
      <c r="C42" s="104"/>
      <c r="D42" s="104"/>
      <c r="E42" s="104"/>
      <c r="F42" s="104"/>
      <c r="G42" s="104"/>
      <c r="H42" s="104"/>
      <c r="I42" s="104"/>
      <c r="J42" s="104"/>
      <c r="K42" s="104"/>
      <c r="L42" s="104"/>
      <c r="M42" s="105"/>
      <c r="N42" s="8"/>
      <c r="P42" s="8"/>
      <c r="Q42" s="16"/>
    </row>
    <row r="43" spans="1:17" s="9" customFormat="1" ht="34.5" customHeight="1" x14ac:dyDescent="0.2">
      <c r="A43" s="185" t="s">
        <v>108</v>
      </c>
      <c r="B43" s="186"/>
      <c r="C43" s="187" t="s">
        <v>109</v>
      </c>
      <c r="D43" s="188" t="s">
        <v>110</v>
      </c>
      <c r="E43" s="189"/>
      <c r="F43" s="190"/>
      <c r="G43" s="79"/>
      <c r="H43" s="80"/>
      <c r="I43" s="80"/>
      <c r="J43" s="80"/>
      <c r="K43" s="80"/>
      <c r="L43" s="80"/>
      <c r="M43" s="81"/>
      <c r="N43" s="8"/>
      <c r="P43" s="8"/>
      <c r="Q43" s="16"/>
    </row>
    <row r="44" spans="1:17" s="9" customFormat="1" ht="20.100000000000001" customHeight="1" x14ac:dyDescent="0.2">
      <c r="A44" s="191"/>
      <c r="B44" s="192"/>
      <c r="C44" s="10"/>
      <c r="D44" s="182"/>
      <c r="E44" s="183"/>
      <c r="F44" s="184"/>
      <c r="G44" s="82"/>
      <c r="H44" s="83"/>
      <c r="I44" s="83"/>
      <c r="J44" s="83"/>
      <c r="K44" s="83"/>
      <c r="L44" s="83"/>
      <c r="M44" s="84"/>
      <c r="N44" s="8"/>
      <c r="P44" s="8"/>
      <c r="Q44" s="16"/>
    </row>
    <row r="45" spans="1:17" s="9" customFormat="1" ht="18" customHeight="1" x14ac:dyDescent="0.2">
      <c r="A45" s="66"/>
      <c r="B45" s="11"/>
      <c r="C45" s="11"/>
      <c r="D45" s="11"/>
      <c r="E45" s="11"/>
      <c r="F45" s="11"/>
      <c r="G45" s="11"/>
      <c r="H45" s="11"/>
      <c r="I45" s="11"/>
      <c r="J45" s="11"/>
      <c r="K45" s="11"/>
      <c r="L45" s="11"/>
      <c r="M45" s="67"/>
      <c r="Q45" s="17"/>
    </row>
    <row r="46" spans="1:17" ht="83.25" customHeight="1" x14ac:dyDescent="0.2">
      <c r="A46" s="193" t="s">
        <v>111</v>
      </c>
      <c r="B46" s="194"/>
      <c r="C46" s="100"/>
      <c r="D46" s="101"/>
      <c r="E46" s="101"/>
      <c r="F46" s="101"/>
      <c r="G46" s="101"/>
      <c r="H46" s="101"/>
      <c r="I46" s="101"/>
      <c r="J46" s="101"/>
      <c r="K46" s="101"/>
      <c r="L46" s="101"/>
      <c r="M46" s="102"/>
    </row>
    <row r="47" spans="1:17" ht="25.5" customHeight="1" x14ac:dyDescent="0.2">
      <c r="A47" s="88" t="s">
        <v>112</v>
      </c>
      <c r="B47" s="89"/>
      <c r="C47" s="89"/>
      <c r="D47" s="89"/>
      <c r="E47" s="89"/>
      <c r="F47" s="89"/>
      <c r="G47" s="89"/>
      <c r="H47" s="89"/>
      <c r="I47" s="89"/>
      <c r="J47" s="89"/>
      <c r="K47" s="89"/>
      <c r="L47" s="89"/>
      <c r="M47" s="90"/>
    </row>
    <row r="48" spans="1:17" ht="18.75" customHeight="1" x14ac:dyDescent="0.2"/>
    <row r="49" spans="1:13" ht="18.75" customHeight="1" x14ac:dyDescent="0.2"/>
    <row r="50" spans="1:13" ht="18.75" customHeight="1" x14ac:dyDescent="0.2"/>
    <row r="51" spans="1:13" ht="18.75" customHeight="1" x14ac:dyDescent="0.2"/>
    <row r="52" spans="1:13" ht="18.75" customHeight="1" x14ac:dyDescent="0.2"/>
    <row r="53" spans="1:13" ht="33.75" customHeight="1" x14ac:dyDescent="0.2"/>
    <row r="54" spans="1:13" ht="20.25" customHeight="1" x14ac:dyDescent="0.2"/>
    <row r="55" spans="1:13" ht="57.75" customHeight="1" x14ac:dyDescent="0.2"/>
    <row r="56" spans="1:13" s="11" customFormat="1" ht="15" customHeight="1" x14ac:dyDescent="0.2">
      <c r="A56" s="3"/>
      <c r="B56" s="3"/>
      <c r="C56" s="3"/>
      <c r="D56" s="3"/>
      <c r="E56" s="3"/>
      <c r="F56" s="3"/>
      <c r="G56" s="3"/>
      <c r="H56" s="3"/>
      <c r="I56" s="3"/>
      <c r="J56" s="3"/>
      <c r="K56" s="3"/>
      <c r="L56" s="3"/>
      <c r="M56" s="3"/>
    </row>
    <row r="57" spans="1:13" ht="119.25" customHeight="1" x14ac:dyDescent="0.2"/>
    <row r="58" spans="1:13" s="12" customFormat="1" ht="24" customHeight="1" x14ac:dyDescent="0.2">
      <c r="A58" s="3"/>
      <c r="B58" s="3"/>
      <c r="C58" s="3"/>
      <c r="D58" s="3"/>
      <c r="E58" s="3"/>
      <c r="F58" s="3"/>
      <c r="G58" s="3"/>
      <c r="H58" s="3"/>
      <c r="I58" s="3"/>
      <c r="J58" s="3"/>
      <c r="K58" s="3"/>
      <c r="L58" s="3"/>
      <c r="M58" s="3"/>
    </row>
  </sheetData>
  <sheetProtection formatCells="0" formatColumns="0" formatRows="0" insertColumns="0" insertRows="0" insertHyperlinks="0" deleteColumns="0" deleteRows="0" sort="0" autoFilter="0" pivotTables="0"/>
  <mergeCells count="64">
    <mergeCell ref="J2:M2"/>
    <mergeCell ref="J3:M3"/>
    <mergeCell ref="J4:M4"/>
    <mergeCell ref="K6:M6"/>
    <mergeCell ref="A16:M16"/>
    <mergeCell ref="G12:J12"/>
    <mergeCell ref="G13:J13"/>
    <mergeCell ref="C3:H3"/>
    <mergeCell ref="G14:J14"/>
    <mergeCell ref="G11:J11"/>
    <mergeCell ref="G10:J10"/>
    <mergeCell ref="G9:J9"/>
    <mergeCell ref="G8:J8"/>
    <mergeCell ref="A1:B4"/>
    <mergeCell ref="B23:M23"/>
    <mergeCell ref="B24:M24"/>
    <mergeCell ref="B27:M27"/>
    <mergeCell ref="B26:M26"/>
    <mergeCell ref="B29:M29"/>
    <mergeCell ref="B34:M34"/>
    <mergeCell ref="A38:B38"/>
    <mergeCell ref="H36:M36"/>
    <mergeCell ref="H37:M37"/>
    <mergeCell ref="A36:B36"/>
    <mergeCell ref="A37:B37"/>
    <mergeCell ref="A40:B40"/>
    <mergeCell ref="A39:B39"/>
    <mergeCell ref="D39:G39"/>
    <mergeCell ref="H38:M38"/>
    <mergeCell ref="H39:M39"/>
    <mergeCell ref="H40:M40"/>
    <mergeCell ref="D38:G38"/>
    <mergeCell ref="C46:M46"/>
    <mergeCell ref="A42:M42"/>
    <mergeCell ref="A18:M18"/>
    <mergeCell ref="B20:M20"/>
    <mergeCell ref="B21:M21"/>
    <mergeCell ref="B22:M22"/>
    <mergeCell ref="A35:M35"/>
    <mergeCell ref="A43:B43"/>
    <mergeCell ref="B25:M25"/>
    <mergeCell ref="A44:B44"/>
    <mergeCell ref="A19:M19"/>
    <mergeCell ref="H41:M41"/>
    <mergeCell ref="D40:G40"/>
    <mergeCell ref="D41:G41"/>
    <mergeCell ref="D43:F44"/>
    <mergeCell ref="A41:B41"/>
    <mergeCell ref="G43:M44"/>
    <mergeCell ref="A6:B6"/>
    <mergeCell ref="H7:J7"/>
    <mergeCell ref="A47:M47"/>
    <mergeCell ref="A7:B7"/>
    <mergeCell ref="A15:M15"/>
    <mergeCell ref="B28:M28"/>
    <mergeCell ref="B33:M33"/>
    <mergeCell ref="B30:M30"/>
    <mergeCell ref="B31:M31"/>
    <mergeCell ref="B32:M32"/>
    <mergeCell ref="K7:M7"/>
    <mergeCell ref="D7:F7"/>
    <mergeCell ref="D36:G36"/>
    <mergeCell ref="D37:G37"/>
    <mergeCell ref="A46:B46"/>
  </mergeCells>
  <phoneticPr fontId="0" type="noConversion"/>
  <conditionalFormatting sqref="F9:F14 M9:M14">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4 D9:D14" xr:uid="{00000000-0002-0000-0000-000000000000}">
      <formula1>$Q$2:$Q$7</formula1>
    </dataValidation>
    <dataValidation type="list" allowBlank="1" showInputMessage="1" showErrorMessage="1" sqref="L9:L14 E9:E14" xr:uid="{00000000-0002-0000-0000-000001000000}">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6"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3F90-F504-4F37-BD2E-B43AE3B1E487}">
  <dimension ref="A1:V34"/>
  <sheetViews>
    <sheetView tabSelected="1" showWhiteSpace="0" view="pageLayout" workbookViewId="0">
      <selection sqref="A1:C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156"/>
      <c r="B1" s="156"/>
      <c r="C1" s="156"/>
      <c r="D1" s="196"/>
      <c r="E1" s="196"/>
      <c r="F1" s="196"/>
      <c r="G1" s="1"/>
      <c r="H1" s="1"/>
      <c r="I1" s="197"/>
      <c r="J1" s="197"/>
      <c r="O1" s="14" t="s">
        <v>12</v>
      </c>
      <c r="P1" s="14" t="s">
        <v>13</v>
      </c>
      <c r="Q1" s="14" t="s">
        <v>14</v>
      </c>
      <c r="R1" s="14" t="s">
        <v>15</v>
      </c>
      <c r="S1" s="14" t="s">
        <v>16</v>
      </c>
      <c r="T1" s="14" t="s">
        <v>17</v>
      </c>
      <c r="U1" s="18" t="s">
        <v>18</v>
      </c>
      <c r="V1" s="2"/>
    </row>
    <row r="2" spans="1:22" ht="25.5" customHeight="1" x14ac:dyDescent="0.2">
      <c r="A2" s="156"/>
      <c r="B2" s="156"/>
      <c r="C2" s="156"/>
      <c r="D2" s="198" t="s">
        <v>113</v>
      </c>
      <c r="E2" s="145"/>
      <c r="F2" s="145"/>
      <c r="G2" s="145"/>
      <c r="H2" s="145"/>
      <c r="I2" s="199"/>
      <c r="J2" s="199"/>
      <c r="N2" s="7"/>
      <c r="O2" s="14">
        <v>1</v>
      </c>
      <c r="P2" s="14" t="s">
        <v>19</v>
      </c>
      <c r="Q2" s="15"/>
      <c r="R2" s="15"/>
      <c r="S2" s="15"/>
      <c r="T2" s="15"/>
      <c r="U2" s="18" t="s">
        <v>20</v>
      </c>
      <c r="V2" s="5"/>
    </row>
    <row r="3" spans="1:22" ht="25.5" customHeight="1" x14ac:dyDescent="0.2">
      <c r="A3" s="156"/>
      <c r="B3" s="156"/>
      <c r="C3" s="156"/>
      <c r="D3" s="49"/>
      <c r="E3" s="49"/>
      <c r="F3" s="49"/>
      <c r="G3" s="49"/>
      <c r="H3" s="49"/>
      <c r="I3" s="200"/>
      <c r="J3" s="200"/>
      <c r="K3" s="49"/>
      <c r="L3" s="49"/>
      <c r="M3" s="22"/>
    </row>
    <row r="4" spans="1:22" ht="17.45" customHeight="1" thickBot="1" x14ac:dyDescent="0.25">
      <c r="A4" s="46"/>
      <c r="B4" s="46"/>
      <c r="C4" s="46"/>
      <c r="D4" s="46"/>
      <c r="E4" s="46"/>
      <c r="F4" s="46"/>
      <c r="G4" s="46"/>
      <c r="H4" s="46"/>
      <c r="I4" s="46"/>
      <c r="J4" s="46"/>
      <c r="K4" s="46"/>
      <c r="L4" s="46"/>
      <c r="M4" s="22"/>
    </row>
    <row r="5" spans="1:22" ht="25.15" customHeight="1" thickBot="1" x14ac:dyDescent="0.25">
      <c r="A5" s="150" t="s">
        <v>70</v>
      </c>
      <c r="B5" s="151"/>
      <c r="C5" s="140" t="s">
        <v>115</v>
      </c>
      <c r="D5" s="141"/>
      <c r="E5" s="141"/>
      <c r="F5" s="141"/>
      <c r="G5" s="142"/>
      <c r="H5" s="140" t="s">
        <v>114</v>
      </c>
      <c r="I5" s="141"/>
      <c r="J5" s="141"/>
      <c r="K5" s="141"/>
      <c r="L5" s="142"/>
      <c r="M5" s="22"/>
    </row>
    <row r="6" spans="1:22" ht="20.25" customHeight="1" thickBot="1" x14ac:dyDescent="0.25">
      <c r="A6" s="152"/>
      <c r="B6" s="153"/>
      <c r="C6" s="201" t="s">
        <v>116</v>
      </c>
      <c r="D6" s="201" t="s">
        <v>117</v>
      </c>
      <c r="E6" s="201" t="s">
        <v>118</v>
      </c>
      <c r="F6" s="201" t="s">
        <v>151</v>
      </c>
      <c r="G6" s="201" t="s">
        <v>152</v>
      </c>
      <c r="H6" s="69" t="s">
        <v>27</v>
      </c>
      <c r="I6" s="69" t="s">
        <v>28</v>
      </c>
      <c r="J6" s="69" t="s">
        <v>29</v>
      </c>
      <c r="K6" s="21" t="s">
        <v>25</v>
      </c>
      <c r="L6" s="21" t="s">
        <v>26</v>
      </c>
      <c r="M6" s="22"/>
    </row>
    <row r="7" spans="1:22" ht="112.5" x14ac:dyDescent="0.2">
      <c r="A7" s="152"/>
      <c r="B7" s="153"/>
      <c r="C7" s="202"/>
      <c r="D7" s="202"/>
      <c r="E7" s="202"/>
      <c r="F7" s="202"/>
      <c r="G7" s="202"/>
      <c r="H7" s="70" t="s">
        <v>119</v>
      </c>
      <c r="I7" s="70" t="s">
        <v>120</v>
      </c>
      <c r="J7" s="70" t="s">
        <v>153</v>
      </c>
      <c r="K7" s="23" t="s">
        <v>45</v>
      </c>
      <c r="L7" s="23" t="s">
        <v>46</v>
      </c>
      <c r="M7" s="22"/>
    </row>
    <row r="8" spans="1:22" ht="12.75" customHeight="1" x14ac:dyDescent="0.2">
      <c r="A8" s="152"/>
      <c r="B8" s="153"/>
      <c r="C8" s="202"/>
      <c r="D8" s="202"/>
      <c r="E8" s="202"/>
      <c r="F8" s="202"/>
      <c r="G8" s="202"/>
      <c r="H8" s="138" t="s">
        <v>121</v>
      </c>
      <c r="I8" s="138" t="s">
        <v>154</v>
      </c>
      <c r="J8" s="138" t="s">
        <v>155</v>
      </c>
      <c r="K8" s="138" t="s">
        <v>47</v>
      </c>
      <c r="L8" s="138" t="s">
        <v>48</v>
      </c>
      <c r="M8" s="22"/>
    </row>
    <row r="9" spans="1:22" ht="40.5" customHeight="1" thickBot="1" x14ac:dyDescent="0.25">
      <c r="A9" s="154"/>
      <c r="B9" s="155"/>
      <c r="C9" s="203"/>
      <c r="D9" s="203"/>
      <c r="E9" s="203"/>
      <c r="F9" s="203"/>
      <c r="G9" s="203"/>
      <c r="H9" s="139"/>
      <c r="I9" s="139"/>
      <c r="J9" s="139"/>
      <c r="K9" s="139"/>
      <c r="L9" s="139"/>
      <c r="M9" s="22"/>
    </row>
    <row r="10" spans="1:22" ht="49.5" customHeight="1" x14ac:dyDescent="0.2">
      <c r="A10" s="146">
        <v>1</v>
      </c>
      <c r="B10" s="147"/>
      <c r="C10" s="38" t="s">
        <v>122</v>
      </c>
      <c r="D10" s="38" t="s">
        <v>123</v>
      </c>
      <c r="E10" s="38" t="s">
        <v>124</v>
      </c>
      <c r="F10" s="38" t="s">
        <v>125</v>
      </c>
      <c r="G10" s="39" t="s">
        <v>126</v>
      </c>
      <c r="H10" s="30" t="s">
        <v>30</v>
      </c>
      <c r="I10" s="31" t="s">
        <v>31</v>
      </c>
      <c r="J10" s="31" t="s">
        <v>32</v>
      </c>
      <c r="K10" s="40" t="s">
        <v>49</v>
      </c>
      <c r="L10" s="32" t="s">
        <v>50</v>
      </c>
      <c r="M10" s="22"/>
    </row>
    <row r="11" spans="1:22" ht="64.5" customHeight="1" x14ac:dyDescent="0.2">
      <c r="A11" s="148">
        <v>2</v>
      </c>
      <c r="B11" s="149"/>
      <c r="C11" s="24" t="s">
        <v>127</v>
      </c>
      <c r="D11" s="24" t="s">
        <v>128</v>
      </c>
      <c r="E11" s="38" t="s">
        <v>129</v>
      </c>
      <c r="F11" s="24" t="s">
        <v>130</v>
      </c>
      <c r="G11" s="28" t="s">
        <v>156</v>
      </c>
      <c r="H11" s="33" t="s">
        <v>33</v>
      </c>
      <c r="I11" s="34" t="s">
        <v>34</v>
      </c>
      <c r="J11" s="34" t="s">
        <v>35</v>
      </c>
      <c r="K11" s="35" t="s">
        <v>51</v>
      </c>
      <c r="L11" s="36" t="s">
        <v>52</v>
      </c>
      <c r="M11" s="22"/>
    </row>
    <row r="12" spans="1:22" ht="69" customHeight="1" x14ac:dyDescent="0.2">
      <c r="A12" s="148">
        <v>3</v>
      </c>
      <c r="B12" s="149"/>
      <c r="C12" s="24" t="s">
        <v>131</v>
      </c>
      <c r="D12" s="24" t="s">
        <v>157</v>
      </c>
      <c r="E12" s="38" t="s">
        <v>132</v>
      </c>
      <c r="F12" s="24" t="s">
        <v>133</v>
      </c>
      <c r="G12" s="28" t="s">
        <v>158</v>
      </c>
      <c r="H12" s="33" t="s">
        <v>36</v>
      </c>
      <c r="I12" s="34" t="s">
        <v>37</v>
      </c>
      <c r="J12" s="35" t="s">
        <v>38</v>
      </c>
      <c r="K12" s="35" t="s">
        <v>53</v>
      </c>
      <c r="L12" s="41" t="s">
        <v>54</v>
      </c>
      <c r="M12" s="22"/>
    </row>
    <row r="13" spans="1:22" ht="78.75" customHeight="1" x14ac:dyDescent="0.2">
      <c r="A13" s="148">
        <v>4</v>
      </c>
      <c r="B13" s="149"/>
      <c r="C13" s="24" t="s">
        <v>134</v>
      </c>
      <c r="D13" s="24" t="s">
        <v>159</v>
      </c>
      <c r="E13" s="38" t="s">
        <v>160</v>
      </c>
      <c r="F13" s="24" t="s">
        <v>135</v>
      </c>
      <c r="G13" s="28" t="s">
        <v>136</v>
      </c>
      <c r="H13" s="33" t="s">
        <v>39</v>
      </c>
      <c r="I13" s="35" t="s">
        <v>40</v>
      </c>
      <c r="J13" s="35" t="s">
        <v>41</v>
      </c>
      <c r="K13" s="42" t="s">
        <v>55</v>
      </c>
      <c r="L13" s="41" t="s">
        <v>56</v>
      </c>
      <c r="M13" s="22"/>
    </row>
    <row r="14" spans="1:22" ht="75" customHeight="1" thickBot="1" x14ac:dyDescent="0.25">
      <c r="A14" s="143">
        <v>5</v>
      </c>
      <c r="B14" s="144"/>
      <c r="C14" s="25" t="s">
        <v>137</v>
      </c>
      <c r="D14" s="25" t="s">
        <v>161</v>
      </c>
      <c r="E14" s="25" t="s">
        <v>162</v>
      </c>
      <c r="F14" s="25" t="s">
        <v>138</v>
      </c>
      <c r="G14" s="29" t="s">
        <v>139</v>
      </c>
      <c r="H14" s="45" t="s">
        <v>42</v>
      </c>
      <c r="I14" s="37" t="s">
        <v>43</v>
      </c>
      <c r="J14" s="43" t="s">
        <v>44</v>
      </c>
      <c r="K14" s="43" t="s">
        <v>57</v>
      </c>
      <c r="L14" s="44" t="s">
        <v>58</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12" customHeight="1" x14ac:dyDescent="0.2">
      <c r="A25" s="22"/>
      <c r="B25" s="22"/>
      <c r="C25" s="22"/>
      <c r="D25" s="22"/>
      <c r="E25" s="22"/>
      <c r="F25" s="22"/>
      <c r="G25" s="22"/>
      <c r="H25" s="22"/>
      <c r="I25" s="22"/>
      <c r="J25" s="22"/>
      <c r="K25" s="22"/>
      <c r="L25" s="22"/>
      <c r="M25" s="22"/>
    </row>
    <row r="26" spans="1:13" ht="21.7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63"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K8:K9"/>
    <mergeCell ref="L8:L9"/>
    <mergeCell ref="A10:B10"/>
    <mergeCell ref="A11:B11"/>
    <mergeCell ref="A12:B12"/>
    <mergeCell ref="A13:B13"/>
    <mergeCell ref="E6:E9"/>
    <mergeCell ref="F6:F9"/>
    <mergeCell ref="G6:G9"/>
    <mergeCell ref="H8:H9"/>
    <mergeCell ref="I8:I9"/>
    <mergeCell ref="J8:J9"/>
    <mergeCell ref="A1:C3"/>
    <mergeCell ref="I1:J1"/>
    <mergeCell ref="D2:H2"/>
    <mergeCell ref="I2:J2"/>
    <mergeCell ref="I3:J3"/>
    <mergeCell ref="A5:B9"/>
    <mergeCell ref="C5:G5"/>
    <mergeCell ref="H5:L5"/>
    <mergeCell ref="C6:C9"/>
    <mergeCell ref="D6:D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34A5DBCF-E2DA-4D23-9549-E8E78AF171AB}">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EA921F7F-51B9-4976-A2B7-454C250767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Dolzhikov Vladislav</cp:lastModifiedBy>
  <cp:lastPrinted>2014-11-10T14:56:30Z</cp:lastPrinted>
  <dcterms:created xsi:type="dcterms:W3CDTF">2011-02-21T14:14:41Z</dcterms:created>
  <dcterms:modified xsi:type="dcterms:W3CDTF">2025-02-26T14:28:13Z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