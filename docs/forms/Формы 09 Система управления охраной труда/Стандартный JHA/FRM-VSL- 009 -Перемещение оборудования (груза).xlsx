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265" windowHeight="11700" tabRatio="307"/>
  </bookViews>
  <sheets>
    <sheet name="АСОР" sheetId="1" r:id="rId1"/>
    <sheet name="МОР" sheetId="3" r:id="rId2"/>
  </sheets>
  <definedNames>
    <definedName name="Strongly_emphasise_each_individual_s__71" localSheetId="0">АСОР!$O$57</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АСОР!$A$1:$M$47</definedName>
    <definedName name="_xlnm.Print_Area" localSheetId="1">МОР!$A$1:$V$34</definedName>
  </definedNames>
  <calcPr calcId="162913" concurrentCalc="0"/>
</workbook>
</file>

<file path=xl/calcChain.xml><?xml version="1.0" encoding="utf-8"?>
<calcChain xmlns="http://schemas.openxmlformats.org/spreadsheetml/2006/main">
  <c r="S15" i="1" l="1"/>
  <c r="U15" i="1"/>
  <c r="S16" i="1"/>
  <c r="U16" i="1"/>
  <c r="T15" i="1"/>
  <c r="V15" i="1"/>
  <c r="S9" i="1"/>
  <c r="U9" i="1"/>
  <c r="F9" i="1"/>
  <c r="S10" i="1"/>
  <c r="U10" i="1"/>
  <c r="F10" i="1"/>
  <c r="S11" i="1"/>
  <c r="U11" i="1"/>
  <c r="F11" i="1"/>
  <c r="S14" i="1"/>
  <c r="U14" i="1"/>
  <c r="F14" i="1"/>
  <c r="T24" i="1"/>
  <c r="V24" i="1"/>
  <c r="S24" i="1"/>
  <c r="U24" i="1"/>
  <c r="T23" i="1"/>
  <c r="V23" i="1"/>
  <c r="S23" i="1"/>
  <c r="U23" i="1"/>
  <c r="T22" i="1"/>
  <c r="V22" i="1"/>
  <c r="S22" i="1"/>
  <c r="U22" i="1"/>
  <c r="T21" i="1"/>
  <c r="V21" i="1"/>
  <c r="S21" i="1"/>
  <c r="U21" i="1"/>
  <c r="T20" i="1"/>
  <c r="V20" i="1"/>
  <c r="S20" i="1"/>
  <c r="U20" i="1"/>
  <c r="T19" i="1"/>
  <c r="V19" i="1"/>
  <c r="S19" i="1"/>
  <c r="U19" i="1"/>
  <c r="T18" i="1"/>
  <c r="V18" i="1"/>
  <c r="S18" i="1"/>
  <c r="U18" i="1"/>
  <c r="T17" i="1"/>
  <c r="V17" i="1"/>
  <c r="S17" i="1"/>
  <c r="U17" i="1"/>
  <c r="T16" i="1"/>
  <c r="V16" i="1"/>
  <c r="T14" i="1"/>
  <c r="V14" i="1"/>
  <c r="M14" i="1"/>
  <c r="T11" i="1"/>
  <c r="V11" i="1"/>
  <c r="M11" i="1"/>
  <c r="T10" i="1"/>
  <c r="V10" i="1"/>
  <c r="M10" i="1"/>
  <c r="T9" i="1"/>
  <c r="V9" i="1"/>
  <c r="M9" i="1"/>
  <c r="U8" i="1"/>
</calcChain>
</file>

<file path=xl/sharedStrings.xml><?xml version="1.0" encoding="utf-8"?>
<sst xmlns="http://schemas.openxmlformats.org/spreadsheetml/2006/main" count="190" uniqueCount="178">
  <si>
    <r>
      <rPr>
        <b/>
        <sz val="14"/>
        <rFont val="Arial"/>
        <family val="2"/>
      </rPr>
      <t>FRM-VSL-09-1301-001</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</si>
  <si>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</si>
  <si>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</si>
  <si>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</si>
  <si>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</si>
  <si>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</si>
  <si>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D</t>
    </r>
  </si>
  <si>
    <r>
      <rPr>
        <sz val="12"/>
        <rFont val="Arial"/>
        <family val="2"/>
      </rPr>
      <t>D</t>
    </r>
  </si>
  <si>
    <r>
      <rPr>
        <sz val="10"/>
        <color rgb="FF000000"/>
        <rFont val="Arial"/>
        <family val="2"/>
      </rPr>
      <t>Fully review and discuss the completed JHA with particular attention to identified hazards and the methods of controlling / removing them / Полный обзор и обсуждение составленного АСОР с особым вниманием на выявленные опасности и методы их контроля / устранения.</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</si>
  <si>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</si>
  <si>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</si>
  <si>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</si>
  <si>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</si>
  <si>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</si>
  <si>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</si>
  <si>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</si>
  <si>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</si>
  <si>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</si>
  <si>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</si>
  <si>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</si>
  <si>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</si>
  <si>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</si>
  <si>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</si>
  <si>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</si>
  <si>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</si>
  <si>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</si>
  <si>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</si>
  <si>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</si>
  <si>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</si>
  <si>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</si>
  <si>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</si>
  <si>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</si>
  <si>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</si>
  <si>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</si>
  <si>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</si>
  <si>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</si>
  <si>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</si>
  <si>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</si>
  <si>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</si>
  <si>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</si>
  <si>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</si>
  <si>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</si>
  <si>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</si>
  <si>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</si>
  <si>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</si>
  <si>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</si>
  <si>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</si>
  <si>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</si>
  <si>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</si>
  <si>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</si>
  <si>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</si>
  <si>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</si>
  <si>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</si>
  <si>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</si>
  <si>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</si>
  <si>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</si>
  <si>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D</t>
  </si>
  <si>
    <t>E</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</si>
  <si>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</si>
  <si>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</si>
  <si>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</si>
  <si>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</si>
  <si>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</si>
  <si>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</si>
  <si>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</si>
  <si>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</si>
  <si>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</si>
  <si>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</si>
  <si>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</si>
  <si>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</si>
  <si>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</si>
  <si>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</si>
  <si>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ООО «Боллард»
РФ, Краснодарский край, 
353919, г. Новороссийск,
 Мысхакское шоссе, д. 75 помещение 209 
Тел.: 8(8617) 70 00 95
Эл. почта: info@bollard-marine.group </t>
  </si>
  <si>
    <t>Название судна</t>
  </si>
  <si>
    <t>Дата</t>
  </si>
  <si>
    <t xml:space="preserve"> Исходный риск</t>
  </si>
  <si>
    <t>Оборудование</t>
  </si>
  <si>
    <t xml:space="preserve"> Описание работ</t>
  </si>
  <si>
    <t>Груоподъемное оборудование и механизмы, СИЗ, спасательные средсттва,</t>
  </si>
  <si>
    <t>Перемещение оборудования</t>
  </si>
  <si>
    <t>FRM-VSL-009</t>
  </si>
  <si>
    <t>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</si>
  <si>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</si>
  <si>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</si>
  <si>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</si>
  <si>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</si>
  <si>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</si>
  <si>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</si>
  <si>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</si>
  <si>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</si>
  <si>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Файл 09</t>
  </si>
  <si>
    <t>Срок хранения 3 года</t>
  </si>
  <si>
    <t xml:space="preserve"> Номер оценки рисков</t>
  </si>
  <si>
    <t>Ручная обработка</t>
  </si>
  <si>
    <t xml:space="preserve">Травмы персонала или другие повреждения в результате удара падающим/движущимся предметом и т.д. Ущерб окружающей среде в результате разрыва гидравлического шланга или повреждения/попадания оборудования в воду. Повреждение оборудования компании и/или третьих лиц или крана в результате неправильного использования. </t>
  </si>
  <si>
    <t>Необходимо использовать соответствующие СИЗ, включая каски, защитные очки, защитную обувь, рабочие перчатки и комбинезоны. По всей территории должны быть развешаны знаки безопасности, указывающие на безопасный способ/роложение для персонала при подъеме грузов. Предварительно необходимо проводить беседы о правильном методе подъема. Персонал должен знать вес поднимаемого предмета. Механические приспособления должны использоваться по мере возможности.  Тара должна быть надежной / иметь подходящую конструкцию.</t>
  </si>
  <si>
    <t xml:space="preserve">Работа с использованием палубного крана
</t>
  </si>
  <si>
    <t xml:space="preserve">Травмы персонала в результате скольжения, падения или падения между судами. Повреждение трапа в результате движения судна. Потеря рабочего времени. Не исключены более серьезные травмы. Повреждения буксира. Травма с потерей времени. Не исключена постоянная инвалидность.Разлив нефти &lt; 1 барреля, ограниченное воздействие на окружающую среду. Повреждение крана, требующее ремонта, или оборудования, требующего замены. </t>
  </si>
  <si>
    <t>Управлять краном должен ковалифицированный сотрудник. Кран и вспомогательное оборудование должны быть проверены перед использованием. Для крана и оборудования должен быть разработани применяться график планового технического обслуживания. Работой должен руководить один человек. Должны использоваться согласованные сигналы руками. При необходимости должна использоваться радиосвязь. Персонал должен носить каски, защитные ботинки, защитные очки и другие соответствующие СИЗ. На палубу должен допускаться только необходимый персонал. Оборудование для ликвидации разливов должно быть в свободном доступе. Должны быть проведен предварительный инструктаж. . На стреле крана должны быть четко обозначены SWL и другие соответствующие данные. Выключатель крана должен работать. Необходимо регулярно проводить инструктажи и обучения  использования крана. При необходимости должны быть разработаны планы подъема.</t>
  </si>
  <si>
    <t>Травмы персонала из-за жары. Истощение и поскальзывание/походы по скользким (мокрым/покрытым наледью) поверхностям. Обледенение оборудования. Повреждение оборудования. Окружающая среда.</t>
  </si>
  <si>
    <t>Работа в жарких/холодных/ветреных/снежных/дождевых погодных условиях и ночью.</t>
  </si>
  <si>
    <t xml:space="preserve">Необходимо регулярно проводить инструктажи о работе в плохую погоду. Система планового технического обслуживания должна быть внедрена и хорошо выполняться. Должны быть установлены погодные параметры для безопасной работы в море.  Одевайтесь правильно в соответствии с погодой. Не допускайте промокания одежды. Ограничьте время пребывания на улице, регулярно меняйте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Обеспечьте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лебедок и других поверхностей. </t>
  </si>
  <si>
    <t>Травмы персонала из-за жары. Истощение и поскальзывание/движение по скользким (мокрым/обледеневшим) поверхностям. Обледенение оборудования.</t>
  </si>
  <si>
    <t xml:space="preserve">Необходимо регулярно проводить беседы о особенностях работы в плохую погоду.  Система планового технического обслуживания должна быть внедрена и  выполняться.  Должны быть установлены погодные параметры для безопасной работы в море.  Правильно одевайтесь в соответствии с погодными условиями. По возможности усключите промокание одежды. Ограничьте время пребывания на улице, регулярно меняйте вахтенный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и лебедок. </t>
  </si>
  <si>
    <t>Человек за бортом</t>
  </si>
  <si>
    <t xml:space="preserve">Травма с потерей рабочего времени. Не исключен летальный исход. </t>
  </si>
  <si>
    <t>Защитные ограждения / леера и т.д. должны поддерживаться в хорошем состоянии.  Боковые ворота должны быть закрыты, когда вы находитесь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</si>
  <si>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АНАЛИЗ СТЕПЕНИ ОПАСНОСТИ РАБОТ (АСОР)</t>
  </si>
  <si>
    <t xml:space="preserve"> 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</si>
  <si>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</si>
  <si>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</si>
  <si>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</si>
  <si>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</si>
  <si>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</si>
  <si>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</si>
  <si>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</si>
  <si>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</si>
  <si>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</si>
  <si>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</si>
  <si>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</si>
  <si>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</si>
  <si>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</si>
  <si>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</si>
  <si>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</si>
  <si>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</si>
  <si>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</si>
  <si>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</si>
  <si>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</si>
  <si>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</si>
  <si>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</si>
  <si>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</si>
  <si>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</si>
  <si>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Возрастающая вероятность</t>
  </si>
  <si>
    <t>Последствия</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</si>
  <si>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</si>
  <si>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</si>
  <si>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</si>
  <si>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</si>
  <si>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</si>
  <si>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</si>
  <si>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</si>
  <si>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Происходило в Компании в прошлом году или более одного раза в год в сфере морских судов обеспечения (на берегу или в плавании)</t>
  </si>
  <si>
    <t xml:space="preserve"> Крайне маловероятно</t>
  </si>
  <si>
    <t xml:space="preserve"> Маловероятно</t>
  </si>
  <si>
    <t xml:space="preserve"> Возможно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</si>
  <si>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</si>
  <si>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</si>
  <si>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</si>
  <si>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</si>
  <si>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</si>
  <si>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</si>
  <si>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</si>
  <si>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</si>
  <si>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</si>
  <si>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Задержка 1–12 часов</t>
  </si>
  <si>
    <t xml:space="preserve"> Травма, ведущая к потере трудоспособности или к частичной нетрудоспособности</t>
  </si>
  <si>
    <t xml:space="preserve"> Умеренное воздействие
10 литров - 1 баррель</t>
  </si>
  <si>
    <t>Умеренное повреждение 
&lt;50.000€ / евро</t>
  </si>
  <si>
    <t>Умеренное негативное воздействие</t>
  </si>
  <si>
    <t>Задержка 12–48 часов</t>
  </si>
  <si>
    <t>Постоянная утрата трудоспособности или летальный исход</t>
  </si>
  <si>
    <t>Значительное воздействие
1-10  баррелей</t>
  </si>
  <si>
    <t>Значительное повреждение 
&lt;500.000€ / евро</t>
  </si>
  <si>
    <t>Значительное негативное воздействие</t>
  </si>
  <si>
    <t>Задержка 48 часов – 7 дней</t>
  </si>
  <si>
    <t>Более 1 смертельного случая</t>
  </si>
  <si>
    <t xml:space="preserve"> Сильное воздействие
&gt; 10 баррелей</t>
  </si>
  <si>
    <t xml:space="preserve"> Обширное повреждение
&gt; 500.000€ / евро</t>
  </si>
  <si>
    <t>Сильное негативное воздействие</t>
  </si>
  <si>
    <t>Задержка более 7 дней</t>
  </si>
  <si>
    <t xml:space="preserve">Работа в жарких/холодных/ветреных/снежных/дождевых погодных условиях и ночью. </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</si>
  <si>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</si>
  <si>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r>
      <rPr>
        <i/>
        <sz val="10"/>
        <color rgb="FF000000"/>
        <rFont val="Arial"/>
        <family val="2"/>
        <charset val="204"/>
      </rPr>
      <t>Необходимо</t>
    </r>
    <r>
      <rPr>
        <sz val="10"/>
        <color rgb="FF000000"/>
        <rFont val="Arial"/>
        <family val="2"/>
        <charset val="204"/>
      </rPr>
      <t xml:space="preserve"> проверить следующие пункты:</t>
    </r>
  </si>
  <si>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</si>
  <si>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</si>
  <si>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Неконтролируемое движение судов при швартовке у причала или к другому судну.</t>
  </si>
  <si>
    <t>Травмы персонала в результате скольжения, падения или падения между судами. Повреждение трапа или перил в результате движения судна. Потеря рабочего времени. Не исключена более серьезная травма. Повреждение трапа/перил, требующее ремонта или замены. Повреждение оборудования. Окружающая среда.</t>
  </si>
  <si>
    <t>Необходимо использовать достаточное количество швартовых линий, чтобы предотвратить «навал» судов друг на друга.  Погрузка/разгрузка должна производиться только после подтверждения капитаном, что судно находится в безопасности. Капитан должен оценить погодные условия перед переходом. Во время погрузочных работ весь персонал должен быть одет в спасательные жилеты.  Спасательное оборудование должно быть на месте. Следите за движением судна и выбирайте подходящий момент для переноса оборудования вручную или с помощью крана.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</si>
</sst>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6"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6"/>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b/>
      <sz val="8.5"/>
      <name val="Arial"/>
      <family val="2"/>
      <charset val="204"/>
    </font>
    <font>
      <sz val="8"/>
      <color rgb="FF006666"/>
      <name val="Arial Black"/>
      <family val="2"/>
      <charset val="204"/>
    </font>
    <font>
      <sz val="8"/>
      <color rgb="FF333399"/>
      <name val="Arial Black"/>
      <family val="2"/>
      <charset val="204"/>
    </font>
    <font>
      <b/>
      <sz val="12"/>
      <name val="Verdana"/>
      <family val="2"/>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8">
    <xf numFmtId="0" fontId="0" fillId="0" borderId="0" xfId="0"/>
    <xf numFmtId="0" fontId="13" fillId="2" borderId="0" xfId="0" applyFont="1" applyFill="1"/>
    <xf numFmtId="0" fontId="17" fillId="2" borderId="0" xfId="0" applyFont="1" applyFill="1" applyBorder="1" applyAlignment="1">
      <alignment horizontal="right" vertical="center"/>
    </xf>
    <xf numFmtId="0" fontId="0" fillId="2" borderId="0" xfId="0" applyFill="1" applyAlignment="1">
      <alignment vertical="center" wrapText="1"/>
    </xf>
    <xf numFmtId="0" fontId="16" fillId="2" borderId="0" xfId="0" applyFont="1" applyFill="1" applyBorder="1" applyAlignment="1">
      <alignment vertical="center"/>
    </xf>
    <xf numFmtId="0" fontId="2"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20" fillId="3" borderId="5" xfId="0" applyFont="1" applyFill="1" applyBorder="1" applyAlignment="1">
      <alignment horizontal="justify" vertical="top" wrapText="1"/>
    </xf>
    <xf numFmtId="0" fontId="0" fillId="2" borderId="0" xfId="0" applyFill="1"/>
    <xf numFmtId="0" fontId="18" fillId="0" borderId="6" xfId="0" applyFont="1" applyBorder="1" applyAlignment="1">
      <alignment horizontal="center" vertical="top" wrapText="1"/>
    </xf>
    <xf numFmtId="0" fontId="22" fillId="0" borderId="1" xfId="0" applyFont="1" applyBorder="1" applyAlignment="1">
      <alignment horizontal="center" vertical="center" wrapText="1"/>
    </xf>
    <xf numFmtId="0" fontId="22" fillId="0" borderId="7" xfId="0" applyFont="1" applyBorder="1" applyAlignment="1">
      <alignment horizontal="center" vertical="center" wrapText="1"/>
    </xf>
    <xf numFmtId="0" fontId="27" fillId="2" borderId="0"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7" fillId="4" borderId="10" xfId="0" applyFont="1" applyFill="1" applyBorder="1" applyAlignment="1">
      <alignment horizontal="center" vertical="center" wrapText="1"/>
    </xf>
    <xf numFmtId="0" fontId="27" fillId="4" borderId="11"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3"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8" fillId="4" borderId="11"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15"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11" fillId="2" borderId="0" xfId="0" applyFont="1" applyFill="1" applyAlignment="1">
      <alignment horizontal="left" vertical="center"/>
    </xf>
    <xf numFmtId="0" fontId="19" fillId="2" borderId="0" xfId="0" applyFont="1" applyFill="1" applyBorder="1" applyAlignment="1">
      <alignment horizontal="center" wrapText="1"/>
    </xf>
    <xf numFmtId="0" fontId="22" fillId="2" borderId="0" xfId="0" applyFont="1" applyFill="1" applyBorder="1" applyAlignment="1">
      <alignment horizontal="center" vertical="center" wrapText="1"/>
    </xf>
    <xf numFmtId="0" fontId="9" fillId="2" borderId="0" xfId="0" applyFont="1" applyFill="1" applyAlignment="1">
      <alignment horizontal="left" vertical="center"/>
    </xf>
    <xf numFmtId="0" fontId="3" fillId="2" borderId="0" xfId="0" applyFont="1" applyFill="1" applyBorder="1" applyAlignment="1">
      <alignment horizontal="left" vertical="center" indent="1"/>
    </xf>
    <xf numFmtId="0" fontId="0" fillId="2" borderId="0" xfId="0" applyFill="1" applyBorder="1" applyAlignment="1">
      <alignment vertical="center" wrapText="1"/>
    </xf>
    <xf numFmtId="0" fontId="26" fillId="2" borderId="18" xfId="0" applyFont="1" applyFill="1" applyBorder="1" applyAlignment="1">
      <alignment horizontal="center"/>
    </xf>
    <xf numFmtId="0" fontId="26"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6"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0" xfId="0" applyFont="1" applyFill="1" applyBorder="1" applyAlignment="1">
      <alignment wrapText="1"/>
    </xf>
    <xf numFmtId="0" fontId="5" fillId="2" borderId="29" xfId="0" applyFont="1" applyFill="1" applyBorder="1" applyAlignment="1">
      <alignment wrapText="1"/>
    </xf>
    <xf numFmtId="0" fontId="32" fillId="8" borderId="19" xfId="0" applyFont="1" applyFill="1" applyBorder="1" applyAlignment="1">
      <alignment horizontal="center"/>
    </xf>
    <xf numFmtId="0" fontId="33" fillId="8" borderId="19" xfId="0" applyFont="1" applyFill="1" applyBorder="1" applyAlignment="1">
      <alignment horizontal="left" vertical="center" indent="1"/>
    </xf>
    <xf numFmtId="0" fontId="29" fillId="8" borderId="19" xfId="0" applyFont="1" applyFill="1" applyBorder="1" applyAlignment="1">
      <alignment vertical="center"/>
    </xf>
    <xf numFmtId="0" fontId="29" fillId="8" borderId="19" xfId="0" applyFont="1" applyFill="1" applyBorder="1" applyAlignment="1">
      <alignment horizontal="left" vertical="center"/>
    </xf>
    <xf numFmtId="0" fontId="29" fillId="8" borderId="20" xfId="0" applyFont="1" applyFill="1" applyBorder="1" applyAlignment="1" applyProtection="1">
      <alignment horizontal="right" vertical="center"/>
    </xf>
    <xf numFmtId="0" fontId="4" fillId="2" borderId="8"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1" xfId="0" applyFont="1" applyFill="1" applyBorder="1" applyAlignment="1">
      <alignment horizontal="center" vertical="center" textRotation="90" wrapText="1"/>
    </xf>
    <xf numFmtId="0" fontId="25" fillId="8" borderId="1" xfId="0" applyFont="1" applyFill="1" applyBorder="1" applyAlignment="1">
      <alignment horizontal="righ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vertical="center" wrapText="1"/>
    </xf>
    <xf numFmtId="0" fontId="9" fillId="2" borderId="14" xfId="0" applyFont="1" applyFill="1" applyBorder="1" applyAlignment="1">
      <alignment horizontal="left" vertical="center"/>
    </xf>
    <xf numFmtId="0" fontId="9" fillId="2" borderId="21" xfId="0" applyFont="1" applyFill="1" applyBorder="1" applyAlignment="1">
      <alignment horizontal="left" vertical="center"/>
    </xf>
    <xf numFmtId="0" fontId="9" fillId="2" borderId="22" xfId="0" applyFont="1" applyFill="1" applyBorder="1" applyAlignment="1">
      <alignment horizontal="left" vertical="center"/>
    </xf>
    <xf numFmtId="0" fontId="20" fillId="3" borderId="5" xfId="0" applyFont="1" applyFill="1" applyBorder="1" applyAlignment="1">
      <alignment horizontal="center" vertical="center" wrapText="1"/>
    </xf>
    <xf numFmtId="0" fontId="18"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25" fillId="8"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left" vertical="center" wrapText="1" shrinkToFit="1"/>
      <protection locked="0"/>
    </xf>
    <xf numFmtId="0" fontId="34" fillId="0" borderId="4" xfId="0" applyFont="1" applyBorder="1" applyAlignment="1" applyProtection="1">
      <alignment horizontal="left" vertical="center" wrapText="1"/>
      <protection locked="0"/>
    </xf>
    <xf numFmtId="0" fontId="34" fillId="0" borderId="1" xfId="0" applyFont="1" applyBorder="1" applyAlignment="1" applyProtection="1">
      <alignment horizontal="left" vertical="center" wrapText="1"/>
      <protection locked="0"/>
    </xf>
    <xf numFmtId="0" fontId="31" fillId="8" borderId="18" xfId="0" applyFont="1" applyFill="1" applyBorder="1" applyAlignment="1">
      <alignment vertical="center"/>
    </xf>
    <xf numFmtId="0" fontId="31" fillId="8" borderId="19" xfId="0" applyFont="1" applyFill="1" applyBorder="1" applyAlignment="1">
      <alignment vertical="center"/>
    </xf>
    <xf numFmtId="0" fontId="9" fillId="0" borderId="1" xfId="0" applyFont="1" applyBorder="1" applyAlignment="1" applyProtection="1">
      <alignment horizontal="left" vertical="center" wrapText="1"/>
      <protection locked="0"/>
    </xf>
    <xf numFmtId="0" fontId="41" fillId="0" borderId="1" xfId="0" applyFont="1" applyBorder="1" applyAlignment="1" applyProtection="1">
      <alignment horizontal="left" vertical="center" wrapText="1"/>
      <protection locked="0"/>
    </xf>
    <xf numFmtId="0" fontId="11" fillId="2" borderId="28" xfId="0" applyFont="1" applyFill="1" applyBorder="1" applyAlignment="1" applyProtection="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28" xfId="0" applyFont="1" applyFill="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42" fillId="8" borderId="17" xfId="0" applyFont="1" applyFill="1" applyBorder="1" applyAlignment="1">
      <alignment horizontal="left" vertical="center" wrapText="1"/>
    </xf>
    <xf numFmtId="0" fontId="30" fillId="8" borderId="17" xfId="0" applyFont="1" applyFill="1" applyBorder="1" applyAlignment="1">
      <alignment horizontal="left" vertical="center" wrapText="1"/>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17" fillId="2" borderId="28" xfId="0" applyFont="1" applyFill="1" applyBorder="1" applyAlignment="1">
      <alignment horizontal="center" vertical="center"/>
    </xf>
    <xf numFmtId="0" fontId="17" fillId="2" borderId="0" xfId="0" applyFont="1" applyFill="1" applyBorder="1" applyAlignment="1">
      <alignment horizontal="center" vertical="center"/>
    </xf>
    <xf numFmtId="0" fontId="17" fillId="2" borderId="29" xfId="0" applyFont="1" applyFill="1" applyBorder="1" applyAlignment="1">
      <alignment horizontal="center" vertical="center"/>
    </xf>
    <xf numFmtId="0" fontId="29" fillId="8" borderId="8" xfId="0" applyFont="1" applyFill="1" applyBorder="1" applyAlignment="1">
      <alignment horizontal="center" vertical="center" wrapText="1"/>
    </xf>
    <xf numFmtId="0" fontId="29" fillId="8" borderId="17"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39" fillId="2" borderId="18" xfId="0" applyFont="1" applyFill="1" applyBorder="1" applyAlignment="1" applyProtection="1">
      <alignment horizontal="center" vertical="center" wrapText="1"/>
    </xf>
    <xf numFmtId="0" fontId="12" fillId="2" borderId="20" xfId="0" applyFont="1" applyFill="1" applyBorder="1" applyAlignment="1" applyProtection="1">
      <alignment horizontal="center" vertical="center"/>
    </xf>
    <xf numFmtId="0" fontId="12" fillId="2" borderId="28" xfId="0" applyFont="1" applyFill="1" applyBorder="1" applyAlignment="1" applyProtection="1">
      <alignment horizontal="center" vertical="center"/>
    </xf>
    <xf numFmtId="0" fontId="12" fillId="2" borderId="29" xfId="0" applyFont="1" applyFill="1" applyBorder="1" applyAlignment="1" applyProtection="1">
      <alignment horizontal="center" vertical="center"/>
    </xf>
    <xf numFmtId="0" fontId="12" fillId="2" borderId="14" xfId="0" applyFont="1" applyFill="1" applyBorder="1" applyAlignment="1" applyProtection="1">
      <alignment horizontal="center" vertical="center"/>
    </xf>
    <xf numFmtId="0" fontId="12" fillId="2" borderId="22" xfId="0" applyFont="1" applyFill="1" applyBorder="1" applyAlignment="1" applyProtection="1">
      <alignment horizontal="center" vertical="center"/>
    </xf>
    <xf numFmtId="0" fontId="37"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37"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4" fillId="8" borderId="8" xfId="0" applyFont="1" applyFill="1" applyBorder="1" applyAlignment="1">
      <alignment horizontal="left" vertical="center" wrapText="1"/>
    </xf>
    <xf numFmtId="0" fontId="24" fillId="8" borderId="17" xfId="0" applyFont="1" applyFill="1" applyBorder="1" applyAlignment="1">
      <alignment horizontal="left" vertical="center" wrapText="1"/>
    </xf>
    <xf numFmtId="0" fontId="24" fillId="8" borderId="4" xfId="0" applyFont="1" applyFill="1" applyBorder="1" applyAlignment="1">
      <alignment horizontal="left" vertical="center" wrapText="1"/>
    </xf>
    <xf numFmtId="0" fontId="0" fillId="2" borderId="17" xfId="0" applyFill="1" applyBorder="1" applyAlignment="1" applyProtection="1">
      <alignment horizontal="left" vertical="center" wrapText="1"/>
      <protection locked="0"/>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36"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8" xfId="0" applyFont="1" applyFill="1" applyBorder="1" applyAlignment="1">
      <alignment horizontal="left" vertical="center" wrapText="1"/>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24" fillId="8" borderId="8" xfId="0" applyFont="1" applyFill="1" applyBorder="1" applyAlignment="1">
      <alignment vertical="center" wrapText="1"/>
    </xf>
    <xf numFmtId="0" fontId="24" fillId="8" borderId="4" xfId="0" applyFont="1" applyFill="1" applyBorder="1" applyAlignment="1">
      <alignment vertical="center" wrapText="1"/>
    </xf>
    <xf numFmtId="0" fontId="24" fillId="8" borderId="18"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8" borderId="20" xfId="0" applyFont="1" applyFill="1" applyBorder="1" applyAlignment="1">
      <alignment horizontal="center" vertical="center" wrapText="1"/>
    </xf>
    <xf numFmtId="0" fontId="24" fillId="8" borderId="14" xfId="0" applyFont="1" applyFill="1" applyBorder="1" applyAlignment="1">
      <alignment horizontal="center" vertical="center" wrapText="1"/>
    </xf>
    <xf numFmtId="0" fontId="24" fillId="8" borderId="21" xfId="0" applyFont="1" applyFill="1" applyBorder="1" applyAlignment="1">
      <alignment horizontal="center" vertical="center" wrapText="1"/>
    </xf>
    <xf numFmtId="0" fontId="24" fillId="8" borderId="22" xfId="0" applyFont="1" applyFill="1" applyBorder="1" applyAlignment="1">
      <alignment horizontal="center" vertical="center" wrapText="1"/>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25" fillId="8" borderId="8" xfId="0" applyFont="1" applyFill="1" applyBorder="1" applyAlignment="1">
      <alignment horizontal="right" vertical="center" wrapText="1"/>
    </xf>
    <xf numFmtId="0" fontId="25" fillId="8" borderId="4" xfId="0" applyFont="1" applyFill="1" applyBorder="1" applyAlignment="1">
      <alignment horizontal="right" vertical="center" wrapText="1"/>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14" fontId="25" fillId="8" borderId="8" xfId="0" applyNumberFormat="1" applyFont="1" applyFill="1" applyBorder="1" applyAlignment="1">
      <alignment horizontal="center" vertical="center" wrapText="1"/>
    </xf>
    <xf numFmtId="14" fontId="25" fillId="8" borderId="17" xfId="0" applyNumberFormat="1" applyFont="1" applyFill="1" applyBorder="1" applyAlignment="1">
      <alignment horizontal="center" vertical="center" wrapText="1"/>
    </xf>
    <xf numFmtId="14" fontId="25" fillId="8" borderId="4" xfId="0" applyNumberFormat="1"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19" fillId="0" borderId="39" xfId="0" applyFont="1" applyBorder="1" applyAlignment="1">
      <alignment horizontal="center" vertical="center" wrapText="1"/>
    </xf>
    <xf numFmtId="0" fontId="0" fillId="0" borderId="31" xfId="0" applyBorder="1" applyAlignment="1">
      <alignment horizontal="center" vertical="center" wrapText="1"/>
    </xf>
    <xf numFmtId="0" fontId="15" fillId="2" borderId="18" xfId="0" applyFont="1" applyFill="1" applyBorder="1" applyAlignment="1">
      <alignment horizontal="center"/>
    </xf>
    <xf numFmtId="0" fontId="15" fillId="0" borderId="20" xfId="0" applyFont="1" applyBorder="1" applyAlignment="1">
      <alignment horizontal="center"/>
    </xf>
    <xf numFmtId="0" fontId="15" fillId="2" borderId="28" xfId="0" applyFont="1" applyFill="1" applyBorder="1" applyAlignment="1">
      <alignment horizontal="center" vertical="center"/>
    </xf>
    <xf numFmtId="0" fontId="15" fillId="0" borderId="29" xfId="0" applyFont="1" applyBorder="1" applyAlignment="1">
      <alignment horizontal="center" vertical="center"/>
    </xf>
    <xf numFmtId="0" fontId="15" fillId="2" borderId="14" xfId="0" applyFont="1" applyFill="1" applyBorder="1" applyAlignment="1">
      <alignment horizontal="center" vertical="center" wrapText="1"/>
    </xf>
    <xf numFmtId="0" fontId="15" fillId="0" borderId="22" xfId="0" applyFont="1" applyBorder="1" applyAlignment="1">
      <alignment horizontal="center" vertical="center" wrapText="1"/>
    </xf>
    <xf numFmtId="0" fontId="9" fillId="2" borderId="28" xfId="0" applyFont="1" applyFill="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19" fillId="0" borderId="36" xfId="0" applyFont="1" applyBorder="1" applyAlignment="1">
      <alignment horizontal="center" vertical="center" wrapText="1"/>
    </xf>
    <xf numFmtId="0" fontId="0" fillId="0" borderId="37" xfId="0" applyBorder="1" applyAlignment="1">
      <alignment horizontal="center" vertical="center" wrapText="1"/>
    </xf>
    <xf numFmtId="0" fontId="19"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0" fontId="40" fillId="2" borderId="18" xfId="0" applyFont="1" applyFill="1" applyBorder="1" applyAlignment="1" applyProtection="1">
      <alignment horizontal="center" vertical="center" wrapText="1"/>
    </xf>
    <xf numFmtId="0" fontId="40" fillId="2" borderId="19" xfId="0" applyFont="1" applyFill="1" applyBorder="1" applyAlignment="1" applyProtection="1">
      <alignment horizontal="center" vertical="center" wrapText="1"/>
    </xf>
    <xf numFmtId="0" fontId="40" fillId="2" borderId="20" xfId="0" applyFont="1" applyFill="1" applyBorder="1" applyAlignment="1" applyProtection="1">
      <alignment horizontal="center" vertical="center" wrapText="1"/>
    </xf>
    <xf numFmtId="0" fontId="40" fillId="2" borderId="28" xfId="0" applyFont="1" applyFill="1" applyBorder="1" applyAlignment="1" applyProtection="1">
      <alignment horizontal="center" vertical="center" wrapText="1"/>
    </xf>
    <xf numFmtId="0" fontId="40" fillId="2" borderId="0" xfId="0" applyFont="1" applyFill="1" applyBorder="1" applyAlignment="1" applyProtection="1">
      <alignment horizontal="center" vertical="center" wrapText="1"/>
    </xf>
    <xf numFmtId="0" fontId="40" fillId="2" borderId="29" xfId="0" applyFont="1" applyFill="1" applyBorder="1" applyAlignment="1" applyProtection="1">
      <alignment horizontal="center" vertical="center" wrapText="1"/>
    </xf>
    <xf numFmtId="0" fontId="40" fillId="2" borderId="14" xfId="0" applyFont="1" applyFill="1" applyBorder="1" applyAlignment="1" applyProtection="1">
      <alignment horizontal="center" vertical="center" wrapText="1"/>
    </xf>
    <xf numFmtId="0" fontId="40" fillId="2" borderId="21" xfId="0" applyFont="1" applyFill="1" applyBorder="1" applyAlignment="1" applyProtection="1">
      <alignment horizontal="center" vertical="center" wrapText="1"/>
    </xf>
    <xf numFmtId="0" fontId="40" fillId="2" borderId="22" xfId="0" applyFont="1" applyFill="1" applyBorder="1" applyAlignment="1" applyProtection="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38" fillId="3" borderId="6" xfId="0" applyFont="1" applyFill="1" applyBorder="1" applyAlignment="1">
      <alignment horizontal="center" textRotation="90" wrapText="1"/>
    </xf>
    <xf numFmtId="0" fontId="14" fillId="3" borderId="23" xfId="0" applyFont="1" applyFill="1" applyBorder="1" applyAlignment="1">
      <alignment horizontal="center" textRotation="90" wrapText="1"/>
    </xf>
    <xf numFmtId="0" fontId="14" fillId="3" borderId="24" xfId="0" applyFont="1" applyFill="1" applyBorder="1" applyAlignment="1">
      <alignment horizontal="center" textRotation="90" wrapText="1"/>
    </xf>
    <xf numFmtId="0" fontId="43" fillId="2" borderId="8" xfId="0" applyFont="1" applyFill="1" applyBorder="1" applyAlignment="1">
      <alignment horizontal="left" vertical="center" wrapText="1"/>
    </xf>
    <xf numFmtId="0" fontId="45" fillId="2" borderId="17" xfId="0" applyFont="1" applyFill="1" applyBorder="1" applyAlignment="1">
      <alignment horizontal="left" vertical="center" wrapText="1"/>
    </xf>
    <xf numFmtId="0" fontId="45" fillId="2" borderId="4" xfId="0" applyFont="1" applyFill="1" applyBorder="1" applyAlignment="1">
      <alignment horizontal="left"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19</xdr:row>
      <xdr:rowOff>0</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7884583"/>
          <a:ext cx="2930525" cy="476250"/>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НИЗКИЙ РИСК</a:t>
          </a:r>
        </a:p>
        <a:p>
          <a:pPr algn="l" rtl="0">
            <a:lnSpc>
              <a:spcPts val="1100"/>
            </a:lnSpc>
          </a:pPr>
          <a:endParaRPr lang="en-GB" sz="1100"/>
        </a:p>
      </xdr:txBody>
    </xdr:sp>
    <xdr:clientData/>
  </xdr:twoCellAnchor>
  <xdr:twoCellAnchor>
    <xdr:from>
      <xdr:col>0</xdr:col>
      <xdr:colOff>28575</xdr:colOff>
      <xdr:row>19</xdr:row>
      <xdr:rowOff>105833</xdr:rowOff>
    </xdr:from>
    <xdr:to>
      <xdr:col>4</xdr:col>
      <xdr:colOff>2117</xdr:colOff>
      <xdr:row>23</xdr:row>
      <xdr:rowOff>10582</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466666"/>
          <a:ext cx="2921000" cy="767291"/>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УМЕРЕННЫЙ РИСК</a:t>
          </a:r>
        </a:p>
        <a:p>
          <a:pPr algn="l" rtl="0">
            <a:lnSpc>
              <a:spcPts val="1100"/>
            </a:lnSpc>
          </a:pPr>
          <a:endParaRPr lang="en-GB" sz="1100"/>
        </a:p>
      </xdr:txBody>
    </xdr:sp>
    <xdr:clientData/>
  </xdr:twoCellAnchor>
  <xdr:twoCellAnchor>
    <xdr:from>
      <xdr:col>0</xdr:col>
      <xdr:colOff>2117</xdr:colOff>
      <xdr:row>23</xdr:row>
      <xdr:rowOff>116417</xdr:rowOff>
    </xdr:from>
    <xdr:to>
      <xdr:col>4</xdr:col>
      <xdr:colOff>2117</xdr:colOff>
      <xdr:row>26</xdr:row>
      <xdr:rowOff>31750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339792"/>
          <a:ext cx="2947458" cy="973666"/>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ВЫСОКИЙ РИСК</a:t>
          </a:r>
        </a:p>
        <a:p>
          <a:pPr algn="l" rtl="0">
            <a:lnSpc>
              <a:spcPts val="1100"/>
            </a:lnSpc>
          </a:pPr>
          <a:endParaRPr lang="en-GB" sz="1100"/>
        </a:p>
      </xdr:txBody>
    </xdr:sp>
    <xdr:clientData/>
  </xdr:twoCellAnchor>
  <xdr:twoCellAnchor>
    <xdr:from>
      <xdr:col>4</xdr:col>
      <xdr:colOff>2116</xdr:colOff>
      <xdr:row>15</xdr:row>
      <xdr:rowOff>85727</xdr:rowOff>
    </xdr:from>
    <xdr:to>
      <xdr:col>10</xdr:col>
      <xdr:colOff>0</xdr:colOff>
      <xdr:row>19</xdr:row>
      <xdr:rowOff>63501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49574" y="7811560"/>
          <a:ext cx="5792259" cy="612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19</xdr:row>
      <xdr:rowOff>5292</xdr:rowOff>
    </xdr:from>
    <xdr:to>
      <xdr:col>21</xdr:col>
      <xdr:colOff>27215</xdr:colOff>
      <xdr:row>23</xdr:row>
      <xdr:rowOff>127000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976790" y="8366125"/>
          <a:ext cx="5792258" cy="984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r>
            <a:rPr lang="en-GB"/>
            <a:t> </a:t>
          </a:r>
          <a:endParaRPr lang="en-GB" sz="1100"/>
        </a:p>
      </xdr:txBody>
    </xdr:sp>
    <xdr:clientData/>
  </xdr:twoCellAnchor>
  <xdr:twoCellAnchor>
    <xdr:from>
      <xdr:col>4</xdr:col>
      <xdr:colOff>2117</xdr:colOff>
      <xdr:row>23</xdr:row>
      <xdr:rowOff>52917</xdr:rowOff>
    </xdr:from>
    <xdr:to>
      <xdr:col>10</xdr:col>
      <xdr:colOff>0</xdr:colOff>
      <xdr:row>27</xdr:row>
      <xdr:rowOff>5292</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949575" y="9276292"/>
          <a:ext cx="5792258" cy="11694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27</xdr:row>
      <xdr:rowOff>31751</xdr:rowOff>
    </xdr:from>
    <xdr:to>
      <xdr:col>9</xdr:col>
      <xdr:colOff>843643</xdr:colOff>
      <xdr:row>29</xdr:row>
      <xdr:rowOff>137585</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891518" y="10472209"/>
          <a:ext cx="5762625" cy="423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8"/>
  <sheetViews>
    <sheetView tabSelected="1" zoomScale="80" zoomScaleNormal="80" zoomScalePageLayoutView="70" workbookViewId="0">
      <selection activeCell="C7" sqref="C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17" t="s">
        <v>72</v>
      </c>
      <c r="B1" s="118"/>
      <c r="C1" s="52"/>
      <c r="D1" s="53"/>
      <c r="E1" s="53"/>
      <c r="F1" s="53"/>
      <c r="G1" s="54"/>
      <c r="H1" s="55"/>
      <c r="I1" s="1"/>
      <c r="J1" s="60"/>
      <c r="K1" s="54"/>
      <c r="L1" s="54"/>
      <c r="M1" s="61"/>
      <c r="Q1" s="14" t="s">
        <v>13</v>
      </c>
      <c r="R1" s="14" t="s">
        <v>14</v>
      </c>
      <c r="S1" s="14" t="s">
        <v>15</v>
      </c>
      <c r="T1" s="14" t="s">
        <v>16</v>
      </c>
      <c r="U1" s="14" t="s">
        <v>17</v>
      </c>
      <c r="V1" s="14" t="s">
        <v>18</v>
      </c>
      <c r="W1" s="18" t="s">
        <v>19</v>
      </c>
    </row>
    <row r="2" spans="1:23" ht="25.5" customHeight="1" x14ac:dyDescent="0.2">
      <c r="A2" s="119"/>
      <c r="B2" s="120"/>
      <c r="C2" s="56"/>
      <c r="D2" s="50"/>
      <c r="E2" s="50"/>
      <c r="F2" s="50"/>
      <c r="G2" s="50"/>
      <c r="H2" s="57"/>
      <c r="I2" s="4"/>
      <c r="J2" s="97" t="s">
        <v>0</v>
      </c>
      <c r="K2" s="98"/>
      <c r="L2" s="98"/>
      <c r="M2" s="99"/>
      <c r="P2" s="7"/>
      <c r="Q2" s="14">
        <v>1</v>
      </c>
      <c r="R2" s="14" t="s">
        <v>20</v>
      </c>
      <c r="S2" s="15"/>
      <c r="T2" s="15"/>
      <c r="U2" s="15"/>
      <c r="V2" s="15"/>
      <c r="W2" s="18" t="s">
        <v>21</v>
      </c>
    </row>
    <row r="3" spans="1:23" ht="25.5" customHeight="1" x14ac:dyDescent="0.2">
      <c r="A3" s="119"/>
      <c r="B3" s="120"/>
      <c r="C3" s="111" t="s">
        <v>107</v>
      </c>
      <c r="D3" s="112"/>
      <c r="E3" s="112"/>
      <c r="F3" s="112"/>
      <c r="G3" s="112"/>
      <c r="H3" s="113"/>
      <c r="J3" s="100" t="s">
        <v>90</v>
      </c>
      <c r="K3" s="98"/>
      <c r="L3" s="98"/>
      <c r="M3" s="99"/>
      <c r="P3" s="7"/>
      <c r="Q3" s="14">
        <v>2</v>
      </c>
      <c r="R3" s="14" t="s">
        <v>22</v>
      </c>
      <c r="S3" s="15"/>
      <c r="T3" s="15"/>
      <c r="U3" s="15"/>
      <c r="V3" s="15"/>
      <c r="W3" s="18" t="s">
        <v>23</v>
      </c>
    </row>
    <row r="4" spans="1:23" ht="33.75" customHeight="1" x14ac:dyDescent="0.2">
      <c r="A4" s="121"/>
      <c r="B4" s="122"/>
      <c r="C4" s="59"/>
      <c r="D4" s="51"/>
      <c r="E4" s="51"/>
      <c r="F4" s="51"/>
      <c r="G4" s="51"/>
      <c r="H4" s="58"/>
      <c r="J4" s="101" t="s">
        <v>91</v>
      </c>
      <c r="K4" s="102"/>
      <c r="L4" s="102"/>
      <c r="M4" s="103"/>
      <c r="P4" s="7"/>
      <c r="Q4" s="14"/>
      <c r="R4" s="14"/>
      <c r="S4" s="15"/>
      <c r="T4" s="15"/>
      <c r="U4" s="15"/>
      <c r="V4" s="15"/>
      <c r="W4" s="18"/>
    </row>
    <row r="5" spans="1:23" ht="8.4499999999999993" customHeight="1" x14ac:dyDescent="0.2">
      <c r="A5" s="62"/>
      <c r="B5" s="62"/>
      <c r="C5" s="62"/>
      <c r="D5" s="62"/>
      <c r="E5" s="62"/>
      <c r="F5" s="62"/>
      <c r="G5" s="62"/>
      <c r="H5" s="62"/>
      <c r="I5" s="62"/>
      <c r="J5" s="62"/>
      <c r="K5" s="62"/>
      <c r="L5" s="62"/>
      <c r="M5" s="62"/>
      <c r="P5" s="7"/>
      <c r="Q5" s="14">
        <v>3</v>
      </c>
      <c r="R5" s="14" t="s">
        <v>24</v>
      </c>
      <c r="S5" s="15"/>
      <c r="T5" s="15"/>
      <c r="U5" s="15"/>
      <c r="V5" s="15"/>
      <c r="W5" s="18" t="s">
        <v>25</v>
      </c>
    </row>
    <row r="6" spans="1:23" s="7" customFormat="1" ht="57" customHeight="1" x14ac:dyDescent="0.2">
      <c r="A6" s="164" t="s">
        <v>73</v>
      </c>
      <c r="B6" s="165"/>
      <c r="C6" s="87"/>
      <c r="D6" s="63"/>
      <c r="E6" s="63"/>
      <c r="F6" s="64"/>
      <c r="G6" s="78" t="s">
        <v>77</v>
      </c>
      <c r="H6" s="90" t="s">
        <v>79</v>
      </c>
      <c r="I6" s="63"/>
      <c r="J6" s="89" t="s">
        <v>92</v>
      </c>
      <c r="K6" s="104" t="s">
        <v>80</v>
      </c>
      <c r="L6" s="104"/>
      <c r="M6" s="105"/>
      <c r="Q6" s="14">
        <v>4</v>
      </c>
      <c r="R6" s="14" t="s">
        <v>26</v>
      </c>
      <c r="S6" s="14"/>
      <c r="T6" s="14"/>
      <c r="U6" s="14"/>
      <c r="V6" s="14"/>
    </row>
    <row r="7" spans="1:23" s="7" customFormat="1" ht="36" customHeight="1" x14ac:dyDescent="0.2">
      <c r="A7" s="164" t="s">
        <v>74</v>
      </c>
      <c r="B7" s="165"/>
      <c r="C7" s="86"/>
      <c r="D7" s="172" t="s">
        <v>75</v>
      </c>
      <c r="E7" s="173"/>
      <c r="F7" s="174"/>
      <c r="G7" s="78" t="s">
        <v>76</v>
      </c>
      <c r="H7" s="166" t="s">
        <v>78</v>
      </c>
      <c r="I7" s="167"/>
      <c r="J7" s="168"/>
      <c r="K7" s="172" t="s">
        <v>81</v>
      </c>
      <c r="L7" s="173"/>
      <c r="M7" s="174"/>
      <c r="Q7" s="14">
        <v>5</v>
      </c>
      <c r="R7" s="14" t="s">
        <v>27</v>
      </c>
      <c r="S7" s="14"/>
      <c r="T7" s="14"/>
      <c r="U7" s="14"/>
      <c r="V7" s="14"/>
    </row>
    <row r="8" spans="1:23" ht="158.25" customHeight="1" x14ac:dyDescent="0.2">
      <c r="A8" s="76" t="s">
        <v>82</v>
      </c>
      <c r="B8" s="76" t="s">
        <v>83</v>
      </c>
      <c r="C8" s="76" t="s">
        <v>84</v>
      </c>
      <c r="D8" s="77" t="s">
        <v>85</v>
      </c>
      <c r="E8" s="77" t="s">
        <v>86</v>
      </c>
      <c r="F8" s="77" t="s">
        <v>87</v>
      </c>
      <c r="G8" s="114" t="s">
        <v>88</v>
      </c>
      <c r="H8" s="115"/>
      <c r="I8" s="115"/>
      <c r="J8" s="116"/>
      <c r="K8" s="77" t="s">
        <v>85</v>
      </c>
      <c r="L8" s="77" t="s">
        <v>86</v>
      </c>
      <c r="M8" s="77" t="s">
        <v>89</v>
      </c>
      <c r="Q8" s="14"/>
      <c r="R8" s="15"/>
      <c r="S8" s="15"/>
      <c r="T8" s="15"/>
      <c r="U8" s="15" t="str">
        <f>IF(L11="","",IF(N11="","",IF(M11+O11&lt;=5,$W$14,IF(M11+O11=6,$W$15,IF(M11+O11=7,$W$15,IF(M11+O11&gt;=8,$W$16,""))))))</f>
        <v/>
      </c>
      <c r="V8" s="15"/>
    </row>
    <row r="9" spans="1:23" ht="153.6" customHeight="1" x14ac:dyDescent="0.2">
      <c r="A9" s="88">
        <v>1</v>
      </c>
      <c r="B9" s="95" t="s">
        <v>93</v>
      </c>
      <c r="C9" s="91" t="s">
        <v>94</v>
      </c>
      <c r="D9" s="20">
        <v>4</v>
      </c>
      <c r="E9" s="13" t="s">
        <v>1</v>
      </c>
      <c r="F9" s="75" t="str">
        <f t="shared" ref="F9:F14" si="0">IF(D9="","",(IF(E9="","",IF(U9&lt;=1,"",IF(U9&lt;=5,$W$2,IF(U9=6,$W$3,IF(U9=7,$W$3,IF(U9&gt;=8,$W$5,""))))))))</f>
        <v>M</v>
      </c>
      <c r="G9" s="108" t="s">
        <v>95</v>
      </c>
      <c r="H9" s="109"/>
      <c r="I9" s="109"/>
      <c r="J9" s="110"/>
      <c r="K9" s="20">
        <v>1</v>
      </c>
      <c r="L9" s="13" t="s">
        <v>2</v>
      </c>
      <c r="M9" s="65" t="str">
        <f t="shared" ref="M9:M14" si="1">IF(K9="","",(IF(L9="","",IF(V9&lt;=1,"",IF(V9&lt;=5,$W$2,IF(V9=6,$W$3,IF(V9=7,$W$3,IF(V9&gt;=8,$W$5,""))))))))</f>
        <v>L</v>
      </c>
      <c r="Q9" s="14"/>
      <c r="R9" s="15"/>
      <c r="S9" s="19">
        <f>IF(E9="A",1,IF(E9="B",2,IF(E9="C",3,IF(E9="D",4,IF(E9="E",5,"")))))</f>
        <v>3</v>
      </c>
      <c r="T9" s="19">
        <f t="shared" ref="T9:T14" si="2">IF(L9="A",1,IF(L9="B",2,IF(L9="C",3,IF(L9="D",4,IF(L9="E",5,"")))))</f>
        <v>3</v>
      </c>
      <c r="U9" s="15">
        <f>D9+S9</f>
        <v>7</v>
      </c>
      <c r="V9" s="15">
        <f t="shared" ref="V9:V14" si="3">K9+T9</f>
        <v>4</v>
      </c>
    </row>
    <row r="10" spans="1:23" ht="250.5" customHeight="1" x14ac:dyDescent="0.2">
      <c r="A10" s="88">
        <v>2</v>
      </c>
      <c r="B10" s="95" t="s">
        <v>96</v>
      </c>
      <c r="C10" s="92" t="s">
        <v>97</v>
      </c>
      <c r="D10" s="20">
        <v>3</v>
      </c>
      <c r="E10" s="13" t="s">
        <v>3</v>
      </c>
      <c r="F10" s="75" t="str">
        <f t="shared" si="0"/>
        <v>M</v>
      </c>
      <c r="G10" s="108" t="s">
        <v>98</v>
      </c>
      <c r="H10" s="109"/>
      <c r="I10" s="109"/>
      <c r="J10" s="110"/>
      <c r="K10" s="20">
        <v>1</v>
      </c>
      <c r="L10" s="13" t="s">
        <v>4</v>
      </c>
      <c r="M10" s="65" t="str">
        <f t="shared" si="1"/>
        <v>L</v>
      </c>
      <c r="Q10" s="14"/>
      <c r="R10" s="15"/>
      <c r="S10" s="19">
        <f>IF(E10="A",1,IF(E10="B",2,IF(E10="C",3,IF(E10="D",4,IF(E10="E",5,"")))))</f>
        <v>3</v>
      </c>
      <c r="T10" s="19">
        <f t="shared" si="2"/>
        <v>3</v>
      </c>
      <c r="U10" s="15">
        <f>D10+S10</f>
        <v>6</v>
      </c>
      <c r="V10" s="15">
        <f t="shared" si="3"/>
        <v>4</v>
      </c>
    </row>
    <row r="11" spans="1:23" ht="237.75" customHeight="1" x14ac:dyDescent="0.2">
      <c r="A11" s="88">
        <v>3</v>
      </c>
      <c r="B11" s="96" t="s">
        <v>100</v>
      </c>
      <c r="C11" s="92" t="s">
        <v>99</v>
      </c>
      <c r="D11" s="20">
        <v>4</v>
      </c>
      <c r="E11" s="13" t="s">
        <v>24</v>
      </c>
      <c r="F11" s="75" t="str">
        <f t="shared" si="0"/>
        <v>M</v>
      </c>
      <c r="G11" s="108" t="s">
        <v>101</v>
      </c>
      <c r="H11" s="109"/>
      <c r="I11" s="109"/>
      <c r="J11" s="110"/>
      <c r="K11" s="20">
        <v>2</v>
      </c>
      <c r="L11" s="13" t="s">
        <v>5</v>
      </c>
      <c r="M11" s="65" t="str">
        <f t="shared" si="1"/>
        <v>L</v>
      </c>
      <c r="Q11" s="14"/>
      <c r="R11" s="15"/>
      <c r="S11" s="19">
        <f>IF(E11="A",1,IF(E11="B",2,IF(E11="C",3,IF(E11="D",4,IF(E11="E",5,"")))))</f>
        <v>3</v>
      </c>
      <c r="T11" s="19">
        <f t="shared" si="2"/>
        <v>2</v>
      </c>
      <c r="U11" s="15">
        <f>D11+S11</f>
        <v>7</v>
      </c>
      <c r="V11" s="15">
        <f t="shared" si="3"/>
        <v>4</v>
      </c>
    </row>
    <row r="12" spans="1:23" ht="147.75" customHeight="1" x14ac:dyDescent="0.2">
      <c r="A12" s="88">
        <v>4</v>
      </c>
      <c r="B12" s="96" t="s">
        <v>175</v>
      </c>
      <c r="C12" s="92" t="s">
        <v>176</v>
      </c>
      <c r="D12" s="20">
        <v>3</v>
      </c>
      <c r="E12" s="13" t="s">
        <v>22</v>
      </c>
      <c r="F12" s="75" t="s">
        <v>23</v>
      </c>
      <c r="G12" s="108" t="s">
        <v>177</v>
      </c>
      <c r="H12" s="109"/>
      <c r="I12" s="109"/>
      <c r="J12" s="110"/>
      <c r="K12" s="20">
        <v>1</v>
      </c>
      <c r="L12" s="13" t="s">
        <v>22</v>
      </c>
      <c r="M12" s="65" t="s">
        <v>21</v>
      </c>
      <c r="Q12" s="14"/>
      <c r="R12" s="15"/>
      <c r="S12" s="19"/>
      <c r="T12" s="19"/>
      <c r="U12" s="15"/>
      <c r="V12" s="15"/>
    </row>
    <row r="13" spans="1:23" ht="225" customHeight="1" x14ac:dyDescent="0.2">
      <c r="A13" s="88">
        <v>5</v>
      </c>
      <c r="B13" s="96" t="s">
        <v>170</v>
      </c>
      <c r="C13" s="92" t="s">
        <v>102</v>
      </c>
      <c r="D13" s="20">
        <v>3</v>
      </c>
      <c r="E13" s="13" t="s">
        <v>24</v>
      </c>
      <c r="F13" s="75" t="s">
        <v>23</v>
      </c>
      <c r="G13" s="108" t="s">
        <v>103</v>
      </c>
      <c r="H13" s="109"/>
      <c r="I13" s="109"/>
      <c r="J13" s="110"/>
      <c r="K13" s="20"/>
      <c r="L13" s="13"/>
      <c r="M13" s="65"/>
      <c r="Q13" s="14"/>
      <c r="R13" s="15"/>
      <c r="S13" s="19"/>
      <c r="T13" s="19"/>
      <c r="U13" s="15"/>
      <c r="V13" s="15"/>
    </row>
    <row r="14" spans="1:23" ht="93.75" customHeight="1" x14ac:dyDescent="0.2">
      <c r="A14" s="88">
        <v>6</v>
      </c>
      <c r="B14" s="96" t="s">
        <v>104</v>
      </c>
      <c r="C14" s="92" t="s">
        <v>105</v>
      </c>
      <c r="D14" s="20">
        <v>3</v>
      </c>
      <c r="E14" s="13" t="s">
        <v>6</v>
      </c>
      <c r="F14" s="75" t="str">
        <f t="shared" si="0"/>
        <v>M</v>
      </c>
      <c r="G14" s="108" t="s">
        <v>106</v>
      </c>
      <c r="H14" s="109"/>
      <c r="I14" s="109"/>
      <c r="J14" s="110"/>
      <c r="K14" s="20">
        <v>1</v>
      </c>
      <c r="L14" s="13" t="s">
        <v>7</v>
      </c>
      <c r="M14" s="65" t="str">
        <f t="shared" si="1"/>
        <v>L</v>
      </c>
      <c r="Q14" s="14"/>
      <c r="R14" s="15"/>
      <c r="S14" s="19">
        <f>IF(E14="A",1,IF(E14="B",2,IF(E14="C",3,IF(E14="D",4,IF(E14="E",5,"")))))</f>
        <v>4</v>
      </c>
      <c r="T14" s="19">
        <f t="shared" si="2"/>
        <v>4</v>
      </c>
      <c r="U14" s="15">
        <f>D14+S14</f>
        <v>7</v>
      </c>
      <c r="V14" s="15">
        <f t="shared" si="3"/>
        <v>5</v>
      </c>
    </row>
    <row r="15" spans="1:23" ht="42" customHeight="1" x14ac:dyDescent="0.2">
      <c r="A15" s="169" t="s">
        <v>171</v>
      </c>
      <c r="B15" s="170"/>
      <c r="C15" s="170"/>
      <c r="D15" s="170"/>
      <c r="E15" s="170"/>
      <c r="F15" s="170"/>
      <c r="G15" s="170"/>
      <c r="H15" s="170"/>
      <c r="I15" s="170"/>
      <c r="J15" s="170"/>
      <c r="K15" s="170"/>
      <c r="L15" s="170"/>
      <c r="M15" s="171"/>
      <c r="Q15" s="14"/>
      <c r="R15" s="15"/>
      <c r="S15" s="19" t="e">
        <f>IF(#REF!="A",1,IF(#REF!="B",2,IF(#REF!="C",3,IF(#REF!="D",4,IF(#REF!="E",5,"")))))</f>
        <v>#REF!</v>
      </c>
      <c r="T15" s="19" t="e">
        <f>IF(#REF!="A",1,IF(#REF!="B",2,IF(#REF!="C",3,IF(#REF!="D",4,IF(#REF!="E",5,"")))))</f>
        <v>#REF!</v>
      </c>
      <c r="U15" s="15" t="e">
        <f>#REF!+S15</f>
        <v>#REF!</v>
      </c>
      <c r="V15" s="15" t="e">
        <f>#REF!+T15</f>
        <v>#REF!</v>
      </c>
    </row>
    <row r="16" spans="1:23" ht="36.6" customHeight="1" x14ac:dyDescent="0.2">
      <c r="A16" s="106" t="s">
        <v>108</v>
      </c>
      <c r="B16" s="107"/>
      <c r="C16" s="107"/>
      <c r="D16" s="107"/>
      <c r="E16" s="107"/>
      <c r="F16" s="107"/>
      <c r="G16" s="107"/>
      <c r="H16" s="107"/>
      <c r="I16" s="107"/>
      <c r="J16" s="107"/>
      <c r="K16" s="107"/>
      <c r="L16" s="107"/>
      <c r="M16" s="107"/>
      <c r="Q16" s="14"/>
      <c r="R16" s="15"/>
      <c r="S16" s="19" t="e">
        <f>IF(#REF!="A",1,IF(#REF!="B",2,IF(#REF!="C",3,IF(#REF!="D",4,IF(#REF!="E",5,"")))))</f>
        <v>#REF!</v>
      </c>
      <c r="T16" s="19" t="e">
        <f>IF(#REF!="A",1,IF(#REF!="B",2,IF(#REF!="C",3,IF(#REF!="D",4,IF(#REF!="E",5,"")))))</f>
        <v>#REF!</v>
      </c>
      <c r="U16" s="15" t="e">
        <f>#REF!+S16</f>
        <v>#REF!</v>
      </c>
      <c r="V16" s="15" t="e">
        <f>#REF!+T16</f>
        <v>#REF!</v>
      </c>
    </row>
    <row r="17" spans="1:22" ht="25.5" customHeight="1" x14ac:dyDescent="0.35">
      <c r="A17" s="93" t="s">
        <v>109</v>
      </c>
      <c r="B17" s="94"/>
      <c r="C17" s="94"/>
      <c r="D17" s="70"/>
      <c r="E17" s="70"/>
      <c r="F17" s="70"/>
      <c r="G17" s="71"/>
      <c r="H17" s="72"/>
      <c r="I17" s="72"/>
      <c r="J17" s="72"/>
      <c r="K17" s="72"/>
      <c r="L17" s="73"/>
      <c r="M17" s="74"/>
      <c r="Q17" s="14"/>
      <c r="R17" s="15"/>
      <c r="S17" s="19" t="e">
        <f>IF(#REF!="A",1,IF(#REF!="B",2,IF(#REF!="C",3,IF(#REF!="D",4,IF(#REF!="E",5,"")))))</f>
        <v>#REF!</v>
      </c>
      <c r="T17" s="19" t="e">
        <f>IF(#REF!="A",1,IF(#REF!="B",2,IF(#REF!="C",3,IF(#REF!="D",4,IF(#REF!="E",5,"")))))</f>
        <v>#REF!</v>
      </c>
      <c r="U17" s="15" t="e">
        <f>#REF!+S17</f>
        <v>#REF!</v>
      </c>
      <c r="V17" s="15" t="e">
        <f>#REF!+T17</f>
        <v>#REF!</v>
      </c>
    </row>
    <row r="18" spans="1:22" ht="45" customHeight="1" x14ac:dyDescent="0.2">
      <c r="A18" s="141" t="s">
        <v>110</v>
      </c>
      <c r="B18" s="142"/>
      <c r="C18" s="142"/>
      <c r="D18" s="142"/>
      <c r="E18" s="142"/>
      <c r="F18" s="142"/>
      <c r="G18" s="142"/>
      <c r="H18" s="142"/>
      <c r="I18" s="142"/>
      <c r="J18" s="142"/>
      <c r="K18" s="142"/>
      <c r="L18" s="142"/>
      <c r="M18" s="143"/>
      <c r="Q18" s="14"/>
      <c r="R18" s="15"/>
      <c r="S18" s="19" t="e">
        <f>IF(#REF!="A",1,IF(#REF!="B",2,IF(#REF!="C",3,IF(#REF!="D",4,IF(#REF!="E",5,"")))))</f>
        <v>#REF!</v>
      </c>
      <c r="T18" s="19" t="e">
        <f>IF(#REF!="A",1,IF(#REF!="B",2,IF(#REF!="C",3,IF(#REF!="D",4,IF(#REF!="E",5,"")))))</f>
        <v>#REF!</v>
      </c>
      <c r="U18" s="15" t="e">
        <f>#REF!+S18</f>
        <v>#REF!</v>
      </c>
      <c r="V18" s="15" t="e">
        <f>#REF!+T18</f>
        <v>#REF!</v>
      </c>
    </row>
    <row r="19" spans="1:22" ht="45" customHeight="1" x14ac:dyDescent="0.2">
      <c r="A19" s="215" t="s">
        <v>172</v>
      </c>
      <c r="B19" s="216"/>
      <c r="C19" s="216"/>
      <c r="D19" s="216"/>
      <c r="E19" s="216"/>
      <c r="F19" s="216"/>
      <c r="G19" s="216"/>
      <c r="H19" s="216"/>
      <c r="I19" s="216"/>
      <c r="J19" s="216"/>
      <c r="K19" s="216"/>
      <c r="L19" s="216"/>
      <c r="M19" s="217"/>
      <c r="Q19" s="14"/>
      <c r="R19" s="15"/>
      <c r="S19" s="19" t="e">
        <f>IF(#REF!="A",1,IF(#REF!="B",2,IF(#REF!="C",3,IF(#REF!="D",4,IF(#REF!="E",5,"")))))</f>
        <v>#REF!</v>
      </c>
      <c r="T19" s="19" t="e">
        <f>IF(#REF!="A",1,IF(#REF!="B",2,IF(#REF!="C",3,IF(#REF!="D",4,IF(#REF!="E",5,"")))))</f>
        <v>#REF!</v>
      </c>
      <c r="U19" s="15" t="e">
        <f>#REF!+S19</f>
        <v>#REF!</v>
      </c>
      <c r="V19" s="15" t="e">
        <f>#REF!+T19</f>
        <v>#REF!</v>
      </c>
    </row>
    <row r="20" spans="1:22" ht="45" customHeight="1" x14ac:dyDescent="0.2">
      <c r="A20" s="66">
        <v>1</v>
      </c>
      <c r="B20" s="126" t="s">
        <v>111</v>
      </c>
      <c r="C20" s="144"/>
      <c r="D20" s="144"/>
      <c r="E20" s="144"/>
      <c r="F20" s="144"/>
      <c r="G20" s="144"/>
      <c r="H20" s="144"/>
      <c r="I20" s="144"/>
      <c r="J20" s="144"/>
      <c r="K20" s="144"/>
      <c r="L20" s="144"/>
      <c r="M20" s="145"/>
      <c r="Q20" s="14"/>
      <c r="R20" s="15"/>
      <c r="S20" s="19" t="e">
        <f>IF(#REF!="A",1,IF(#REF!="B",2,IF(#REF!="C",3,IF(#REF!="D",4,IF(#REF!="E",5,"")))))</f>
        <v>#REF!</v>
      </c>
      <c r="T20" s="19" t="e">
        <f>IF(#REF!="A",1,IF(#REF!="B",2,IF(#REF!="C",3,IF(#REF!="D",4,IF(#REF!="E",5,"")))))</f>
        <v>#REF!</v>
      </c>
      <c r="U20" s="15" t="e">
        <f>#REF!+S20</f>
        <v>#REF!</v>
      </c>
      <c r="V20" s="15" t="e">
        <f>#REF!+T20</f>
        <v>#REF!</v>
      </c>
    </row>
    <row r="21" spans="1:22" ht="45" customHeight="1" x14ac:dyDescent="0.2">
      <c r="A21" s="66">
        <v>2</v>
      </c>
      <c r="B21" s="123" t="s">
        <v>112</v>
      </c>
      <c r="C21" s="124"/>
      <c r="D21" s="124"/>
      <c r="E21" s="124"/>
      <c r="F21" s="124"/>
      <c r="G21" s="124"/>
      <c r="H21" s="124"/>
      <c r="I21" s="124"/>
      <c r="J21" s="124"/>
      <c r="K21" s="124"/>
      <c r="L21" s="124"/>
      <c r="M21" s="125"/>
      <c r="Q21" s="14"/>
      <c r="R21" s="15"/>
      <c r="S21" s="19" t="e">
        <f>IF(#REF!="A",1,IF(#REF!="B",2,IF(#REF!="C",3,IF(#REF!="D",4,IF(#REF!="E",5,"")))))</f>
        <v>#REF!</v>
      </c>
      <c r="T21" s="19" t="e">
        <f>IF(#REF!="A",1,IF(#REF!="B",2,IF(#REF!="C",3,IF(#REF!="D",4,IF(#REF!="E",5,"")))))</f>
        <v>#REF!</v>
      </c>
      <c r="U21" s="15" t="e">
        <f>#REF!+S21</f>
        <v>#REF!</v>
      </c>
      <c r="V21" s="15" t="e">
        <f>#REF!+T21</f>
        <v>#REF!</v>
      </c>
    </row>
    <row r="22" spans="1:22" ht="45" customHeight="1" x14ac:dyDescent="0.2">
      <c r="A22" s="66">
        <v>3</v>
      </c>
      <c r="B22" s="146" t="s">
        <v>8</v>
      </c>
      <c r="C22" s="144"/>
      <c r="D22" s="144"/>
      <c r="E22" s="144"/>
      <c r="F22" s="144"/>
      <c r="G22" s="144"/>
      <c r="H22" s="144"/>
      <c r="I22" s="144"/>
      <c r="J22" s="144"/>
      <c r="K22" s="144"/>
      <c r="L22" s="144"/>
      <c r="M22" s="145"/>
      <c r="Q22" s="14"/>
      <c r="R22" s="15"/>
      <c r="S22" s="19" t="e">
        <f>IF(#REF!="A",1,IF(#REF!="B",2,IF(#REF!="C",3,IF(#REF!="D",4,IF(#REF!="E",5,"")))))</f>
        <v>#REF!</v>
      </c>
      <c r="T22" s="19" t="e">
        <f>IF(#REF!="A",1,IF(#REF!="B",2,IF(#REF!="C",3,IF(#REF!="D",4,IF(#REF!="E",5,"")))))</f>
        <v>#REF!</v>
      </c>
      <c r="U22" s="15" t="e">
        <f>#REF!+S22</f>
        <v>#REF!</v>
      </c>
      <c r="V22" s="15" t="e">
        <f>#REF!+T22</f>
        <v>#REF!</v>
      </c>
    </row>
    <row r="23" spans="1:22" ht="45" customHeight="1" x14ac:dyDescent="0.2">
      <c r="A23" s="66">
        <v>4</v>
      </c>
      <c r="B23" s="123" t="s">
        <v>113</v>
      </c>
      <c r="C23" s="124"/>
      <c r="D23" s="124"/>
      <c r="E23" s="124"/>
      <c r="F23" s="124"/>
      <c r="G23" s="124"/>
      <c r="H23" s="124"/>
      <c r="I23" s="124"/>
      <c r="J23" s="124"/>
      <c r="K23" s="124"/>
      <c r="L23" s="124"/>
      <c r="M23" s="125"/>
      <c r="Q23" s="14"/>
      <c r="R23" s="15"/>
      <c r="S23" s="19" t="e">
        <f>IF(#REF!="A",1,IF(#REF!="B",2,IF(#REF!="C",3,IF(#REF!="D",4,IF(#REF!="E",5,"")))))</f>
        <v>#REF!</v>
      </c>
      <c r="T23" s="19" t="e">
        <f>IF(#REF!="A",1,IF(#REF!="B",2,IF(#REF!="C",3,IF(#REF!="D",4,IF(#REF!="E",5,"")))))</f>
        <v>#REF!</v>
      </c>
      <c r="U23" s="15" t="e">
        <f>#REF!+S23</f>
        <v>#REF!</v>
      </c>
      <c r="V23" s="15" t="e">
        <f>#REF!+T23</f>
        <v>#REF!</v>
      </c>
    </row>
    <row r="24" spans="1:22" ht="45" customHeight="1" x14ac:dyDescent="0.2">
      <c r="A24" s="66">
        <v>5</v>
      </c>
      <c r="B24" s="126" t="s">
        <v>114</v>
      </c>
      <c r="C24" s="127"/>
      <c r="D24" s="127"/>
      <c r="E24" s="127"/>
      <c r="F24" s="127"/>
      <c r="G24" s="127"/>
      <c r="H24" s="127"/>
      <c r="I24" s="127"/>
      <c r="J24" s="127"/>
      <c r="K24" s="127"/>
      <c r="L24" s="127"/>
      <c r="M24" s="128"/>
      <c r="Q24" s="14"/>
      <c r="R24" s="15"/>
      <c r="S24" s="19" t="e">
        <f>IF(#REF!="A",1,IF(#REF!="B",2,IF(#REF!="C",3,IF(#REF!="D",4,IF(#REF!="E",5,"")))))</f>
        <v>#REF!</v>
      </c>
      <c r="T24" s="19" t="e">
        <f>IF(#REF!="A",1,IF(#REF!="B",2,IF(#REF!="C",3,IF(#REF!="D",4,IF(#REF!="E",5,"")))))</f>
        <v>#REF!</v>
      </c>
      <c r="U24" s="15" t="e">
        <f>#REF!+S24</f>
        <v>#REF!</v>
      </c>
      <c r="V24" s="15" t="e">
        <f>#REF!+T24</f>
        <v>#REF!</v>
      </c>
    </row>
    <row r="25" spans="1:22" ht="45" customHeight="1" x14ac:dyDescent="0.2">
      <c r="A25" s="66">
        <v>6</v>
      </c>
      <c r="B25" s="123" t="s">
        <v>115</v>
      </c>
      <c r="C25" s="124"/>
      <c r="D25" s="124"/>
      <c r="E25" s="124"/>
      <c r="F25" s="124"/>
      <c r="G25" s="124"/>
      <c r="H25" s="124"/>
      <c r="I25" s="124"/>
      <c r="J25" s="124"/>
      <c r="K25" s="124"/>
      <c r="L25" s="124"/>
      <c r="M25" s="125"/>
    </row>
    <row r="26" spans="1:22" ht="45" customHeight="1" x14ac:dyDescent="0.2">
      <c r="A26" s="66">
        <v>7</v>
      </c>
      <c r="B26" s="126" t="s">
        <v>116</v>
      </c>
      <c r="C26" s="127"/>
      <c r="D26" s="127"/>
      <c r="E26" s="127"/>
      <c r="F26" s="127"/>
      <c r="G26" s="127"/>
      <c r="H26" s="127"/>
      <c r="I26" s="127"/>
      <c r="J26" s="127"/>
      <c r="K26" s="127"/>
      <c r="L26" s="127"/>
      <c r="M26" s="128"/>
    </row>
    <row r="27" spans="1:22" ht="45" customHeight="1" x14ac:dyDescent="0.2">
      <c r="A27" s="66">
        <v>8</v>
      </c>
      <c r="B27" s="126" t="s">
        <v>173</v>
      </c>
      <c r="C27" s="127"/>
      <c r="D27" s="127"/>
      <c r="E27" s="127"/>
      <c r="F27" s="127"/>
      <c r="G27" s="127"/>
      <c r="H27" s="127"/>
      <c r="I27" s="127"/>
      <c r="J27" s="127"/>
      <c r="K27" s="127"/>
      <c r="L27" s="127"/>
      <c r="M27" s="128"/>
    </row>
    <row r="28" spans="1:22" ht="45" customHeight="1" x14ac:dyDescent="0.2">
      <c r="A28" s="66">
        <v>9</v>
      </c>
      <c r="B28" s="126" t="s">
        <v>174</v>
      </c>
      <c r="C28" s="127"/>
      <c r="D28" s="127"/>
      <c r="E28" s="127"/>
      <c r="F28" s="127"/>
      <c r="G28" s="127"/>
      <c r="H28" s="127"/>
      <c r="I28" s="127"/>
      <c r="J28" s="127"/>
      <c r="K28" s="127"/>
      <c r="L28" s="127"/>
      <c r="M28" s="128"/>
    </row>
    <row r="29" spans="1:22" ht="45" customHeight="1" x14ac:dyDescent="0.2">
      <c r="A29" s="66">
        <v>10</v>
      </c>
      <c r="B29" s="129" t="s">
        <v>117</v>
      </c>
      <c r="C29" s="130"/>
      <c r="D29" s="130"/>
      <c r="E29" s="130"/>
      <c r="F29" s="130"/>
      <c r="G29" s="130"/>
      <c r="H29" s="130"/>
      <c r="I29" s="130"/>
      <c r="J29" s="130"/>
      <c r="K29" s="130"/>
      <c r="L29" s="130"/>
      <c r="M29" s="131"/>
    </row>
    <row r="30" spans="1:22" s="9" customFormat="1" ht="45" customHeight="1" x14ac:dyDescent="0.2">
      <c r="A30" s="66">
        <v>11</v>
      </c>
      <c r="B30" s="126" t="s">
        <v>118</v>
      </c>
      <c r="C30" s="127"/>
      <c r="D30" s="127"/>
      <c r="E30" s="127"/>
      <c r="F30" s="127"/>
      <c r="G30" s="127"/>
      <c r="H30" s="127"/>
      <c r="I30" s="127"/>
      <c r="J30" s="127"/>
      <c r="K30" s="127"/>
      <c r="L30" s="127"/>
      <c r="M30" s="128"/>
      <c r="N30" s="8"/>
      <c r="O30" s="8"/>
      <c r="P30" s="8"/>
      <c r="Q30" s="16"/>
    </row>
    <row r="31" spans="1:22" s="9" customFormat="1" ht="45" customHeight="1" x14ac:dyDescent="0.2">
      <c r="A31" s="66">
        <v>12</v>
      </c>
      <c r="B31" s="126" t="s">
        <v>119</v>
      </c>
      <c r="C31" s="127"/>
      <c r="D31" s="127"/>
      <c r="E31" s="127"/>
      <c r="F31" s="127"/>
      <c r="G31" s="127"/>
      <c r="H31" s="127"/>
      <c r="I31" s="127"/>
      <c r="J31" s="127"/>
      <c r="K31" s="127"/>
      <c r="L31" s="127"/>
      <c r="M31" s="128"/>
      <c r="N31" s="8"/>
      <c r="O31" s="8"/>
      <c r="P31" s="8"/>
      <c r="Q31" s="16"/>
    </row>
    <row r="32" spans="1:22" s="9" customFormat="1" ht="45" customHeight="1" x14ac:dyDescent="0.2">
      <c r="A32" s="66">
        <v>13</v>
      </c>
      <c r="B32" s="126" t="s">
        <v>120</v>
      </c>
      <c r="C32" s="127"/>
      <c r="D32" s="127"/>
      <c r="E32" s="127"/>
      <c r="F32" s="127"/>
      <c r="G32" s="127"/>
      <c r="H32" s="127"/>
      <c r="I32" s="127"/>
      <c r="J32" s="127"/>
      <c r="K32" s="127"/>
      <c r="L32" s="127"/>
      <c r="M32" s="128"/>
      <c r="N32" s="8"/>
      <c r="O32" s="8"/>
      <c r="P32" s="8"/>
      <c r="Q32" s="16"/>
    </row>
    <row r="33" spans="1:17" s="9" customFormat="1" ht="45" customHeight="1" x14ac:dyDescent="0.2">
      <c r="A33" s="66">
        <v>14</v>
      </c>
      <c r="B33" s="126" t="s">
        <v>121</v>
      </c>
      <c r="C33" s="127"/>
      <c r="D33" s="127"/>
      <c r="E33" s="127"/>
      <c r="F33" s="127"/>
      <c r="G33" s="127"/>
      <c r="H33" s="127"/>
      <c r="I33" s="127"/>
      <c r="J33" s="127"/>
      <c r="K33" s="127"/>
      <c r="L33" s="127"/>
      <c r="M33" s="128"/>
      <c r="N33" s="8"/>
      <c r="P33" s="8"/>
      <c r="Q33" s="16"/>
    </row>
    <row r="34" spans="1:17" s="9" customFormat="1" ht="45" customHeight="1" x14ac:dyDescent="0.2">
      <c r="A34" s="66">
        <v>15</v>
      </c>
      <c r="B34" s="126" t="s">
        <v>122</v>
      </c>
      <c r="C34" s="127"/>
      <c r="D34" s="127"/>
      <c r="E34" s="127"/>
      <c r="F34" s="127"/>
      <c r="G34" s="127"/>
      <c r="H34" s="127"/>
      <c r="I34" s="127"/>
      <c r="J34" s="127"/>
      <c r="K34" s="127"/>
      <c r="L34" s="127"/>
      <c r="M34" s="128"/>
      <c r="N34" s="8"/>
      <c r="P34" s="8"/>
      <c r="Q34" s="16"/>
    </row>
    <row r="35" spans="1:17" s="9" customFormat="1" ht="30" customHeight="1" x14ac:dyDescent="0.2">
      <c r="A35" s="147" t="s">
        <v>123</v>
      </c>
      <c r="B35" s="148"/>
      <c r="C35" s="148"/>
      <c r="D35" s="148"/>
      <c r="E35" s="148"/>
      <c r="F35" s="148"/>
      <c r="G35" s="148"/>
      <c r="H35" s="148"/>
      <c r="I35" s="148"/>
      <c r="J35" s="148"/>
      <c r="K35" s="148"/>
      <c r="L35" s="148"/>
      <c r="M35" s="149"/>
      <c r="N35" s="8"/>
      <c r="P35" s="8"/>
      <c r="Q35" s="16"/>
    </row>
    <row r="36" spans="1:17" s="9" customFormat="1" ht="15" customHeight="1" x14ac:dyDescent="0.2">
      <c r="A36" s="134" t="s">
        <v>9</v>
      </c>
      <c r="B36" s="136"/>
      <c r="C36" s="79" t="s">
        <v>10</v>
      </c>
      <c r="D36" s="134" t="s">
        <v>11</v>
      </c>
      <c r="E36" s="135"/>
      <c r="F36" s="135"/>
      <c r="G36" s="136"/>
      <c r="H36" s="134" t="s">
        <v>12</v>
      </c>
      <c r="I36" s="135"/>
      <c r="J36" s="135"/>
      <c r="K36" s="135"/>
      <c r="L36" s="135"/>
      <c r="M36" s="136"/>
      <c r="N36" s="8"/>
      <c r="P36" s="8"/>
      <c r="Q36" s="16"/>
    </row>
    <row r="37" spans="1:17" s="9" customFormat="1" ht="18" customHeight="1" x14ac:dyDescent="0.2">
      <c r="A37" s="132"/>
      <c r="B37" s="133"/>
      <c r="C37" s="6"/>
      <c r="D37" s="132"/>
      <c r="E37" s="137"/>
      <c r="F37" s="137"/>
      <c r="G37" s="133"/>
      <c r="H37" s="132"/>
      <c r="I37" s="137"/>
      <c r="J37" s="137"/>
      <c r="K37" s="137"/>
      <c r="L37" s="137"/>
      <c r="M37" s="133"/>
      <c r="N37" s="8"/>
      <c r="P37" s="8"/>
      <c r="Q37" s="16"/>
    </row>
    <row r="38" spans="1:17" s="9" customFormat="1" ht="18" customHeight="1" x14ac:dyDescent="0.2">
      <c r="A38" s="132"/>
      <c r="B38" s="133"/>
      <c r="C38" s="6"/>
      <c r="D38" s="132"/>
      <c r="E38" s="137"/>
      <c r="F38" s="137"/>
      <c r="G38" s="133"/>
      <c r="H38" s="132"/>
      <c r="I38" s="137"/>
      <c r="J38" s="137"/>
      <c r="K38" s="137"/>
      <c r="L38" s="137"/>
      <c r="M38" s="133"/>
      <c r="N38" s="8"/>
      <c r="P38" s="8"/>
      <c r="Q38" s="16"/>
    </row>
    <row r="39" spans="1:17" s="9" customFormat="1" ht="18" customHeight="1" x14ac:dyDescent="0.2">
      <c r="A39" s="132"/>
      <c r="B39" s="133"/>
      <c r="C39" s="6"/>
      <c r="D39" s="132"/>
      <c r="E39" s="137"/>
      <c r="F39" s="137"/>
      <c r="G39" s="133"/>
      <c r="H39" s="132"/>
      <c r="I39" s="137"/>
      <c r="J39" s="137"/>
      <c r="K39" s="137"/>
      <c r="L39" s="137"/>
      <c r="M39" s="133"/>
      <c r="N39" s="8"/>
      <c r="P39" s="8"/>
      <c r="Q39" s="16"/>
    </row>
    <row r="40" spans="1:17" s="9" customFormat="1" ht="18" customHeight="1" x14ac:dyDescent="0.2">
      <c r="A40" s="132"/>
      <c r="B40" s="133"/>
      <c r="C40" s="6"/>
      <c r="D40" s="132"/>
      <c r="E40" s="137"/>
      <c r="F40" s="137"/>
      <c r="G40" s="133"/>
      <c r="H40" s="132"/>
      <c r="I40" s="137"/>
      <c r="J40" s="137"/>
      <c r="K40" s="137"/>
      <c r="L40" s="137"/>
      <c r="M40" s="133"/>
      <c r="N40" s="8"/>
      <c r="P40" s="8"/>
      <c r="Q40" s="16"/>
    </row>
    <row r="41" spans="1:17" s="9" customFormat="1" ht="18" customHeight="1" x14ac:dyDescent="0.2">
      <c r="A41" s="132"/>
      <c r="B41" s="133"/>
      <c r="C41" s="6"/>
      <c r="D41" s="132"/>
      <c r="E41" s="137"/>
      <c r="F41" s="137"/>
      <c r="G41" s="133"/>
      <c r="H41" s="132"/>
      <c r="I41" s="137"/>
      <c r="J41" s="137"/>
      <c r="K41" s="137"/>
      <c r="L41" s="137"/>
      <c r="M41" s="133"/>
      <c r="N41" s="8"/>
      <c r="P41" s="8"/>
      <c r="Q41" s="16"/>
    </row>
    <row r="42" spans="1:17" s="9" customFormat="1" ht="34.5" customHeight="1" x14ac:dyDescent="0.2">
      <c r="A42" s="129" t="s">
        <v>124</v>
      </c>
      <c r="B42" s="130"/>
      <c r="C42" s="130"/>
      <c r="D42" s="130"/>
      <c r="E42" s="130"/>
      <c r="F42" s="130"/>
      <c r="G42" s="130"/>
      <c r="H42" s="130"/>
      <c r="I42" s="130"/>
      <c r="J42" s="130"/>
      <c r="K42" s="130"/>
      <c r="L42" s="130"/>
      <c r="M42" s="131"/>
      <c r="N42" s="8"/>
      <c r="P42" s="8"/>
      <c r="Q42" s="16"/>
    </row>
    <row r="43" spans="1:17" s="9" customFormat="1" ht="34.5" customHeight="1" x14ac:dyDescent="0.2">
      <c r="A43" s="150" t="s">
        <v>125</v>
      </c>
      <c r="B43" s="151"/>
      <c r="C43" s="80" t="s">
        <v>126</v>
      </c>
      <c r="D43" s="152" t="s">
        <v>127</v>
      </c>
      <c r="E43" s="153"/>
      <c r="F43" s="154"/>
      <c r="G43" s="158"/>
      <c r="H43" s="159"/>
      <c r="I43" s="159"/>
      <c r="J43" s="159"/>
      <c r="K43" s="159"/>
      <c r="L43" s="159"/>
      <c r="M43" s="160"/>
      <c r="N43" s="8"/>
      <c r="P43" s="8"/>
      <c r="Q43" s="16"/>
    </row>
    <row r="44" spans="1:17" s="9" customFormat="1" ht="20.100000000000001" customHeight="1" x14ac:dyDescent="0.2">
      <c r="A44" s="138"/>
      <c r="B44" s="140"/>
      <c r="C44" s="10"/>
      <c r="D44" s="155"/>
      <c r="E44" s="156"/>
      <c r="F44" s="157"/>
      <c r="G44" s="161"/>
      <c r="H44" s="162"/>
      <c r="I44" s="162"/>
      <c r="J44" s="162"/>
      <c r="K44" s="162"/>
      <c r="L44" s="162"/>
      <c r="M44" s="163"/>
      <c r="N44" s="8"/>
      <c r="P44" s="8"/>
      <c r="Q44" s="16"/>
    </row>
    <row r="45" spans="1:17" s="9" customFormat="1" ht="18" customHeight="1" x14ac:dyDescent="0.2">
      <c r="A45" s="67"/>
      <c r="B45" s="68"/>
      <c r="C45" s="68"/>
      <c r="D45" s="68"/>
      <c r="E45" s="68"/>
      <c r="F45" s="68"/>
      <c r="G45" s="68"/>
      <c r="H45" s="68"/>
      <c r="I45" s="68"/>
      <c r="J45" s="68"/>
      <c r="K45" s="68"/>
      <c r="L45" s="68"/>
      <c r="M45" s="69"/>
      <c r="Q45" s="17"/>
    </row>
    <row r="46" spans="1:17" ht="83.25" customHeight="1" x14ac:dyDescent="0.2">
      <c r="A46" s="175" t="s">
        <v>128</v>
      </c>
      <c r="B46" s="176"/>
      <c r="C46" s="138"/>
      <c r="D46" s="139"/>
      <c r="E46" s="139"/>
      <c r="F46" s="139"/>
      <c r="G46" s="139"/>
      <c r="H46" s="139"/>
      <c r="I46" s="139"/>
      <c r="J46" s="139"/>
      <c r="K46" s="139"/>
      <c r="L46" s="139"/>
      <c r="M46" s="140"/>
    </row>
    <row r="47" spans="1:17" ht="25.5" customHeight="1" x14ac:dyDescent="0.2">
      <c r="A47" s="147" t="s">
        <v>129</v>
      </c>
      <c r="B47" s="148"/>
      <c r="C47" s="148"/>
      <c r="D47" s="148"/>
      <c r="E47" s="148"/>
      <c r="F47" s="148"/>
      <c r="G47" s="148"/>
      <c r="H47" s="148"/>
      <c r="I47" s="148"/>
      <c r="J47" s="148"/>
      <c r="K47" s="148"/>
      <c r="L47" s="148"/>
      <c r="M47" s="149"/>
    </row>
    <row r="48" spans="1:17" ht="18.75" customHeight="1" x14ac:dyDescent="0.2"/>
    <row r="49" spans="1:13" ht="18.75" customHeight="1" x14ac:dyDescent="0.2"/>
    <row r="50" spans="1:13" ht="18.75" customHeight="1" x14ac:dyDescent="0.2"/>
    <row r="51" spans="1:13" ht="18.75" customHeight="1" x14ac:dyDescent="0.2"/>
    <row r="52" spans="1:13" ht="18.75" customHeight="1" x14ac:dyDescent="0.2"/>
    <row r="53" spans="1:13" ht="33.75" customHeight="1" x14ac:dyDescent="0.2"/>
    <row r="54" spans="1:13" ht="20.25" customHeight="1" x14ac:dyDescent="0.2"/>
    <row r="55" spans="1:13" ht="57.75" customHeight="1" x14ac:dyDescent="0.2"/>
    <row r="56" spans="1:13" s="11" customFormat="1" ht="15" customHeight="1" x14ac:dyDescent="0.2">
      <c r="A56" s="3"/>
      <c r="B56" s="3"/>
      <c r="C56" s="3"/>
      <c r="D56" s="3"/>
      <c r="E56" s="3"/>
      <c r="F56" s="3"/>
      <c r="G56" s="3"/>
      <c r="H56" s="3"/>
      <c r="I56" s="3"/>
      <c r="J56" s="3"/>
      <c r="K56" s="3"/>
      <c r="L56" s="3"/>
      <c r="M56" s="3"/>
    </row>
    <row r="57" spans="1:13" ht="119.25" customHeight="1" x14ac:dyDescent="0.2"/>
    <row r="58" spans="1:13" s="12" customFormat="1" ht="24" customHeight="1" x14ac:dyDescent="0.2">
      <c r="A58" s="3"/>
      <c r="B58" s="3"/>
      <c r="C58" s="3"/>
      <c r="D58" s="3"/>
      <c r="E58" s="3"/>
      <c r="F58" s="3"/>
      <c r="G58" s="3"/>
      <c r="H58" s="3"/>
      <c r="I58" s="3"/>
      <c r="J58" s="3"/>
      <c r="K58" s="3"/>
      <c r="L58" s="3"/>
      <c r="M58" s="3"/>
    </row>
  </sheetData>
  <sheetProtection formatCells="0" formatColumns="0" formatRows="0" insertColumns="0" insertRows="0" insertHyperlinks="0" deleteColumns="0" deleteRows="0" sort="0" autoFilter="0" pivotTables="0"/>
  <mergeCells count="64">
    <mergeCell ref="G43:M44"/>
    <mergeCell ref="A6:B6"/>
    <mergeCell ref="H7:J7"/>
    <mergeCell ref="A47:M47"/>
    <mergeCell ref="A7:B7"/>
    <mergeCell ref="A15:M15"/>
    <mergeCell ref="B28:M28"/>
    <mergeCell ref="B33:M33"/>
    <mergeCell ref="B30:M30"/>
    <mergeCell ref="B31:M31"/>
    <mergeCell ref="B32:M32"/>
    <mergeCell ref="K7:M7"/>
    <mergeCell ref="D7:F7"/>
    <mergeCell ref="D36:G36"/>
    <mergeCell ref="D37:G37"/>
    <mergeCell ref="A46:B46"/>
    <mergeCell ref="C46:M46"/>
    <mergeCell ref="A42:M42"/>
    <mergeCell ref="A18:M18"/>
    <mergeCell ref="B20:M20"/>
    <mergeCell ref="B21:M21"/>
    <mergeCell ref="B22:M22"/>
    <mergeCell ref="A35:M35"/>
    <mergeCell ref="A43:B43"/>
    <mergeCell ref="B25:M25"/>
    <mergeCell ref="A44:B44"/>
    <mergeCell ref="A19:M19"/>
    <mergeCell ref="H41:M41"/>
    <mergeCell ref="D40:G40"/>
    <mergeCell ref="D41:G41"/>
    <mergeCell ref="D43:F44"/>
    <mergeCell ref="A41:B41"/>
    <mergeCell ref="A40:B40"/>
    <mergeCell ref="A39:B39"/>
    <mergeCell ref="D39:G39"/>
    <mergeCell ref="H38:M38"/>
    <mergeCell ref="H39:M39"/>
    <mergeCell ref="H40:M40"/>
    <mergeCell ref="D38:G38"/>
    <mergeCell ref="B34:M34"/>
    <mergeCell ref="A38:B38"/>
    <mergeCell ref="H36:M36"/>
    <mergeCell ref="H37:M37"/>
    <mergeCell ref="A36:B36"/>
    <mergeCell ref="A37:B37"/>
    <mergeCell ref="B23:M23"/>
    <mergeCell ref="B24:M24"/>
    <mergeCell ref="B27:M27"/>
    <mergeCell ref="B26:M26"/>
    <mergeCell ref="B29:M29"/>
    <mergeCell ref="J2:M2"/>
    <mergeCell ref="J3:M3"/>
    <mergeCell ref="J4:M4"/>
    <mergeCell ref="K6:M6"/>
    <mergeCell ref="A16:M16"/>
    <mergeCell ref="G12:J12"/>
    <mergeCell ref="G13:J13"/>
    <mergeCell ref="C3:H3"/>
    <mergeCell ref="G14:J14"/>
    <mergeCell ref="G11:J11"/>
    <mergeCell ref="G10:J10"/>
    <mergeCell ref="G9:J9"/>
    <mergeCell ref="G8:J8"/>
    <mergeCell ref="A1:B4"/>
  </mergeCells>
  <phoneticPr fontId="0" type="noConversion"/>
  <conditionalFormatting sqref="F9:F14 M9:M14">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4 D9:D14">
      <formula1>$Q$2:$Q$7</formula1>
    </dataValidation>
    <dataValidation type="list" allowBlank="1" showInputMessage="1" showErrorMessage="1" sqref="L9:L14 E9:E14">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6"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WhiteSpace="0" view="pageLayout" workbookViewId="0">
      <selection activeCell="D2" sqref="D2:H2"/>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0" t="s">
        <v>72</v>
      </c>
      <c r="B1" s="201"/>
      <c r="C1" s="202"/>
      <c r="D1" s="52"/>
      <c r="E1" s="53"/>
      <c r="F1" s="53"/>
      <c r="G1" s="54"/>
      <c r="H1" s="55"/>
      <c r="I1" s="179" t="s">
        <v>28</v>
      </c>
      <c r="J1" s="180"/>
      <c r="O1" s="14" t="s">
        <v>47</v>
      </c>
      <c r="P1" s="14" t="s">
        <v>48</v>
      </c>
      <c r="Q1" s="14" t="s">
        <v>49</v>
      </c>
      <c r="R1" s="14" t="s">
        <v>50</v>
      </c>
      <c r="S1" s="14" t="s">
        <v>51</v>
      </c>
      <c r="T1" s="14" t="s">
        <v>52</v>
      </c>
      <c r="U1" s="18" t="s">
        <v>53</v>
      </c>
      <c r="V1" s="2"/>
    </row>
    <row r="2" spans="1:22" ht="25.5" customHeight="1" x14ac:dyDescent="0.2">
      <c r="A2" s="203"/>
      <c r="B2" s="204"/>
      <c r="C2" s="205"/>
      <c r="D2" s="185" t="s">
        <v>130</v>
      </c>
      <c r="E2" s="186"/>
      <c r="F2" s="186"/>
      <c r="G2" s="186"/>
      <c r="H2" s="187"/>
      <c r="I2" s="181" t="s">
        <v>131</v>
      </c>
      <c r="J2" s="182"/>
      <c r="N2" s="7"/>
      <c r="O2" s="14">
        <v>1</v>
      </c>
      <c r="P2" s="14" t="s">
        <v>54</v>
      </c>
      <c r="Q2" s="15"/>
      <c r="R2" s="15"/>
      <c r="S2" s="15"/>
      <c r="T2" s="15"/>
      <c r="U2" s="18" t="s">
        <v>55</v>
      </c>
      <c r="V2" s="5"/>
    </row>
    <row r="3" spans="1:22" ht="25.5" customHeight="1" x14ac:dyDescent="0.2">
      <c r="A3" s="206"/>
      <c r="B3" s="207"/>
      <c r="C3" s="208"/>
      <c r="D3" s="81"/>
      <c r="E3" s="82"/>
      <c r="F3" s="82"/>
      <c r="G3" s="82"/>
      <c r="H3" s="83"/>
      <c r="I3" s="183" t="s">
        <v>91</v>
      </c>
      <c r="J3" s="184"/>
      <c r="K3" s="49"/>
      <c r="L3" s="49"/>
      <c r="M3" s="22"/>
    </row>
    <row r="4" spans="1:22" ht="18.75" thickBot="1" x14ac:dyDescent="0.25">
      <c r="A4" s="46"/>
      <c r="B4" s="46"/>
      <c r="C4" s="46"/>
      <c r="D4" s="46"/>
      <c r="E4" s="46"/>
      <c r="F4" s="46"/>
      <c r="G4" s="46"/>
      <c r="H4" s="46"/>
      <c r="I4" s="46"/>
      <c r="J4" s="46"/>
      <c r="K4" s="46"/>
      <c r="L4" s="46"/>
      <c r="M4" s="22"/>
    </row>
    <row r="5" spans="1:22" ht="18" customHeight="1" thickBot="1" x14ac:dyDescent="0.25">
      <c r="A5" s="192" t="s">
        <v>85</v>
      </c>
      <c r="B5" s="193"/>
      <c r="C5" s="209" t="s">
        <v>133</v>
      </c>
      <c r="D5" s="210"/>
      <c r="E5" s="210"/>
      <c r="F5" s="210"/>
      <c r="G5" s="211"/>
      <c r="H5" s="209" t="s">
        <v>132</v>
      </c>
      <c r="I5" s="210"/>
      <c r="J5" s="210"/>
      <c r="K5" s="210"/>
      <c r="L5" s="211"/>
      <c r="M5" s="22"/>
    </row>
    <row r="6" spans="1:22" ht="20.25" customHeight="1" thickBot="1" x14ac:dyDescent="0.25">
      <c r="A6" s="194"/>
      <c r="B6" s="195"/>
      <c r="C6" s="212" t="s">
        <v>134</v>
      </c>
      <c r="D6" s="212" t="s">
        <v>135</v>
      </c>
      <c r="E6" s="212" t="s">
        <v>136</v>
      </c>
      <c r="F6" s="212" t="s">
        <v>137</v>
      </c>
      <c r="G6" s="212" t="s">
        <v>138</v>
      </c>
      <c r="H6" s="84" t="s">
        <v>29</v>
      </c>
      <c r="I6" s="84" t="s">
        <v>30</v>
      </c>
      <c r="J6" s="84" t="s">
        <v>31</v>
      </c>
      <c r="K6" s="21" t="s">
        <v>56</v>
      </c>
      <c r="L6" s="21" t="s">
        <v>57</v>
      </c>
      <c r="M6" s="22"/>
    </row>
    <row r="7" spans="1:22" ht="112.5" x14ac:dyDescent="0.2">
      <c r="A7" s="194"/>
      <c r="B7" s="195"/>
      <c r="C7" s="213"/>
      <c r="D7" s="213"/>
      <c r="E7" s="213"/>
      <c r="F7" s="213"/>
      <c r="G7" s="213"/>
      <c r="H7" s="85" t="s">
        <v>139</v>
      </c>
      <c r="I7" s="85" t="s">
        <v>140</v>
      </c>
      <c r="J7" s="85" t="s">
        <v>141</v>
      </c>
      <c r="K7" s="23" t="s">
        <v>58</v>
      </c>
      <c r="L7" s="23" t="s">
        <v>59</v>
      </c>
      <c r="M7" s="22"/>
    </row>
    <row r="8" spans="1:22" ht="12.75" customHeight="1" x14ac:dyDescent="0.2">
      <c r="A8" s="194"/>
      <c r="B8" s="195"/>
      <c r="C8" s="213"/>
      <c r="D8" s="213"/>
      <c r="E8" s="213"/>
      <c r="F8" s="213"/>
      <c r="G8" s="213"/>
      <c r="H8" s="198" t="s">
        <v>142</v>
      </c>
      <c r="I8" s="198" t="s">
        <v>143</v>
      </c>
      <c r="J8" s="198" t="s">
        <v>144</v>
      </c>
      <c r="K8" s="198" t="s">
        <v>60</v>
      </c>
      <c r="L8" s="198" t="s">
        <v>61</v>
      </c>
      <c r="M8" s="22"/>
    </row>
    <row r="9" spans="1:22" ht="26.1" customHeight="1" thickBot="1" x14ac:dyDescent="0.25">
      <c r="A9" s="196"/>
      <c r="B9" s="197"/>
      <c r="C9" s="214"/>
      <c r="D9" s="214"/>
      <c r="E9" s="214"/>
      <c r="F9" s="214"/>
      <c r="G9" s="214"/>
      <c r="H9" s="199"/>
      <c r="I9" s="199"/>
      <c r="J9" s="199"/>
      <c r="K9" s="199"/>
      <c r="L9" s="199"/>
      <c r="M9" s="22"/>
    </row>
    <row r="10" spans="1:22" ht="63.95" customHeight="1" x14ac:dyDescent="0.2">
      <c r="A10" s="188">
        <v>1</v>
      </c>
      <c r="B10" s="189"/>
      <c r="C10" s="38" t="s">
        <v>145</v>
      </c>
      <c r="D10" s="38" t="s">
        <v>146</v>
      </c>
      <c r="E10" s="38" t="s">
        <v>147</v>
      </c>
      <c r="F10" s="38" t="s">
        <v>148</v>
      </c>
      <c r="G10" s="39" t="s">
        <v>149</v>
      </c>
      <c r="H10" s="30" t="s">
        <v>32</v>
      </c>
      <c r="I10" s="31" t="s">
        <v>33</v>
      </c>
      <c r="J10" s="31" t="s">
        <v>34</v>
      </c>
      <c r="K10" s="40" t="s">
        <v>62</v>
      </c>
      <c r="L10" s="32" t="s">
        <v>63</v>
      </c>
      <c r="M10" s="22"/>
    </row>
    <row r="11" spans="1:22" ht="65.099999999999994" customHeight="1" x14ac:dyDescent="0.2">
      <c r="A11" s="190">
        <v>2</v>
      </c>
      <c r="B11" s="191"/>
      <c r="C11" s="24" t="s">
        <v>150</v>
      </c>
      <c r="D11" s="24" t="s">
        <v>151</v>
      </c>
      <c r="E11" s="38" t="s">
        <v>152</v>
      </c>
      <c r="F11" s="24" t="s">
        <v>153</v>
      </c>
      <c r="G11" s="28" t="s">
        <v>154</v>
      </c>
      <c r="H11" s="33" t="s">
        <v>35</v>
      </c>
      <c r="I11" s="34" t="s">
        <v>36</v>
      </c>
      <c r="J11" s="34" t="s">
        <v>37</v>
      </c>
      <c r="K11" s="35" t="s">
        <v>64</v>
      </c>
      <c r="L11" s="36" t="s">
        <v>65</v>
      </c>
      <c r="M11" s="22"/>
    </row>
    <row r="12" spans="1:22" ht="90.75" customHeight="1" x14ac:dyDescent="0.2">
      <c r="A12" s="190">
        <v>3</v>
      </c>
      <c r="B12" s="191"/>
      <c r="C12" s="24" t="s">
        <v>155</v>
      </c>
      <c r="D12" s="24" t="s">
        <v>156</v>
      </c>
      <c r="E12" s="38" t="s">
        <v>157</v>
      </c>
      <c r="F12" s="24" t="s">
        <v>158</v>
      </c>
      <c r="G12" s="28" t="s">
        <v>159</v>
      </c>
      <c r="H12" s="33" t="s">
        <v>38</v>
      </c>
      <c r="I12" s="34" t="s">
        <v>39</v>
      </c>
      <c r="J12" s="35" t="s">
        <v>40</v>
      </c>
      <c r="K12" s="35" t="s">
        <v>66</v>
      </c>
      <c r="L12" s="41" t="s">
        <v>67</v>
      </c>
      <c r="M12" s="22"/>
    </row>
    <row r="13" spans="1:22" ht="65.099999999999994" customHeight="1" x14ac:dyDescent="0.2">
      <c r="A13" s="190">
        <v>4</v>
      </c>
      <c r="B13" s="191"/>
      <c r="C13" s="24" t="s">
        <v>160</v>
      </c>
      <c r="D13" s="24" t="s">
        <v>161</v>
      </c>
      <c r="E13" s="38" t="s">
        <v>162</v>
      </c>
      <c r="F13" s="24" t="s">
        <v>163</v>
      </c>
      <c r="G13" s="28" t="s">
        <v>164</v>
      </c>
      <c r="H13" s="33" t="s">
        <v>41</v>
      </c>
      <c r="I13" s="35" t="s">
        <v>42</v>
      </c>
      <c r="J13" s="35" t="s">
        <v>43</v>
      </c>
      <c r="K13" s="42" t="s">
        <v>68</v>
      </c>
      <c r="L13" s="41" t="s">
        <v>69</v>
      </c>
      <c r="M13" s="22"/>
    </row>
    <row r="14" spans="1:22" ht="66" customHeight="1" thickBot="1" x14ac:dyDescent="0.25">
      <c r="A14" s="177">
        <v>5</v>
      </c>
      <c r="B14" s="178"/>
      <c r="C14" s="25" t="s">
        <v>165</v>
      </c>
      <c r="D14" s="25" t="s">
        <v>166</v>
      </c>
      <c r="E14" s="25" t="s">
        <v>167</v>
      </c>
      <c r="F14" s="25" t="s">
        <v>168</v>
      </c>
      <c r="G14" s="29" t="s">
        <v>169</v>
      </c>
      <c r="H14" s="45" t="s">
        <v>44</v>
      </c>
      <c r="I14" s="37" t="s">
        <v>45</v>
      </c>
      <c r="J14" s="43" t="s">
        <v>46</v>
      </c>
      <c r="K14" s="43" t="s">
        <v>70</v>
      </c>
      <c r="L14" s="44" t="s">
        <v>71</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x14ac:dyDescent="0.2">
      <c r="A25" s="22"/>
      <c r="B25" s="22"/>
      <c r="C25" s="22"/>
      <c r="D25" s="22"/>
      <c r="E25" s="22"/>
      <c r="F25" s="22"/>
      <c r="G25" s="22"/>
      <c r="H25" s="22"/>
      <c r="I25" s="22"/>
      <c r="J25" s="22"/>
      <c r="K25" s="22"/>
      <c r="L25" s="22"/>
      <c r="M25" s="22"/>
    </row>
    <row r="26" spans="1:13" ht="58.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129.75"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K8:K9"/>
    <mergeCell ref="L8:L9"/>
    <mergeCell ref="C5:G5"/>
    <mergeCell ref="H5:L5"/>
    <mergeCell ref="C6:C9"/>
    <mergeCell ref="D6:D9"/>
    <mergeCell ref="E6:E9"/>
    <mergeCell ref="F6:F9"/>
    <mergeCell ref="G6:G9"/>
    <mergeCell ref="H8:H9"/>
    <mergeCell ref="A14:B14"/>
    <mergeCell ref="I1:J1"/>
    <mergeCell ref="I2:J2"/>
    <mergeCell ref="I3:J3"/>
    <mergeCell ref="D2:H2"/>
    <mergeCell ref="A10:B10"/>
    <mergeCell ref="A11:B11"/>
    <mergeCell ref="A12:B12"/>
    <mergeCell ref="A5:B9"/>
    <mergeCell ref="A13:B13"/>
    <mergeCell ref="I8:I9"/>
    <mergeCell ref="J8:J9"/>
    <mergeCell ref="A1:C3"/>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3.xml><?xml version="1.0" encoding="utf-8"?>
<ds:datastoreItem xmlns:ds="http://schemas.openxmlformats.org/officeDocument/2006/customXml" ds:itemID="{34A5DBCF-E2DA-4D23-9549-E8E78AF171AB}">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2014-11-10T14:56:30Z</cp:lastPrinted>
  <dcterms:created xsi:type="dcterms:W3CDTF">2011-02-21T14:14:41Z</dcterms:created>
  <dcterms:modified xsi:type="dcterms:W3CDTF">2024-07-21T12:34:00Z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