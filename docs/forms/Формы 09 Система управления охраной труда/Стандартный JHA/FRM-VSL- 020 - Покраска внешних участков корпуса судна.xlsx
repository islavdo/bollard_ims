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E:\JHA\ACOP\"/>
    </mc:Choice>
  </mc:AlternateContent>
  <bookViews>
    <workbookView xWindow="0" yWindow="0" windowWidth="23040" windowHeight="8625" tabRatio="307"/>
  </bookViews>
  <sheets>
    <sheet name="АСОР" sheetId="1" r:id="rId1"/>
    <sheet name="МОР" sheetId="3" r:id="rId2"/>
  </sheets>
  <definedNames>
    <definedName name="Strongly_emphasise_each_individual_s__71" localSheetId="0">АСОР!$O$48</definedName>
    <definedName name="Strongly_emphasise_each_individual_s__71" localSheetId="1">МОР!#REF!</definedName>
    <definedName name="_xlnm.Print_Titles" localSheetId="0">АСОР!$1:$5</definedName>
    <definedName name="_xlnm.Print_Titles" localSheetId="1">МОР!$1:$2</definedName>
    <definedName name="_xlnm.Print_Area" localSheetId="0">АСОР!$A$1:$M$49</definedName>
    <definedName name="_xlnm.Print_Area" localSheetId="1">МОР!$A$1:$V$33</definedName>
  </definedNames>
  <calcPr calcId="162913" concurrentCalc="0"/>
</workbook>
</file>

<file path=xl/calcChain.xml><?xml version="1.0" encoding="utf-8"?>
<calcChain xmlns="http://schemas.openxmlformats.org/spreadsheetml/2006/main">
  <c r="T14" i="1" l="1"/>
  <c r="V14" i="1"/>
  <c r="S14" i="1"/>
  <c r="U14" i="1"/>
  <c r="M14" i="1"/>
  <c r="F14" i="1"/>
  <c r="T13" i="1"/>
  <c r="V13" i="1"/>
  <c r="M13" i="1"/>
  <c r="S13" i="1"/>
  <c r="U13" i="1"/>
  <c r="F13" i="1"/>
  <c r="T12" i="1"/>
  <c r="V12" i="1"/>
  <c r="M12" i="1"/>
  <c r="S12" i="1"/>
  <c r="U12" i="1"/>
  <c r="F12" i="1"/>
  <c r="T11" i="1"/>
  <c r="V11" i="1"/>
  <c r="M11" i="1"/>
  <c r="S11" i="1"/>
  <c r="U11" i="1"/>
  <c r="F11" i="1"/>
  <c r="T10" i="1"/>
  <c r="V10" i="1"/>
  <c r="M10" i="1"/>
  <c r="S10" i="1"/>
  <c r="U10" i="1"/>
  <c r="F10" i="1"/>
  <c r="S9" i="1"/>
  <c r="U9" i="1"/>
  <c r="F9" i="1"/>
  <c r="T9" i="1"/>
  <c r="V9" i="1"/>
  <c r="M9" i="1"/>
  <c r="U8" i="1"/>
</calcChain>
</file>

<file path=xl/sharedStrings.xml><?xml version="1.0" encoding="utf-8"?>
<sst xmlns="http://schemas.openxmlformats.org/spreadsheetml/2006/main" count="182" uniqueCount="175">
  <si>
    <r>
      <rPr>
        <b/>
        <sz val="14"/>
        <rFont val="Arial"/>
        <family val="2"/>
      </rPr>
      <t>FRM-VSL-09-1301-001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</si>
  <si>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</si>
  <si>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</si>
  <si>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</si>
  <si>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</si>
  <si>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</si>
  <si>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</si>
  <si>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</si>
  <si>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</si>
  <si>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</si>
  <si>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</si>
  <si>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t>Severity</t>
  </si>
  <si>
    <t>Likelihood</t>
  </si>
  <si>
    <t>Likelihood tranf initial</t>
  </si>
  <si>
    <t>Likelihood tranf residual</t>
  </si>
  <si>
    <t>Initial</t>
  </si>
  <si>
    <t>residual</t>
  </si>
  <si>
    <t xml:space="preserve">Risk </t>
  </si>
  <si>
    <t>A</t>
  </si>
  <si>
    <t>L</t>
  </si>
  <si>
    <t>B</t>
  </si>
  <si>
    <t>M</t>
  </si>
  <si>
    <t>C</t>
  </si>
  <si>
    <t>H</t>
  </si>
  <si>
    <t>D</t>
  </si>
  <si>
    <t>E</t>
  </si>
  <si>
    <r>
      <rPr>
        <b/>
        <sz val="11"/>
        <rFont val="Arial"/>
        <family val="2"/>
      </rPr>
      <t>FRM-VSL-09-1301-001</t>
    </r>
  </si>
  <si>
    <r>
      <rPr>
        <b/>
        <sz val="10.5"/>
        <rFont val="Arial"/>
        <family val="2"/>
      </rPr>
      <t>A</t>
    </r>
  </si>
  <si>
    <r>
      <rPr>
        <b/>
        <sz val="10.5"/>
        <rFont val="Arial"/>
        <family val="2"/>
      </rPr>
      <t>B</t>
    </r>
  </si>
  <si>
    <r>
      <rPr>
        <b/>
        <sz val="10.5"/>
        <rFont val="Arial"/>
        <family val="2"/>
      </rPr>
      <t>C</t>
    </r>
  </si>
  <si>
    <r>
      <rPr>
        <b/>
        <i/>
        <sz val="8.5"/>
        <color rgb="FFFFFFFF"/>
        <rFont val="Arial"/>
        <family val="2"/>
      </rPr>
      <t>1A</t>
    </r>
  </si>
  <si>
    <r>
      <rPr>
        <b/>
        <i/>
        <sz val="8.5"/>
        <color rgb="FFFFFFFF"/>
        <rFont val="Arial"/>
        <family val="2"/>
      </rPr>
      <t>1B</t>
    </r>
  </si>
  <si>
    <r>
      <rPr>
        <b/>
        <i/>
        <sz val="8.5"/>
        <color rgb="FFFFFFFF"/>
        <rFont val="Arial"/>
        <family val="2"/>
      </rPr>
      <t>1C</t>
    </r>
  </si>
  <si>
    <r>
      <rPr>
        <b/>
        <i/>
        <sz val="8.5"/>
        <color rgb="FFFFFFFF"/>
        <rFont val="Arial"/>
        <family val="2"/>
      </rPr>
      <t>2A</t>
    </r>
  </si>
  <si>
    <r>
      <rPr>
        <b/>
        <i/>
        <sz val="8.5"/>
        <color rgb="FFFFFFFF"/>
        <rFont val="Arial"/>
        <family val="2"/>
      </rPr>
      <t>2B</t>
    </r>
  </si>
  <si>
    <r>
      <rPr>
        <b/>
        <i/>
        <sz val="8.5"/>
        <color rgb="FFFFFFFF"/>
        <rFont val="Arial"/>
        <family val="2"/>
      </rPr>
      <t>2C</t>
    </r>
  </si>
  <si>
    <r>
      <rPr>
        <b/>
        <i/>
        <sz val="8.5"/>
        <color rgb="FFFFFFFF"/>
        <rFont val="Arial"/>
        <family val="2"/>
      </rPr>
      <t>3A</t>
    </r>
  </si>
  <si>
    <r>
      <rPr>
        <b/>
        <i/>
        <sz val="8.5"/>
        <color rgb="FFFFFFFF"/>
        <rFont val="Arial"/>
        <family val="2"/>
      </rPr>
      <t>3B</t>
    </r>
  </si>
  <si>
    <r>
      <rPr>
        <b/>
        <i/>
        <sz val="8.5"/>
        <rFont val="Arial"/>
        <family val="2"/>
      </rPr>
      <t>3C</t>
    </r>
  </si>
  <si>
    <r>
      <rPr>
        <b/>
        <i/>
        <sz val="8.5"/>
        <color rgb="FFFFFFFF"/>
        <rFont val="Arial"/>
        <family val="2"/>
      </rPr>
      <t>4A</t>
    </r>
  </si>
  <si>
    <r>
      <rPr>
        <b/>
        <i/>
        <sz val="8.5"/>
        <rFont val="Arial"/>
        <family val="2"/>
      </rPr>
      <t>4B</t>
    </r>
  </si>
  <si>
    <r>
      <rPr>
        <b/>
        <i/>
        <sz val="8.5"/>
        <rFont val="Arial"/>
        <family val="2"/>
      </rPr>
      <t>4C</t>
    </r>
  </si>
  <si>
    <r>
      <rPr>
        <b/>
        <i/>
        <sz val="8.5"/>
        <rFont val="Arial"/>
        <family val="2"/>
      </rPr>
      <t>5A</t>
    </r>
  </si>
  <si>
    <r>
      <rPr>
        <b/>
        <i/>
        <sz val="8.5"/>
        <rFont val="Arial"/>
        <family val="2"/>
      </rPr>
      <t>5B</t>
    </r>
  </si>
  <si>
    <r>
      <rPr>
        <b/>
        <i/>
        <sz val="8.5"/>
        <color theme="0"/>
        <rFont val="Arial"/>
        <family val="2"/>
      </rPr>
      <t>5C</t>
    </r>
  </si>
  <si>
    <t>Severity</t>
  </si>
  <si>
    <t>Likelihood</t>
  </si>
  <si>
    <t>Likelihood tranf initial</t>
  </si>
  <si>
    <t>Likelihood tranf residual</t>
  </si>
  <si>
    <t>Initial</t>
  </si>
  <si>
    <t>residual</t>
  </si>
  <si>
    <t xml:space="preserve">Risk </t>
  </si>
  <si>
    <t>A</t>
  </si>
  <si>
    <t>L</t>
  </si>
  <si>
    <t>D</t>
  </si>
  <si>
    <t>E</t>
  </si>
  <si>
    <t>Occurred in the Company more than once in the last year (ashore or afloat)</t>
  </si>
  <si>
    <t>Occurred in the Company repeatedly in the last year (ashore or afloat)</t>
  </si>
  <si>
    <t>Likely</t>
  </si>
  <si>
    <t>Very Likely</t>
  </si>
  <si>
    <t>1D</t>
  </si>
  <si>
    <t>1E</t>
  </si>
  <si>
    <t>2D</t>
  </si>
  <si>
    <t>2E</t>
  </si>
  <si>
    <t>3D</t>
  </si>
  <si>
    <t>3E</t>
  </si>
  <si>
    <t>4D</t>
  </si>
  <si>
    <t>4E</t>
  </si>
  <si>
    <t>5D</t>
  </si>
  <si>
    <t>5E</t>
  </si>
  <si>
    <t xml:space="preserve">ООО «Боллард»
РФ, Краснодарский край, 
353919, г. Новороссийск,
 Мысхакское шоссе, д. 75 помещение 209 
Тел.: 8(8617) 70 00 95
Эл. почта: info@bollard-marine.group </t>
  </si>
  <si>
    <t>АНАЛИЗ СТЕПЕНИ ОПАСНОСТИ РАБОТ (АСОР)</t>
  </si>
  <si>
    <t>FRM-VSL-020</t>
  </si>
  <si>
    <t>Файл 09</t>
  </si>
  <si>
    <t>Срок хранения 3 года</t>
  </si>
  <si>
    <t xml:space="preserve"> Название судна</t>
  </si>
  <si>
    <t>Дата</t>
  </si>
  <si>
    <t xml:space="preserve"> Описание работ</t>
  </si>
  <si>
    <t>Исходный риск</t>
  </si>
  <si>
    <t>Оборудование</t>
  </si>
  <si>
    <t xml:space="preserve"> Остаточный риск</t>
  </si>
  <si>
    <t>Номер оценки рисков</t>
  </si>
  <si>
    <t>Меры контроля для снижения риска</t>
  </si>
  <si>
    <t>Степень тяжести</t>
  </si>
  <si>
    <t>Вероятность</t>
  </si>
  <si>
    <t>Риск</t>
  </si>
  <si>
    <t>Источник опасности / Энергия / Сценарий потенциального несчастного случая</t>
  </si>
  <si>
    <t>Этапы работ</t>
  </si>
  <si>
    <t>Этап</t>
  </si>
  <si>
    <t xml:space="preserve"> Покраска внешних участков корпуса судна</t>
  </si>
  <si>
    <t>Смешивание и переливание краски в контейнер для использования</t>
  </si>
  <si>
    <t>Налив и смешивание краски - разбрызгивание на кожу или в глаза.</t>
  </si>
  <si>
    <t>1)  Определение соответствующей краски.
2)  Ознакомление с паспортом безопасности материала на предмет пригодности, мер предосторожности и применения.
3)  Отпуск со склада только необходимого количества краски для немедленного использования.
4)  Использование надлежащих СИЗ для налива в соответствии с мерами предосторожности в паспорте безопасности.
5)  После налива контейнер для хранения необходимо герметично закрыть.
6)  Все разливы должны быть удалены.</t>
  </si>
  <si>
    <t>Перенос краски на рабочую площадку</t>
  </si>
  <si>
    <t>Опасность спотыкания, скольжения, разлива краски.</t>
  </si>
  <si>
    <t>1)  Следует нести контейнер в одной руке, оставляя другую руку для поручней.
2)  Все разливы должны быть немедленно убраны</t>
  </si>
  <si>
    <t>Использование краски на рабочей площадке</t>
  </si>
  <si>
    <t>Опасность воздействия паров краски</t>
  </si>
  <si>
    <t>1)  Необходимо придерживаться временных ограничений воздействия, согласно указанию в паспорте безопасности материала.
2)  Участок должен хорошо проветриваться (согласно мерам предосторожности в паспорте безопасности материала).
3)  Использование СИЗ согласно паспорту безопасности материала обязательно.
4)  Убедиться в отсутствии на площадке совмещенных во времени работ.
5)  Обозначьте свежеокрашенные участки (ограждением) для персонала.
6)  Убедитесь, чтобы пары краски не попадают в жилые отсеки или в нагнетательные вентиляторы машинных помещений.</t>
  </si>
  <si>
    <t>Опасность от разбрызгивания краски</t>
  </si>
  <si>
    <t>1)  Будьте осторожны при использовании.
2)  Обращайтесь с разливами/разбрызгиванием согласно паспорту безопасности.</t>
  </si>
  <si>
    <t>Утилизация неиспользованной краски</t>
  </si>
  <si>
    <t>Ущерб окружающей среде</t>
  </si>
  <si>
    <t>Неиспользованную краску утилизировать в соответствии с судовой политикой обращения с отходами.</t>
  </si>
  <si>
    <t>АСОР подлежит проверке в конце каждой смены с целью определения дополнительных / других опасностей. Анализ степени опасности работ подлежит обсуждению на инструктаже в начале каждой смены как минимум.</t>
  </si>
  <si>
    <t>ПРИМЕЧАНИЕ: Если вы вставите строки сверху, колонка «Исходный риск» не окрасится в цвет автоматически. См. вкладку «Матрица оценки риска» и добавьте соответствующий цвет вручную.</t>
  </si>
  <si>
    <t>Учетная документация по инструктажам на рабочем месте</t>
  </si>
  <si>
    <r>
      <rPr>
        <b/>
        <sz val="10"/>
        <color rgb="FF000000"/>
        <rFont val="Arial"/>
      </rPr>
      <t xml:space="preserve">В рамках процедур ООО "Боллард" по предварительному планированию работ, </t>
    </r>
    <r>
      <rPr>
        <b/>
        <i/>
        <sz val="10"/>
        <color rgb="FF000000"/>
        <rFont val="Arial"/>
      </rPr>
      <t>необходимо</t>
    </r>
    <r>
      <rPr>
        <b/>
        <sz val="10"/>
        <color rgb="FF000000"/>
        <rFont val="Arial"/>
      </rPr>
      <t xml:space="preserve"> провести задокументированный инструктаж на рабочем месте. Все рабочие, участвующие в выполнении работ, должны присутствовать на инструктаже на рабочем месте. После инструктажа </t>
    </r>
    <r>
      <rPr>
        <b/>
        <i/>
        <sz val="10"/>
        <color rgb="FF000000"/>
        <rFont val="Arial"/>
      </rPr>
      <t>следует</t>
    </r>
    <r>
      <rPr>
        <b/>
        <sz val="10"/>
        <color rgb="FF000000"/>
        <rFont val="Arial"/>
      </rPr>
      <t xml:space="preserve"> передать Журнал инструктажа на рабочем месте вахтенному офицеру на мостике или в машинном отделении в зависимости от обстоятельств для внесения записи о проведенном инструктаже. </t>
    </r>
  </si>
  <si>
    <t>Использование подготовленного АСОР как основы для инструктажа на рабочем месте.</t>
  </si>
  <si>
    <t>Обсуждение всех выполняемых этапов работ.</t>
  </si>
  <si>
    <t>Полный обзор и обсуждение составленного АСОР с особым вниманием на выявленные опасности и методы их контроля / устранения.</t>
  </si>
  <si>
    <t>Подробное информирование о потенциально опасных факторах по каждому этапу работ;</t>
  </si>
  <si>
    <t>* Проследите, чтобы все выявленные дополнительные опасные факторы прошли оценку, сведены к минимуму и были отмечены в разделе ниже.</t>
  </si>
  <si>
    <t>Назначение обязанностей каждого работника в составе рабочего персонала.</t>
  </si>
  <si>
    <t>Обеспечение осмотра всех требуемых инструментов перед использованием, а также их надежного, исправного и рабочего состояния.</t>
  </si>
  <si>
    <t>Контроль ознакомления всеми членами рабочей группы с используемыми инструментами или оборудованием, а также соответствующих знаний и умений лица, назначенного для работы с инструментом или оборудованием.</t>
  </si>
  <si>
    <t>Учет эргономических факторов при использовании инструментов или других действий, которые могут потребовать повторяемых движений в течение длительного времени. Инструктирование персонала относительно смены руки, смены положения тела, необходимости регулярных перерывов, а также принятие мер по замене персонала, если потребуется при выполнении такого рода работ.</t>
  </si>
  <si>
    <t>Обеспечение наличия и использования соответствующих исправных СИЗ.</t>
  </si>
  <si>
    <t>Проверка исправности аппаратуры связи, методы связи согласованы и опробованы.</t>
  </si>
  <si>
    <t>Обеспечение понимания всеми периметра участка работ, установки достаточных предупреждающих знаков, а также наличия копии наряда-допуска и АСОР при входе на рабочую площадку.</t>
  </si>
  <si>
    <t>Организация осмотра, уборки и освобождения рабочих зон в зависимости от обстоятельств.</t>
  </si>
  <si>
    <t>Настойчивая рекомендация в отношении полномочий и обязанности каждого работника по «остановке работ» при обнаружении условия, небезопасного для персонала, оборудования, или которое может привести к загрязнению.</t>
  </si>
  <si>
    <t>После выполнения всего вышеизложенного проверьте еще раз имеются ли у кого-либо сомнения, вопросы или другие требования.                                                                                                                                                                                   Если нет, внесите запись в журнал на мостике/в машинном отделении и приступайте к производству работ.</t>
  </si>
  <si>
    <t>* Руководитель работ несет ответственность за оценку дополнительных рисков в нижеследующих ячейках по каждому этапу, которые могут иметься в результате условий на месте, таких как погодные условия, волнение моря или тип судна.</t>
  </si>
  <si>
    <t>ФИО</t>
  </si>
  <si>
    <t>Должность</t>
  </si>
  <si>
    <t>Подпись</t>
  </si>
  <si>
    <t>Замечания, если имеются «БЕЗОПАСНОСТЬ - МОЯ ЛИЧНАЯ ЦЕННОСТЬ»</t>
  </si>
  <si>
    <t>ФИО Руководителя работ</t>
  </si>
  <si>
    <t>Дата инструктажа на рабочем месте</t>
  </si>
  <si>
    <t>Обзор АСОР после выполнения работ</t>
  </si>
  <si>
    <t>Отметьте что-либо в отношении данного АСОР, что может быть оптимизировано, например, конкретные этапы работ или дополнительные риски, которые следует включить как постоянные.</t>
  </si>
  <si>
    <t>Руководитель работ должен приобщить к документации составленный и проверенный АСОР.</t>
  </si>
  <si>
    <t>Я присутствовал в течение всего инструктажа на рабочем месте. Проставляя свою подпись, я заявляю, что понимаю опасные факторы, предъявляемые ко мне требования, и подтверждаю свою соответствующую квалификацию и опыт для выполнения данных работ.</t>
  </si>
  <si>
    <t>МАТРИЦА ОЦЕНКИ РИСКОВ</t>
  </si>
  <si>
    <t>ФАЙЛ 09</t>
  </si>
  <si>
    <t>Возрастающая вероятность</t>
  </si>
  <si>
    <t>Последствия</t>
  </si>
  <si>
    <t>Люди</t>
  </si>
  <si>
    <t>Окружающая среда</t>
  </si>
  <si>
    <t>Имущество</t>
  </si>
  <si>
    <t xml:space="preserve"> Репутация</t>
  </si>
  <si>
    <t>График</t>
  </si>
  <si>
    <t>Нет сведений о подобном в сфере морских судов обеспечения (ни на берегу, ни в плавании)</t>
  </si>
  <si>
    <t>Редкие сведения в сфере морских судов обеспечения (на берегу или в плавании)</t>
  </si>
  <si>
    <t>Происходило в Компании в прошлом году или более одного раза в год в сфере морских судов обеспечения (на берегу или в плавании)</t>
  </si>
  <si>
    <t xml:space="preserve"> Крайне маловероятно</t>
  </si>
  <si>
    <t xml:space="preserve"> Маловероятно</t>
  </si>
  <si>
    <t xml:space="preserve"> Возможно</t>
  </si>
  <si>
    <t>Травмы с оказанием доврачебной помощи</t>
  </si>
  <si>
    <t>Незначительное воздействие</t>
  </si>
  <si>
    <t xml:space="preserve"> Незначительное повреждение 
&lt; 500€ / евро</t>
  </si>
  <si>
    <t xml:space="preserve"> Незначительное негативное воздействие</t>
  </si>
  <si>
    <t xml:space="preserve"> Задержка 1 час</t>
  </si>
  <si>
    <t xml:space="preserve"> Задержка 1–12 часов</t>
  </si>
  <si>
    <t xml:space="preserve"> Несущественное негативное воздействие</t>
  </si>
  <si>
    <t xml:space="preserve"> Несущественное повреждение 
&lt; 5000€ / евро</t>
  </si>
  <si>
    <t xml:space="preserve"> Несущественное воздействие 
&lt; 10 litres / литров</t>
  </si>
  <si>
    <t xml:space="preserve"> Медицинская помощь, травма с ограничением рабочих функций</t>
  </si>
  <si>
    <t xml:space="preserve"> Травма, ведущая к потере трудоспособности или к частичной нетрудоспособности</t>
  </si>
  <si>
    <t xml:space="preserve"> Умеренное воздействие
10 литров - 1 баррель</t>
  </si>
  <si>
    <t xml:space="preserve"> Умеренное повреждение 
&lt;50.000€ / евро</t>
  </si>
  <si>
    <t xml:space="preserve"> Умеренное негативное воздействие</t>
  </si>
  <si>
    <t xml:space="preserve"> Задержка 12–48 часов</t>
  </si>
  <si>
    <t>Постоянная утрата трудоспособности или летальный исход</t>
  </si>
  <si>
    <t xml:space="preserve"> Значительное воздействие
1-10  баррелей</t>
  </si>
  <si>
    <t xml:space="preserve"> Значительное повреждение 
&lt;500.000€ / евро</t>
  </si>
  <si>
    <t xml:space="preserve"> Значительное негативное воздействие</t>
  </si>
  <si>
    <t>Задержка 48 часов – 7 дней</t>
  </si>
  <si>
    <t xml:space="preserve"> Более 1 смертельного случая</t>
  </si>
  <si>
    <t xml:space="preserve"> Сильное воздействие
&gt; 10 баррелей</t>
  </si>
  <si>
    <t xml:space="preserve"> Обширное повреждение
&gt; 500.000€ / евро</t>
  </si>
  <si>
    <t>Сильное негативное воздействие</t>
  </si>
  <si>
    <t>Задержка более 7 дней</t>
  </si>
  <si>
    <r>
      <rPr>
        <i/>
        <sz val="12"/>
        <color rgb="FF000000"/>
        <rFont val="Arial"/>
        <family val="2"/>
        <charset val="204"/>
      </rPr>
      <t>Необходимо</t>
    </r>
    <r>
      <rPr>
        <sz val="12"/>
        <color rgb="FF000000"/>
        <rFont val="Arial"/>
        <family val="2"/>
        <charset val="204"/>
      </rPr>
      <t xml:space="preserve"> проверить следующие пункты: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</si>
</sst>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 x14ac:knownFonts="1">
    <font>
      <sz val="10"/>
      <name val="Arial"/>
    </font>
    <font>
      <sz val="14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  <font>
      <b/>
      <sz val="14"/>
      <name val="Arial"/>
      <family val="2"/>
    </font>
    <font>
      <sz val="9"/>
      <color indexed="18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b/>
      <sz val="8.5"/>
      <name val="Arial"/>
      <family val="2"/>
    </font>
    <font>
      <b/>
      <sz val="10.5"/>
      <name val="Arial"/>
      <family val="2"/>
    </font>
    <font>
      <b/>
      <u/>
      <sz val="8"/>
      <name val="Arial"/>
      <family val="2"/>
    </font>
    <font>
      <sz val="8.5"/>
      <name val="Arial"/>
      <family val="2"/>
    </font>
    <font>
      <b/>
      <i/>
      <sz val="8.5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8"/>
      <color rgb="FFFF0000"/>
      <name val="Arial"/>
      <family val="2"/>
    </font>
    <font>
      <b/>
      <i/>
      <sz val="8.5"/>
      <color rgb="FFFFFFFF"/>
      <name val="Arial"/>
      <family val="2"/>
    </font>
    <font>
      <b/>
      <i/>
      <sz val="8.5"/>
      <color theme="0"/>
      <name val="Arial"/>
      <family val="2"/>
    </font>
    <font>
      <sz val="12"/>
      <color theme="0"/>
      <name val="Arial"/>
      <family val="2"/>
    </font>
    <font>
      <b/>
      <sz val="16"/>
      <color theme="0"/>
      <name val="Arial"/>
      <family val="2"/>
    </font>
    <font>
      <b/>
      <sz val="18"/>
      <color theme="0"/>
      <name val="Arial"/>
      <family val="2"/>
    </font>
    <font>
      <b/>
      <i/>
      <sz val="12"/>
      <color theme="0"/>
      <name val="Arial"/>
      <family val="2"/>
    </font>
    <font>
      <b/>
      <i/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  <family val="2"/>
    </font>
    <font>
      <b/>
      <sz val="10"/>
      <name val="Arial"/>
      <family val="2"/>
      <charset val="204"/>
    </font>
    <font>
      <b/>
      <sz val="14"/>
      <name val="Arial"/>
      <family val="2"/>
      <charset val="204"/>
    </font>
    <font>
      <sz val="7"/>
      <color rgb="FF333399"/>
      <name val="Arial Black"/>
      <family val="2"/>
      <charset val="204"/>
    </font>
    <font>
      <sz val="8"/>
      <color rgb="FF006666"/>
      <name val="Arial Black"/>
      <family val="2"/>
      <charset val="204"/>
    </font>
    <font>
      <sz val="14"/>
      <color rgb="FF006666"/>
      <name val="Arial Black"/>
      <family val="2"/>
      <charset val="204"/>
    </font>
    <font>
      <sz val="11"/>
      <color theme="0"/>
      <name val="Arial"/>
      <family val="2"/>
      <charset val="204"/>
    </font>
    <font>
      <sz val="11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sz val="11"/>
      <name val="Arial"/>
      <family val="2"/>
      <charset val="204"/>
    </font>
    <font>
      <sz val="12"/>
      <color rgb="FF000000"/>
      <name val="Arial"/>
      <family val="2"/>
      <charset val="204"/>
    </font>
    <font>
      <i/>
      <sz val="12"/>
      <color rgb="FF000000"/>
      <name val="Arial"/>
      <family val="2"/>
      <charset val="204"/>
    </font>
    <font>
      <sz val="12"/>
      <color indexed="8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00FF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5">
    <xf numFmtId="0" fontId="0" fillId="0" borderId="0" xfId="0"/>
    <xf numFmtId="0" fontId="10" fillId="2" borderId="0" xfId="0" applyFont="1" applyFill="1"/>
    <xf numFmtId="0" fontId="13" fillId="2" borderId="0" xfId="0" applyFont="1" applyFill="1" applyBorder="1" applyAlignment="1">
      <alignment horizontal="right" vertical="center"/>
    </xf>
    <xf numFmtId="0" fontId="0" fillId="2" borderId="0" xfId="0" applyFill="1" applyAlignment="1">
      <alignment vertical="center" wrapText="1"/>
    </xf>
    <xf numFmtId="0" fontId="12" fillId="2" borderId="0" xfId="0" applyFont="1" applyFill="1" applyBorder="1" applyAlignment="1">
      <alignment vertical="center"/>
    </xf>
    <xf numFmtId="0" fontId="1" fillId="2" borderId="0" xfId="0" applyFont="1" applyFill="1" applyBorder="1" applyAlignment="1" applyProtection="1">
      <alignment horizontal="right" vertical="center"/>
    </xf>
    <xf numFmtId="0" fontId="0" fillId="2" borderId="1" xfId="0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0" fontId="4" fillId="2" borderId="0" xfId="0" applyFont="1" applyFill="1" applyAlignment="1">
      <alignment wrapText="1"/>
    </xf>
    <xf numFmtId="0" fontId="7" fillId="2" borderId="0" xfId="0" applyFont="1" applyFill="1" applyAlignment="1">
      <alignment vertical="center" wrapText="1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left" vertical="center" wrapText="1" shrinkToFit="1"/>
      <protection locked="0"/>
    </xf>
    <xf numFmtId="0" fontId="4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  <xf numFmtId="1" fontId="0" fillId="2" borderId="1" xfId="0" applyNumberFormat="1" applyFill="1" applyBorder="1" applyAlignment="1">
      <alignment vertical="center" wrapText="1"/>
    </xf>
    <xf numFmtId="1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6" fillId="3" borderId="5" xfId="0" applyFont="1" applyFill="1" applyBorder="1" applyAlignment="1">
      <alignment horizontal="justify" vertical="top" wrapText="1"/>
    </xf>
    <xf numFmtId="0" fontId="0" fillId="2" borderId="0" xfId="0" applyFill="1"/>
    <xf numFmtId="0" fontId="14" fillId="0" borderId="6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23" fillId="2" borderId="0" xfId="0" applyFont="1" applyFill="1" applyBorder="1" applyAlignment="1">
      <alignment horizontal="center" vertical="center" wrapText="1"/>
    </xf>
    <xf numFmtId="0" fontId="19" fillId="2" borderId="0" xfId="0" applyFont="1" applyFill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23" fillId="4" borderId="10" xfId="0" applyFont="1" applyFill="1" applyBorder="1" applyAlignment="1">
      <alignment horizontal="center" vertical="center" wrapText="1"/>
    </xf>
    <xf numFmtId="0" fontId="23" fillId="4" borderId="11" xfId="0" applyFont="1" applyFill="1" applyBorder="1" applyAlignment="1">
      <alignment horizontal="center" vertical="center" wrapText="1"/>
    </xf>
    <xf numFmtId="0" fontId="19" fillId="5" borderId="12" xfId="0" applyFont="1" applyFill="1" applyBorder="1" applyAlignment="1">
      <alignment horizontal="center" vertical="center" wrapText="1"/>
    </xf>
    <xf numFmtId="0" fontId="23" fillId="4" borderId="2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9" fillId="5" borderId="3" xfId="0" applyFont="1" applyFill="1" applyBorder="1" applyAlignment="1">
      <alignment horizontal="center" vertical="center" wrapText="1"/>
    </xf>
    <xf numFmtId="0" fontId="19" fillId="5" borderId="7" xfId="0" applyFont="1" applyFill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24" fillId="4" borderId="11" xfId="0" applyFont="1" applyFill="1" applyBorder="1" applyAlignment="1">
      <alignment horizontal="center" vertical="center" wrapText="1"/>
    </xf>
    <xf numFmtId="0" fontId="24" fillId="6" borderId="3" xfId="0" applyFont="1" applyFill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 wrapText="1"/>
    </xf>
    <xf numFmtId="0" fontId="24" fillId="6" borderId="7" xfId="0" applyFont="1" applyFill="1" applyBorder="1" applyAlignment="1">
      <alignment horizontal="center" vertical="center" wrapText="1"/>
    </xf>
    <xf numFmtId="0" fontId="24" fillId="6" borderId="15" xfId="0" applyFont="1" applyFill="1" applyBorder="1" applyAlignment="1">
      <alignment horizontal="center" vertical="center" wrapText="1"/>
    </xf>
    <xf numFmtId="0" fontId="19" fillId="5" borderId="16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0" fontId="15" fillId="2" borderId="0" xfId="0" applyFont="1" applyFill="1" applyBorder="1" applyAlignment="1">
      <alignment horizontal="center" wrapText="1"/>
    </xf>
    <xf numFmtId="0" fontId="18" fillId="2" borderId="0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2" fillId="2" borderId="0" xfId="0" applyFont="1" applyFill="1" applyBorder="1" applyAlignment="1">
      <alignment horizontal="left" vertical="center" indent="1"/>
    </xf>
    <xf numFmtId="0" fontId="0" fillId="2" borderId="0" xfId="0" applyFill="1" applyBorder="1" applyAlignment="1">
      <alignment vertical="center" wrapText="1"/>
    </xf>
    <xf numFmtId="0" fontId="22" fillId="2" borderId="18" xfId="0" applyFont="1" applyFill="1" applyBorder="1" applyAlignment="1">
      <alignment horizontal="center"/>
    </xf>
    <xf numFmtId="0" fontId="22" fillId="2" borderId="19" xfId="0" applyFont="1" applyFill="1" applyBorder="1" applyAlignment="1">
      <alignment horizontal="center"/>
    </xf>
    <xf numFmtId="0" fontId="10" fillId="2" borderId="19" xfId="0" applyFont="1" applyFill="1" applyBorder="1"/>
    <xf numFmtId="0" fontId="10" fillId="2" borderId="21" xfId="0" applyFont="1" applyFill="1" applyBorder="1"/>
    <xf numFmtId="0" fontId="2" fillId="2" borderId="29" xfId="0" applyFont="1" applyFill="1" applyBorder="1" applyAlignment="1">
      <alignment horizontal="left" vertical="center" indent="1"/>
    </xf>
    <xf numFmtId="0" fontId="12" fillId="2" borderId="30" xfId="0" applyFont="1" applyFill="1" applyBorder="1" applyAlignment="1">
      <alignment vertical="center"/>
    </xf>
    <xf numFmtId="0" fontId="0" fillId="2" borderId="30" xfId="0" applyFill="1" applyBorder="1" applyAlignment="1">
      <alignment vertical="center" wrapText="1"/>
    </xf>
    <xf numFmtId="0" fontId="0" fillId="2" borderId="29" xfId="0" applyFill="1" applyBorder="1" applyAlignment="1">
      <alignment vertical="center" wrapText="1"/>
    </xf>
    <xf numFmtId="0" fontId="10" fillId="2" borderId="18" xfId="0" applyFont="1" applyFill="1" applyBorder="1"/>
    <xf numFmtId="0" fontId="0" fillId="2" borderId="21" xfId="0" applyFill="1" applyBorder="1" applyAlignment="1">
      <alignment vertical="center" wrapText="1"/>
    </xf>
    <xf numFmtId="0" fontId="0" fillId="2" borderId="17" xfId="0" applyFill="1" applyBorder="1" applyAlignment="1">
      <alignment vertical="center" wrapText="1"/>
    </xf>
    <xf numFmtId="0" fontId="5" fillId="2" borderId="17" xfId="0" applyFont="1" applyFill="1" applyBorder="1" applyAlignment="1" applyProtection="1">
      <alignment horizontal="centerContinuous" vertical="center" wrapText="1" shrinkToFit="1"/>
      <protection locked="0"/>
    </xf>
    <xf numFmtId="0" fontId="5" fillId="2" borderId="4" xfId="0" applyFont="1" applyFill="1" applyBorder="1" applyAlignment="1" applyProtection="1">
      <alignment horizontal="centerContinuous" vertical="center" wrapText="1" shrinkToFit="1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wrapText="1"/>
    </xf>
    <xf numFmtId="0" fontId="4" fillId="2" borderId="0" xfId="0" applyFont="1" applyFill="1" applyBorder="1" applyAlignment="1">
      <alignment wrapText="1"/>
    </xf>
    <xf numFmtId="0" fontId="4" fillId="2" borderId="30" xfId="0" applyFont="1" applyFill="1" applyBorder="1" applyAlignment="1">
      <alignment wrapText="1"/>
    </xf>
    <xf numFmtId="0" fontId="27" fillId="8" borderId="19" xfId="0" applyFont="1" applyFill="1" applyBorder="1" applyAlignment="1">
      <alignment horizontal="center"/>
    </xf>
    <xf numFmtId="0" fontId="28" fillId="8" borderId="19" xfId="0" applyFont="1" applyFill="1" applyBorder="1" applyAlignment="1">
      <alignment horizontal="left" vertical="center" indent="1"/>
    </xf>
    <xf numFmtId="0" fontId="25" fillId="8" borderId="19" xfId="0" applyFont="1" applyFill="1" applyBorder="1" applyAlignment="1">
      <alignment vertical="center"/>
    </xf>
    <xf numFmtId="0" fontId="25" fillId="8" borderId="19" xfId="0" applyFont="1" applyFill="1" applyBorder="1" applyAlignment="1">
      <alignment horizontal="left" vertical="center"/>
    </xf>
    <xf numFmtId="0" fontId="25" fillId="8" borderId="21" xfId="0" applyFont="1" applyFill="1" applyBorder="1" applyAlignment="1" applyProtection="1">
      <alignment horizontal="right" vertical="center"/>
    </xf>
    <xf numFmtId="0" fontId="3" fillId="2" borderId="8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textRotation="90" wrapText="1"/>
    </xf>
    <xf numFmtId="0" fontId="21" fillId="8" borderId="1" xfId="0" applyFont="1" applyFill="1" applyBorder="1" applyAlignment="1">
      <alignment horizontal="right" vertical="center" wrapText="1"/>
    </xf>
    <xf numFmtId="0" fontId="20" fillId="8" borderId="1" xfId="0" applyFont="1" applyFill="1" applyBorder="1" applyAlignment="1">
      <alignment horizontal="left" vertical="center" wrapText="1"/>
    </xf>
    <xf numFmtId="0" fontId="20" fillId="8" borderId="1" xfId="0" applyFont="1" applyFill="1" applyBorder="1" applyAlignment="1">
      <alignment vertical="center" wrapText="1"/>
    </xf>
    <xf numFmtId="0" fontId="7" fillId="2" borderId="14" xfId="0" applyFont="1" applyFill="1" applyBorder="1" applyAlignment="1">
      <alignment horizontal="left" vertical="center"/>
    </xf>
    <xf numFmtId="0" fontId="7" fillId="2" borderId="22" xfId="0" applyFont="1" applyFill="1" applyBorder="1" applyAlignment="1">
      <alignment horizontal="left" vertical="center"/>
    </xf>
    <xf numFmtId="0" fontId="7" fillId="2" borderId="23" xfId="0" applyFont="1" applyFill="1" applyBorder="1" applyAlignment="1">
      <alignment horizontal="left" vertical="center"/>
    </xf>
    <xf numFmtId="0" fontId="16" fillId="3" borderId="5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14" fontId="7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7" fillId="2" borderId="8" xfId="0" applyFont="1" applyFill="1" applyBorder="1" applyAlignment="1" applyProtection="1">
      <alignment horizontal="center" vertical="center" wrapText="1" shrinkToFit="1"/>
      <protection locked="0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21" fillId="8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0" borderId="20" xfId="0" applyFont="1" applyBorder="1" applyAlignment="1" applyProtection="1">
      <alignment horizontal="left" vertical="center" wrapText="1"/>
      <protection locked="0"/>
    </xf>
    <xf numFmtId="0" fontId="26" fillId="8" borderId="18" xfId="0" applyFont="1" applyFill="1" applyBorder="1" applyAlignment="1">
      <alignment vertical="center"/>
    </xf>
    <xf numFmtId="0" fontId="26" fillId="8" borderId="19" xfId="0" applyFont="1" applyFill="1" applyBorder="1" applyAlignment="1">
      <alignment vertical="center"/>
    </xf>
    <xf numFmtId="0" fontId="0" fillId="2" borderId="8" xfId="0" applyFill="1" applyBorder="1" applyAlignment="1" applyProtection="1">
      <alignment horizontal="left" vertical="center" wrapText="1"/>
      <protection locked="0"/>
    </xf>
    <xf numFmtId="0" fontId="0" fillId="2" borderId="17" xfId="0" applyFill="1" applyBorder="1" applyAlignment="1" applyProtection="1">
      <alignment horizontal="left" vertical="center" wrapText="1"/>
      <protection locked="0"/>
    </xf>
    <xf numFmtId="0" fontId="0" fillId="2" borderId="4" xfId="0" applyFill="1" applyBorder="1" applyAlignment="1" applyProtection="1">
      <alignment horizontal="left" vertical="center" wrapText="1"/>
      <protection locked="0"/>
    </xf>
    <xf numFmtId="0" fontId="0" fillId="2" borderId="21" xfId="0" applyFill="1" applyBorder="1" applyAlignment="1" applyProtection="1">
      <alignment horizontal="left" vertical="center" wrapText="1"/>
      <protection locked="0"/>
    </xf>
    <xf numFmtId="0" fontId="0" fillId="2" borderId="18" xfId="0" applyFill="1" applyBorder="1" applyAlignment="1" applyProtection="1">
      <alignment horizontal="left" vertical="center" wrapText="1"/>
      <protection locked="0"/>
    </xf>
    <xf numFmtId="0" fontId="0" fillId="2" borderId="19" xfId="0" applyFill="1" applyBorder="1" applyAlignment="1" applyProtection="1">
      <alignment horizontal="left" vertical="center" wrapText="1"/>
      <protection locked="0"/>
    </xf>
    <xf numFmtId="14" fontId="33" fillId="2" borderId="1" xfId="0" applyNumberFormat="1" applyFont="1" applyFill="1" applyBorder="1" applyAlignment="1" applyProtection="1">
      <alignment horizontal="left" vertical="center" wrapText="1"/>
      <protection locked="0"/>
    </xf>
    <xf numFmtId="0" fontId="32" fillId="2" borderId="1" xfId="0" applyFont="1" applyFill="1" applyBorder="1" applyAlignment="1" applyProtection="1">
      <alignment horizontal="left" vertical="center" wrapText="1"/>
      <protection locked="0"/>
    </xf>
    <xf numFmtId="0" fontId="11" fillId="2" borderId="8" xfId="0" applyFont="1" applyFill="1" applyBorder="1" applyAlignment="1" applyProtection="1">
      <alignment horizontal="left" vertical="center" wrapText="1" shrinkToFit="1"/>
      <protection locked="0"/>
    </xf>
    <xf numFmtId="0" fontId="38" fillId="2" borderId="0" xfId="0" applyFont="1" applyFill="1" applyAlignment="1">
      <alignment vertical="center" wrapText="1"/>
    </xf>
    <xf numFmtId="0" fontId="35" fillId="2" borderId="18" xfId="0" applyFont="1" applyFill="1" applyBorder="1" applyAlignment="1" applyProtection="1">
      <alignment horizontal="center" vertical="center" wrapText="1"/>
    </xf>
    <xf numFmtId="0" fontId="36" fillId="2" borderId="21" xfId="0" applyFont="1" applyFill="1" applyBorder="1" applyAlignment="1" applyProtection="1">
      <alignment horizontal="center" vertical="center"/>
    </xf>
    <xf numFmtId="0" fontId="36" fillId="2" borderId="29" xfId="0" applyFont="1" applyFill="1" applyBorder="1" applyAlignment="1" applyProtection="1">
      <alignment horizontal="center" vertical="center"/>
    </xf>
    <xf numFmtId="0" fontId="36" fillId="2" borderId="30" xfId="0" applyFont="1" applyFill="1" applyBorder="1" applyAlignment="1" applyProtection="1">
      <alignment horizontal="center" vertical="center"/>
    </xf>
    <xf numFmtId="0" fontId="36" fillId="2" borderId="14" xfId="0" applyFont="1" applyFill="1" applyBorder="1" applyAlignment="1" applyProtection="1">
      <alignment horizontal="center" vertical="center"/>
    </xf>
    <xf numFmtId="0" fontId="36" fillId="2" borderId="23" xfId="0" applyFont="1" applyFill="1" applyBorder="1" applyAlignment="1" applyProtection="1">
      <alignment horizontal="center" vertical="center"/>
    </xf>
    <xf numFmtId="0" fontId="9" fillId="2" borderId="29" xfId="0" applyFont="1" applyFill="1" applyBorder="1" applyAlignment="1" applyProtection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3" fillId="2" borderId="2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" fillId="2" borderId="8" xfId="0" applyFont="1" applyFill="1" applyBorder="1" applyAlignment="1" applyProtection="1">
      <alignment horizontal="center" vertical="center" wrapText="1" shrinkToFit="1"/>
      <protection locked="0"/>
    </xf>
    <xf numFmtId="0" fontId="3" fillId="2" borderId="17" xfId="0" applyFont="1" applyFill="1" applyBorder="1" applyAlignment="1" applyProtection="1">
      <alignment horizontal="center" vertical="center" wrapText="1" shrinkToFit="1"/>
      <protection locked="0"/>
    </xf>
    <xf numFmtId="0" fontId="0" fillId="0" borderId="17" xfId="0" applyBorder="1" applyAlignment="1">
      <alignment horizontal="center" vertical="center" wrapText="1" shrinkToFit="1"/>
    </xf>
    <xf numFmtId="0" fontId="0" fillId="0" borderId="4" xfId="0" applyBorder="1" applyAlignment="1">
      <alignment horizontal="center" vertical="center" wrapText="1" shrinkToFit="1"/>
    </xf>
    <xf numFmtId="0" fontId="3" fillId="2" borderId="8" xfId="0" applyFont="1" applyFill="1" applyBorder="1" applyAlignment="1" applyProtection="1">
      <alignment horizontal="left" vertical="center" wrapText="1" shrinkToFit="1"/>
      <protection locked="0"/>
    </xf>
    <xf numFmtId="0" fontId="3" fillId="2" borderId="17" xfId="0" applyFont="1" applyFill="1" applyBorder="1" applyAlignment="1" applyProtection="1">
      <alignment horizontal="left" vertical="center" wrapText="1" shrinkToFit="1"/>
      <protection locked="0"/>
    </xf>
    <xf numFmtId="0" fontId="0" fillId="0" borderId="17" xfId="0" applyBorder="1" applyAlignment="1">
      <alignment horizontal="left" vertical="center" wrapText="1" shrinkToFit="1"/>
    </xf>
    <xf numFmtId="0" fontId="0" fillId="0" borderId="4" xfId="0" applyBorder="1" applyAlignment="1">
      <alignment horizontal="left" vertical="center" wrapText="1" shrinkToFit="1"/>
    </xf>
    <xf numFmtId="0" fontId="7" fillId="0" borderId="17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25" fillId="8" borderId="8" xfId="0" applyFont="1" applyFill="1" applyBorder="1" applyAlignment="1">
      <alignment horizontal="center" vertical="center" wrapText="1"/>
    </xf>
    <xf numFmtId="0" fontId="25" fillId="8" borderId="17" xfId="0" applyFont="1" applyFill="1" applyBorder="1" applyAlignment="1">
      <alignment horizontal="center" vertical="center" wrapText="1"/>
    </xf>
    <xf numFmtId="0" fontId="20" fillId="8" borderId="17" xfId="0" applyFont="1" applyFill="1" applyBorder="1" applyAlignment="1">
      <alignment horizontal="center" vertical="center" wrapText="1"/>
    </xf>
    <xf numFmtId="0" fontId="20" fillId="8" borderId="4" xfId="0" applyFont="1" applyFill="1" applyBorder="1" applyAlignment="1">
      <alignment horizontal="center" vertical="center" wrapText="1"/>
    </xf>
    <xf numFmtId="0" fontId="37" fillId="8" borderId="19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31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vertical="center" wrapText="1"/>
    </xf>
    <xf numFmtId="0" fontId="20" fillId="8" borderId="8" xfId="0" applyFont="1" applyFill="1" applyBorder="1" applyAlignment="1">
      <alignment horizontal="left" vertical="center" wrapText="1"/>
    </xf>
    <xf numFmtId="0" fontId="20" fillId="8" borderId="17" xfId="0" applyFont="1" applyFill="1" applyBorder="1" applyAlignment="1">
      <alignment horizontal="left" vertical="center" wrapText="1"/>
    </xf>
    <xf numFmtId="0" fontId="20" fillId="8" borderId="4" xfId="0" applyFont="1" applyFill="1" applyBorder="1" applyAlignment="1">
      <alignment horizontal="left" vertical="center" wrapText="1"/>
    </xf>
    <xf numFmtId="0" fontId="0" fillId="2" borderId="18" xfId="0" applyFill="1" applyBorder="1" applyAlignment="1" applyProtection="1">
      <alignment horizontal="left" vertical="center" wrapText="1"/>
      <protection locked="0"/>
    </xf>
    <xf numFmtId="0" fontId="0" fillId="2" borderId="19" xfId="0" applyFill="1" applyBorder="1" applyAlignment="1" applyProtection="1">
      <alignment horizontal="left" vertical="center" wrapText="1"/>
      <protection locked="0"/>
    </xf>
    <xf numFmtId="0" fontId="0" fillId="2" borderId="21" xfId="0" applyFill="1" applyBorder="1" applyAlignment="1" applyProtection="1">
      <alignment horizontal="left" vertical="center" wrapText="1"/>
      <protection locked="0"/>
    </xf>
    <xf numFmtId="0" fontId="33" fillId="2" borderId="8" xfId="0" applyFont="1" applyFill="1" applyBorder="1" applyAlignment="1" applyProtection="1">
      <alignment horizontal="left" vertical="center" wrapText="1"/>
      <protection locked="0"/>
    </xf>
    <xf numFmtId="0" fontId="0" fillId="2" borderId="4" xfId="0" applyFill="1" applyBorder="1" applyAlignment="1" applyProtection="1">
      <alignment horizontal="left" vertical="center" wrapText="1"/>
      <protection locked="0"/>
    </xf>
    <xf numFmtId="0" fontId="4" fillId="2" borderId="8" xfId="0" applyFont="1" applyFill="1" applyBorder="1" applyAlignment="1" applyProtection="1">
      <alignment horizontal="left" vertical="center" wrapText="1"/>
      <protection locked="0"/>
    </xf>
    <xf numFmtId="0" fontId="4" fillId="2" borderId="17" xfId="0" applyFont="1" applyFill="1" applyBorder="1" applyAlignment="1" applyProtection="1">
      <alignment horizontal="left" vertical="center" wrapText="1"/>
      <protection locked="0"/>
    </xf>
    <xf numFmtId="0" fontId="4" fillId="2" borderId="4" xfId="0" applyFont="1" applyFill="1" applyBorder="1" applyAlignment="1" applyProtection="1">
      <alignment horizontal="left" vertical="center" wrapText="1"/>
      <protection locked="0"/>
    </xf>
    <xf numFmtId="0" fontId="4" fillId="2" borderId="8" xfId="0" applyFont="1" applyFill="1" applyBorder="1" applyAlignment="1">
      <alignment horizontal="left"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39" fillId="2" borderId="8" xfId="0" applyFont="1" applyFill="1" applyBorder="1" applyAlignment="1">
      <alignment horizontal="left" vertical="center" wrapText="1"/>
    </xf>
    <xf numFmtId="0" fontId="8" fillId="2" borderId="17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vertical="center" wrapText="1"/>
    </xf>
    <xf numFmtId="0" fontId="20" fillId="8" borderId="1" xfId="0" applyFont="1" applyFill="1" applyBorder="1" applyAlignment="1">
      <alignment vertical="center" wrapText="1"/>
    </xf>
    <xf numFmtId="0" fontId="20" fillId="8" borderId="18" xfId="0" applyFont="1" applyFill="1" applyBorder="1" applyAlignment="1">
      <alignment horizontal="center" vertical="center" wrapText="1"/>
    </xf>
    <xf numFmtId="0" fontId="20" fillId="8" borderId="19" xfId="0" applyFont="1" applyFill="1" applyBorder="1" applyAlignment="1">
      <alignment horizontal="center" vertical="center" wrapText="1"/>
    </xf>
    <xf numFmtId="0" fontId="20" fillId="8" borderId="21" xfId="0" applyFont="1" applyFill="1" applyBorder="1" applyAlignment="1">
      <alignment horizontal="center" vertical="center" wrapText="1"/>
    </xf>
    <xf numFmtId="0" fontId="20" fillId="8" borderId="14" xfId="0" applyFont="1" applyFill="1" applyBorder="1" applyAlignment="1">
      <alignment horizontal="center" vertical="center" wrapText="1"/>
    </xf>
    <xf numFmtId="0" fontId="20" fillId="8" borderId="22" xfId="0" applyFont="1" applyFill="1" applyBorder="1" applyAlignment="1">
      <alignment horizontal="center" vertical="center" wrapText="1"/>
    </xf>
    <xf numFmtId="0" fontId="20" fillId="8" borderId="23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 applyProtection="1">
      <alignment horizontal="left" vertical="center" wrapText="1"/>
      <protection locked="0"/>
    </xf>
    <xf numFmtId="0" fontId="4" fillId="2" borderId="19" xfId="0" applyFont="1" applyFill="1" applyBorder="1" applyAlignment="1" applyProtection="1">
      <alignment horizontal="left" vertical="center" wrapText="1"/>
      <protection locked="0"/>
    </xf>
    <xf numFmtId="0" fontId="4" fillId="2" borderId="21" xfId="0" applyFont="1" applyFill="1" applyBorder="1" applyAlignment="1" applyProtection="1">
      <alignment horizontal="left" vertical="center" wrapText="1"/>
      <protection locked="0"/>
    </xf>
    <xf numFmtId="0" fontId="4" fillId="2" borderId="14" xfId="0" applyFont="1" applyFill="1" applyBorder="1" applyAlignment="1" applyProtection="1">
      <alignment horizontal="left" vertical="center" wrapText="1"/>
      <protection locked="0"/>
    </xf>
    <xf numFmtId="0" fontId="4" fillId="2" borderId="22" xfId="0" applyFont="1" applyFill="1" applyBorder="1" applyAlignment="1" applyProtection="1">
      <alignment horizontal="left" vertical="center" wrapText="1"/>
      <protection locked="0"/>
    </xf>
    <xf numFmtId="0" fontId="4" fillId="2" borderId="23" xfId="0" applyFont="1" applyFill="1" applyBorder="1" applyAlignment="1" applyProtection="1">
      <alignment horizontal="left" vertical="center" wrapText="1"/>
      <protection locked="0"/>
    </xf>
    <xf numFmtId="0" fontId="21" fillId="8" borderId="1" xfId="0" applyFont="1" applyFill="1" applyBorder="1" applyAlignment="1">
      <alignment horizontal="right" vertical="center" wrapText="1"/>
    </xf>
    <xf numFmtId="0" fontId="7" fillId="2" borderId="8" xfId="0" applyFont="1" applyFill="1" applyBorder="1" applyAlignment="1" applyProtection="1">
      <alignment vertical="center" wrapText="1"/>
      <protection locked="0"/>
    </xf>
    <xf numFmtId="0" fontId="3" fillId="0" borderId="17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1" fillId="8" borderId="8" xfId="0" applyFont="1" applyFill="1" applyBorder="1" applyAlignment="1">
      <alignment horizontal="right" vertical="center" wrapText="1"/>
    </xf>
    <xf numFmtId="0" fontId="21" fillId="8" borderId="4" xfId="0" applyFont="1" applyFill="1" applyBorder="1" applyAlignment="1">
      <alignment horizontal="right" vertical="center" wrapText="1"/>
    </xf>
    <xf numFmtId="0" fontId="9" fillId="2" borderId="8" xfId="0" applyFont="1" applyFill="1" applyBorder="1" applyAlignment="1">
      <alignment vertical="center" wrapText="1"/>
    </xf>
    <xf numFmtId="0" fontId="1" fillId="2" borderId="17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14" fontId="21" fillId="8" borderId="8" xfId="0" applyNumberFormat="1" applyFont="1" applyFill="1" applyBorder="1" applyAlignment="1">
      <alignment horizontal="center" vertical="center" wrapText="1"/>
    </xf>
    <xf numFmtId="14" fontId="21" fillId="8" borderId="17" xfId="0" applyNumberFormat="1" applyFont="1" applyFill="1" applyBorder="1" applyAlignment="1">
      <alignment horizontal="center" vertical="center" wrapText="1"/>
    </xf>
    <xf numFmtId="14" fontId="21" fillId="8" borderId="4" xfId="0" applyNumberFormat="1" applyFont="1" applyFill="1" applyBorder="1" applyAlignment="1">
      <alignment horizontal="center" vertical="center" wrapText="1"/>
    </xf>
    <xf numFmtId="0" fontId="0" fillId="2" borderId="8" xfId="0" applyFill="1" applyBorder="1" applyAlignment="1" applyProtection="1">
      <alignment horizontal="left" vertical="center" wrapText="1"/>
      <protection locked="0"/>
    </xf>
    <xf numFmtId="0" fontId="0" fillId="2" borderId="17" xfId="0" applyFill="1" applyBorder="1" applyAlignment="1" applyProtection="1">
      <alignment horizontal="left" vertical="center" wrapText="1"/>
      <protection locked="0"/>
    </xf>
    <xf numFmtId="0" fontId="20" fillId="8" borderId="8" xfId="0" applyFont="1" applyFill="1" applyBorder="1" applyAlignment="1">
      <alignment horizontal="center" vertical="center" wrapText="1"/>
    </xf>
    <xf numFmtId="0" fontId="15" fillId="0" borderId="40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2" borderId="29" xfId="0" applyFont="1" applyFill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/>
    </xf>
    <xf numFmtId="0" fontId="15" fillId="0" borderId="37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7" borderId="31" xfId="0" applyFont="1" applyFill="1" applyBorder="1" applyAlignment="1">
      <alignment horizontal="center" textRotation="90" wrapText="1"/>
    </xf>
    <xf numFmtId="0" fontId="3" fillId="0" borderId="33" xfId="0" applyFont="1" applyBorder="1" applyAlignment="1">
      <alignment horizontal="center" textRotation="90" wrapText="1"/>
    </xf>
    <xf numFmtId="0" fontId="7" fillId="7" borderId="34" xfId="0" applyFont="1" applyFill="1" applyBorder="1" applyAlignment="1">
      <alignment horizontal="center" textRotation="90" wrapText="1"/>
    </xf>
    <xf numFmtId="0" fontId="3" fillId="0" borderId="35" xfId="0" applyFont="1" applyBorder="1" applyAlignment="1">
      <alignment horizontal="center" textRotation="90" wrapText="1"/>
    </xf>
    <xf numFmtId="0" fontId="7" fillId="7" borderId="36" xfId="0" applyFont="1" applyFill="1" applyBorder="1" applyAlignment="1">
      <alignment horizontal="center" textRotation="90" wrapText="1"/>
    </xf>
    <xf numFmtId="0" fontId="3" fillId="0" borderId="5" xfId="0" applyFont="1" applyBorder="1" applyAlignment="1">
      <alignment horizontal="center" textRotation="90" wrapText="1"/>
    </xf>
    <xf numFmtId="0" fontId="17" fillId="0" borderId="24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34" fillId="2" borderId="18" xfId="0" applyFont="1" applyFill="1" applyBorder="1" applyAlignment="1" applyProtection="1">
      <alignment horizontal="center" vertical="center" wrapText="1"/>
    </xf>
    <xf numFmtId="0" fontId="34" fillId="2" borderId="19" xfId="0" applyFont="1" applyFill="1" applyBorder="1" applyAlignment="1" applyProtection="1">
      <alignment horizontal="center" vertical="center" wrapText="1"/>
    </xf>
    <xf numFmtId="0" fontId="34" fillId="2" borderId="21" xfId="0" applyFont="1" applyFill="1" applyBorder="1" applyAlignment="1" applyProtection="1">
      <alignment horizontal="center" vertical="center" wrapText="1"/>
    </xf>
    <xf numFmtId="0" fontId="34" fillId="2" borderId="29" xfId="0" applyFont="1" applyFill="1" applyBorder="1" applyAlignment="1" applyProtection="1">
      <alignment horizontal="center" vertical="center" wrapText="1"/>
    </xf>
    <xf numFmtId="0" fontId="34" fillId="2" borderId="0" xfId="0" applyFont="1" applyFill="1" applyBorder="1" applyAlignment="1" applyProtection="1">
      <alignment horizontal="center" vertical="center" wrapText="1"/>
    </xf>
    <xf numFmtId="0" fontId="34" fillId="2" borderId="30" xfId="0" applyFont="1" applyFill="1" applyBorder="1" applyAlignment="1" applyProtection="1">
      <alignment horizontal="center" vertical="center" wrapText="1"/>
    </xf>
    <xf numFmtId="0" fontId="5" fillId="7" borderId="26" xfId="0" applyFont="1" applyFill="1" applyBorder="1" applyAlignment="1">
      <alignment horizontal="justify" wrapText="1"/>
    </xf>
    <xf numFmtId="0" fontId="5" fillId="7" borderId="27" xfId="0" applyFont="1" applyFill="1" applyBorder="1" applyAlignment="1">
      <alignment horizontal="justify" wrapText="1"/>
    </xf>
    <xf numFmtId="0" fontId="5" fillId="7" borderId="28" xfId="0" applyFont="1" applyFill="1" applyBorder="1" applyAlignment="1">
      <alignment horizontal="justify" wrapText="1"/>
    </xf>
    <xf numFmtId="0" fontId="40" fillId="3" borderId="6" xfId="0" applyFont="1" applyFill="1" applyBorder="1" applyAlignment="1">
      <alignment horizontal="center" textRotation="90" wrapText="1"/>
    </xf>
    <xf numFmtId="0" fontId="40" fillId="3" borderId="24" xfId="0" applyFont="1" applyFill="1" applyBorder="1" applyAlignment="1">
      <alignment horizontal="center" textRotation="90" wrapText="1"/>
    </xf>
    <xf numFmtId="0" fontId="40" fillId="3" borderId="25" xfId="0" applyFont="1" applyFill="1" applyBorder="1" applyAlignment="1">
      <alignment horizontal="center" textRotation="90" wrapText="1"/>
    </xf>
    <xf numFmtId="0" fontId="41" fillId="2" borderId="8" xfId="0" applyFont="1" applyFill="1" applyBorder="1" applyAlignment="1">
      <alignment horizontal="left" vertical="center" wrapText="1"/>
    </xf>
    <xf numFmtId="0" fontId="43" fillId="2" borderId="17" xfId="0" applyFont="1" applyFill="1" applyBorder="1" applyAlignment="1">
      <alignment horizontal="left" vertical="center" wrapText="1"/>
    </xf>
    <xf numFmtId="0" fontId="43" fillId="2" borderId="4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666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9</xdr:row>
      <xdr:rowOff>0</xdr:rowOff>
    </xdr:from>
    <xdr:ext cx="184731" cy="264560"/>
    <xdr:sp macro="" textlink="">
      <xdr:nvSpPr>
        <xdr:cNvPr id="3" name="Tekstva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991350" y="3352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16</xdr:row>
      <xdr:rowOff>0</xdr:rowOff>
    </xdr:from>
    <xdr:to>
      <xdr:col>4</xdr:col>
      <xdr:colOff>2117</xdr:colOff>
      <xdr:row>18</xdr:row>
      <xdr:rowOff>146050</xdr:rowOff>
    </xdr:to>
    <xdr:sp macro="" textlink="">
      <xdr:nvSpPr>
        <xdr:cNvPr id="3" name="Text Box 30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19050" y="8528050"/>
          <a:ext cx="2878667" cy="463550"/>
        </a:xfrm>
        <a:prstGeom prst="rect">
          <a:avLst/>
        </a:prstGeom>
        <a:solidFill>
          <a:srgbClr val="00B05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НИЗКИЙ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28575</xdr:colOff>
      <xdr:row>18</xdr:row>
      <xdr:rowOff>431801</xdr:rowOff>
    </xdr:from>
    <xdr:to>
      <xdr:col>4</xdr:col>
      <xdr:colOff>2117</xdr:colOff>
      <xdr:row>23</xdr:row>
      <xdr:rowOff>127000</xdr:rowOff>
    </xdr:to>
    <xdr:sp macro="" textlink="">
      <xdr:nvSpPr>
        <xdr:cNvPr id="4" name="Text Box 3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28575" y="9277351"/>
          <a:ext cx="2869142" cy="812799"/>
        </a:xfrm>
        <a:prstGeom prst="rect">
          <a:avLst/>
        </a:prstGeom>
        <a:solidFill>
          <a:srgbClr val="FFFF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0000"/>
              </a:solidFill>
              <a:latin typeface="Arial"/>
              <a:cs typeface="Arial"/>
            </a:rPr>
            <a:t>УМЕРЕННЫЙ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2117</xdr:colOff>
      <xdr:row>23</xdr:row>
      <xdr:rowOff>438150</xdr:rowOff>
    </xdr:from>
    <xdr:to>
      <xdr:col>4</xdr:col>
      <xdr:colOff>2117</xdr:colOff>
      <xdr:row>27</xdr:row>
      <xdr:rowOff>133350</xdr:rowOff>
    </xdr:to>
    <xdr:sp macro="" textlink="">
      <xdr:nvSpPr>
        <xdr:cNvPr id="5" name="Text Box 3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2117" y="10401300"/>
          <a:ext cx="2895600" cy="958850"/>
        </a:xfrm>
        <a:prstGeom prst="rect">
          <a:avLst/>
        </a:prstGeom>
        <a:solidFill>
          <a:srgbClr val="FF00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ВЫСОКИЙ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4</xdr:col>
      <xdr:colOff>2116</xdr:colOff>
      <xdr:row>15</xdr:row>
      <xdr:rowOff>85725</xdr:rowOff>
    </xdr:from>
    <xdr:to>
      <xdr:col>10</xdr:col>
      <xdr:colOff>0</xdr:colOff>
      <xdr:row>18</xdr:row>
      <xdr:rowOff>279400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2897716" y="8455025"/>
          <a:ext cx="5681134" cy="6699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GB">
              <a:solidFill>
                <a:schemeClr val="dk1"/>
              </a:solidFill>
              <a:latin typeface="Calibri"/>
            </a:rPr>
            <a:t>Опасные факторы, уровень риска которых находится в зеленой зоне матрицы, считаются достаточно контролируемыми рисками. Дополнительные меры контроля не требуются. Необходим мониторинг регулярного применения мер контроля.</a:t>
          </a:r>
          <a:endParaRPr lang="en-GB" sz="1100"/>
        </a:p>
      </xdr:txBody>
    </xdr:sp>
    <xdr:clientData/>
  </xdr:twoCellAnchor>
  <xdr:twoCellAnchor>
    <xdr:from>
      <xdr:col>4</xdr:col>
      <xdr:colOff>2117</xdr:colOff>
      <xdr:row>18</xdr:row>
      <xdr:rowOff>368300</xdr:rowOff>
    </xdr:from>
    <xdr:to>
      <xdr:col>10</xdr:col>
      <xdr:colOff>0</xdr:colOff>
      <xdr:row>23</xdr:row>
      <xdr:rowOff>260350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2897717" y="9213850"/>
          <a:ext cx="5681133" cy="1009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Опасные факторы, уровень риска которых находится в желтой зоне матрицы, </a:t>
          </a:r>
          <a:r>
            <a:rPr i="1"/>
            <a:t>требуют</a:t>
          </a:r>
          <a:r>
            <a:t> принятия обязательных мер по снижению уровня риска перед началом выполнения работ. Если это условие является невыполнимым, следует уведомить </a:t>
          </a:r>
          <a:r>
            <a:rPr b="1"/>
            <a:t>капитана/менеджера базового подразделения</a:t>
          </a:r>
          <a:r>
            <a:t> (в зависимости от места выполнения работ – в плавании или на берегу).</a:t>
          </a:r>
          <a:endParaRPr lang="en-GB" sz="1100"/>
        </a:p>
      </xdr:txBody>
    </xdr:sp>
    <xdr:clientData/>
  </xdr:twoCellAnchor>
  <xdr:twoCellAnchor>
    <xdr:from>
      <xdr:col>4</xdr:col>
      <xdr:colOff>2117</xdr:colOff>
      <xdr:row>23</xdr:row>
      <xdr:rowOff>355601</xdr:rowOff>
    </xdr:from>
    <xdr:to>
      <xdr:col>10</xdr:col>
      <xdr:colOff>0</xdr:colOff>
      <xdr:row>28</xdr:row>
      <xdr:rowOff>114300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2897717" y="10318751"/>
          <a:ext cx="5681133" cy="11810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При наличии опасных факторов с уровнем риска в красной зоне приступать к выполнению задания </a:t>
          </a:r>
          <a:r>
            <a:rPr i="1"/>
            <a:t>запрещено</a:t>
          </a:r>
          <a:r>
            <a:t>. Необходимо уведомить </a:t>
          </a:r>
          <a:r>
            <a:rPr b="1"/>
            <a:t>капитана/менеджера базового подразделения</a:t>
          </a:r>
          <a:r>
            <a:t> (в море/на берегу, в зависимости от обстоятельств). Если снижение уровня риска не представляется возможным даже при наличии неограниченных ресурсов, запрет на выполнение работ должен оставаться в силе до тех пор, пока не будет найден более безопасный способ выполнения задания.</a:t>
          </a:r>
          <a:r>
            <a:rPr lang="en-GB"/>
            <a:t> </a:t>
          </a:r>
          <a:endParaRPr lang="en-GB" sz="1100"/>
        </a:p>
      </xdr:txBody>
    </xdr:sp>
    <xdr:clientData/>
  </xdr:twoCellAnchor>
  <xdr:twoCellAnchor>
    <xdr:from>
      <xdr:col>4</xdr:col>
      <xdr:colOff>104774</xdr:colOff>
      <xdr:row>30</xdr:row>
      <xdr:rowOff>12700</xdr:rowOff>
    </xdr:from>
    <xdr:to>
      <xdr:col>9</xdr:col>
      <xdr:colOff>866774</xdr:colOff>
      <xdr:row>32</xdr:row>
      <xdr:rowOff>942975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3000374" y="11715750"/>
          <a:ext cx="5530850" cy="12477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GB" b="1">
              <a:solidFill>
                <a:schemeClr val="dk1"/>
              </a:solidFill>
              <a:latin typeface="Calibri"/>
            </a:rPr>
            <a:t>РИСК = ВЕРОЯТНОСТЬ X ТЯЖЕСТЬ ПОСЛЕДСТВИЙ</a:t>
          </a: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W49"/>
  <sheetViews>
    <sheetView tabSelected="1" zoomScale="80" zoomScaleNormal="80" zoomScalePageLayoutView="73" workbookViewId="0">
      <selection activeCell="C7" sqref="C7"/>
    </sheetView>
  </sheetViews>
  <sheetFormatPr defaultColWidth="9.140625" defaultRowHeight="12.75" x14ac:dyDescent="0.2"/>
  <cols>
    <col min="1" max="1" width="6.85546875" style="3" customWidth="1"/>
    <col min="2" max="2" width="28.5703125" style="3" customWidth="1"/>
    <col min="3" max="3" width="66.140625" style="3" customWidth="1"/>
    <col min="4" max="4" width="4.85546875" style="3" customWidth="1"/>
    <col min="5" max="5" width="5.140625" style="3" customWidth="1"/>
    <col min="6" max="6" width="5.42578125" style="3" customWidth="1"/>
    <col min="7" max="7" width="16.85546875" style="3" customWidth="1"/>
    <col min="8" max="8" width="37" style="3" customWidth="1"/>
    <col min="9" max="9" width="58.42578125" style="3" hidden="1" customWidth="1"/>
    <col min="10" max="10" width="19.5703125" style="3" customWidth="1"/>
    <col min="11" max="11" width="5.42578125" style="3" customWidth="1"/>
    <col min="12" max="12" width="5.140625" style="3" customWidth="1"/>
    <col min="13" max="13" width="5.5703125" style="3" customWidth="1"/>
    <col min="14" max="14" width="10.140625" style="3" customWidth="1"/>
    <col min="15" max="15" width="9.140625" style="3" customWidth="1"/>
    <col min="16" max="16" width="9.140625" style="3" hidden="1" customWidth="1"/>
    <col min="17" max="17" width="11.5703125" style="7" hidden="1" customWidth="1"/>
    <col min="18" max="18" width="13.42578125" style="3" hidden="1" customWidth="1"/>
    <col min="19" max="20" width="14.42578125" style="3" hidden="1" customWidth="1"/>
    <col min="21" max="21" width="10.140625" style="3" hidden="1" customWidth="1"/>
    <col min="22" max="23" width="9.140625" style="3" hidden="1" customWidth="1"/>
    <col min="24" max="16384" width="9.140625" style="3"/>
  </cols>
  <sheetData>
    <row r="1" spans="1:23" ht="11.25" customHeight="1" x14ac:dyDescent="0.35">
      <c r="A1" s="105" t="s">
        <v>70</v>
      </c>
      <c r="B1" s="106"/>
      <c r="C1" s="52"/>
      <c r="D1" s="53"/>
      <c r="E1" s="53"/>
      <c r="F1" s="53"/>
      <c r="G1" s="54"/>
      <c r="H1" s="55"/>
      <c r="I1" s="1"/>
      <c r="J1" s="60"/>
      <c r="K1" s="54"/>
      <c r="L1" s="54"/>
      <c r="M1" s="61"/>
      <c r="Q1" s="14" t="s">
        <v>11</v>
      </c>
      <c r="R1" s="14" t="s">
        <v>12</v>
      </c>
      <c r="S1" s="14" t="s">
        <v>13</v>
      </c>
      <c r="T1" s="14" t="s">
        <v>14</v>
      </c>
      <c r="U1" s="14" t="s">
        <v>15</v>
      </c>
      <c r="V1" s="14" t="s">
        <v>16</v>
      </c>
      <c r="W1" s="18" t="s">
        <v>17</v>
      </c>
    </row>
    <row r="2" spans="1:23" ht="25.5" customHeight="1" x14ac:dyDescent="0.2">
      <c r="A2" s="107"/>
      <c r="B2" s="108"/>
      <c r="C2" s="56"/>
      <c r="D2" s="50"/>
      <c r="E2" s="50"/>
      <c r="F2" s="50"/>
      <c r="G2" s="50"/>
      <c r="H2" s="57"/>
      <c r="I2" s="4"/>
      <c r="J2" s="111" t="s">
        <v>0</v>
      </c>
      <c r="K2" s="112"/>
      <c r="L2" s="112"/>
      <c r="M2" s="113"/>
      <c r="P2" s="7"/>
      <c r="Q2" s="14">
        <v>1</v>
      </c>
      <c r="R2" s="14" t="s">
        <v>18</v>
      </c>
      <c r="S2" s="15"/>
      <c r="T2" s="15"/>
      <c r="U2" s="15"/>
      <c r="V2" s="15"/>
      <c r="W2" s="18" t="s">
        <v>19</v>
      </c>
    </row>
    <row r="3" spans="1:23" ht="25.5" customHeight="1" x14ac:dyDescent="0.2">
      <c r="A3" s="107"/>
      <c r="B3" s="108"/>
      <c r="C3" s="118" t="s">
        <v>71</v>
      </c>
      <c r="D3" s="119"/>
      <c r="E3" s="119"/>
      <c r="F3" s="119"/>
      <c r="G3" s="119"/>
      <c r="H3" s="120"/>
      <c r="J3" s="114" t="s">
        <v>73</v>
      </c>
      <c r="K3" s="112"/>
      <c r="L3" s="112"/>
      <c r="M3" s="113"/>
      <c r="P3" s="7"/>
      <c r="Q3" s="14">
        <v>2</v>
      </c>
      <c r="R3" s="14" t="s">
        <v>20</v>
      </c>
      <c r="S3" s="15"/>
      <c r="T3" s="15"/>
      <c r="U3" s="15"/>
      <c r="V3" s="15"/>
      <c r="W3" s="18" t="s">
        <v>21</v>
      </c>
    </row>
    <row r="4" spans="1:23" ht="39.75" customHeight="1" x14ac:dyDescent="0.2">
      <c r="A4" s="109"/>
      <c r="B4" s="110"/>
      <c r="C4" s="59"/>
      <c r="D4" s="51"/>
      <c r="E4" s="51"/>
      <c r="F4" s="51"/>
      <c r="G4" s="51"/>
      <c r="H4" s="58"/>
      <c r="J4" s="115" t="s">
        <v>74</v>
      </c>
      <c r="K4" s="116"/>
      <c r="L4" s="116"/>
      <c r="M4" s="117"/>
      <c r="P4" s="7"/>
      <c r="Q4" s="14"/>
      <c r="R4" s="14"/>
      <c r="S4" s="15"/>
      <c r="T4" s="15"/>
      <c r="U4" s="15"/>
      <c r="V4" s="15"/>
      <c r="W4" s="18"/>
    </row>
    <row r="5" spans="1:23" ht="8.4499999999999993" customHeight="1" x14ac:dyDescent="0.2">
      <c r="A5" s="62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P5" s="7"/>
      <c r="Q5" s="14">
        <v>3</v>
      </c>
      <c r="R5" s="14" t="s">
        <v>22</v>
      </c>
      <c r="S5" s="15"/>
      <c r="T5" s="15"/>
      <c r="U5" s="15"/>
      <c r="V5" s="15"/>
      <c r="W5" s="18" t="s">
        <v>23</v>
      </c>
    </row>
    <row r="6" spans="1:23" s="7" customFormat="1" ht="47.25" customHeight="1" x14ac:dyDescent="0.2">
      <c r="A6" s="174" t="s">
        <v>75</v>
      </c>
      <c r="B6" s="174"/>
      <c r="C6" s="87"/>
      <c r="D6" s="63"/>
      <c r="E6" s="63"/>
      <c r="F6" s="64"/>
      <c r="G6" s="78" t="s">
        <v>77</v>
      </c>
      <c r="H6" s="103" t="s">
        <v>89</v>
      </c>
      <c r="I6" s="63"/>
      <c r="J6" s="90" t="s">
        <v>81</v>
      </c>
      <c r="K6" s="129" t="s">
        <v>72</v>
      </c>
      <c r="L6" s="129"/>
      <c r="M6" s="130"/>
      <c r="Q6" s="14">
        <v>4</v>
      </c>
      <c r="R6" s="14" t="s">
        <v>24</v>
      </c>
      <c r="S6" s="14"/>
      <c r="T6" s="14"/>
      <c r="U6" s="14"/>
      <c r="V6" s="14"/>
    </row>
    <row r="7" spans="1:23" s="7" customFormat="1" ht="46.5" customHeight="1" x14ac:dyDescent="0.2">
      <c r="A7" s="178" t="s">
        <v>76</v>
      </c>
      <c r="B7" s="179"/>
      <c r="C7" s="86"/>
      <c r="D7" s="183" t="s">
        <v>78</v>
      </c>
      <c r="E7" s="184"/>
      <c r="F7" s="184"/>
      <c r="G7" s="78" t="s">
        <v>79</v>
      </c>
      <c r="H7" s="175"/>
      <c r="I7" s="176"/>
      <c r="J7" s="177"/>
      <c r="K7" s="183" t="s">
        <v>80</v>
      </c>
      <c r="L7" s="184"/>
      <c r="M7" s="185"/>
      <c r="Q7" s="14">
        <v>5</v>
      </c>
      <c r="R7" s="14" t="s">
        <v>25</v>
      </c>
      <c r="S7" s="14"/>
      <c r="T7" s="14"/>
      <c r="U7" s="14"/>
      <c r="V7" s="14"/>
    </row>
    <row r="8" spans="1:23" ht="115.5" customHeight="1" x14ac:dyDescent="0.2">
      <c r="A8" s="76" t="s">
        <v>88</v>
      </c>
      <c r="B8" s="76" t="s">
        <v>87</v>
      </c>
      <c r="C8" s="76" t="s">
        <v>86</v>
      </c>
      <c r="D8" s="77" t="s">
        <v>83</v>
      </c>
      <c r="E8" s="77" t="s">
        <v>84</v>
      </c>
      <c r="F8" s="77" t="s">
        <v>78</v>
      </c>
      <c r="G8" s="131" t="s">
        <v>82</v>
      </c>
      <c r="H8" s="132"/>
      <c r="I8" s="133"/>
      <c r="J8" s="134"/>
      <c r="K8" s="77" t="s">
        <v>83</v>
      </c>
      <c r="L8" s="77" t="s">
        <v>84</v>
      </c>
      <c r="M8" s="77" t="s">
        <v>85</v>
      </c>
      <c r="Q8" s="14"/>
      <c r="R8" s="15"/>
      <c r="S8" s="15"/>
      <c r="T8" s="15"/>
      <c r="U8" s="15" t="str">
        <f>IF(L11="","",IF(N11="","",IF(M11+O11&lt;=5,$W$12,IF(M11+O11=6,$W$13,IF(M11+O11=7,$W$13,IF(M11+O11&gt;=8,$W$14,""))))))</f>
        <v/>
      </c>
      <c r="V8" s="15"/>
    </row>
    <row r="9" spans="1:23" ht="170.45" customHeight="1" x14ac:dyDescent="0.2">
      <c r="A9" s="88">
        <v>1</v>
      </c>
      <c r="B9" s="91" t="s">
        <v>90</v>
      </c>
      <c r="C9" s="91" t="s">
        <v>91</v>
      </c>
      <c r="D9" s="20">
        <v>4</v>
      </c>
      <c r="E9" s="12" t="s">
        <v>1</v>
      </c>
      <c r="F9" s="75" t="str">
        <f t="shared" ref="F9:F14" si="0">IF(D9="","",(IF(E9="","",IF(U9&lt;=1,"",IF(U9&lt;=5,$W$2,IF(U9=6,$W$3,IF(U9=7,$W$3,IF(U9&gt;=8,$W$5,""))))))))</f>
        <v>M</v>
      </c>
      <c r="G9" s="125" t="s">
        <v>92</v>
      </c>
      <c r="H9" s="126"/>
      <c r="I9" s="127"/>
      <c r="J9" s="128"/>
      <c r="K9" s="20">
        <v>1</v>
      </c>
      <c r="L9" s="12" t="s">
        <v>2</v>
      </c>
      <c r="M9" s="65" t="str">
        <f t="shared" ref="M9:M14" si="1">IF(K9="","",(IF(L9="","",IF(V9&lt;=1,"",IF(V9&lt;=5,$W$2,IF(V9=6,$W$3,IF(V9=7,$W$3,IF(V9&gt;=8,$W$5,""))))))))</f>
        <v>L</v>
      </c>
      <c r="Q9" s="14"/>
      <c r="R9" s="15"/>
      <c r="S9" s="19">
        <f t="shared" ref="S9:S14" si="2">IF(E9="A",1,IF(E9="B",2,IF(E9="C",3,IF(E9="D",4,IF(E9="E",5,"")))))</f>
        <v>3</v>
      </c>
      <c r="T9" s="19">
        <f t="shared" ref="T9:T14" si="3">IF(L9="A",1,IF(L9="B",2,IF(L9="C",3,IF(L9="D",4,IF(L9="E",5,"")))))</f>
        <v>3</v>
      </c>
      <c r="U9" s="15">
        <f t="shared" ref="U9:U14" si="4">D9+S9</f>
        <v>7</v>
      </c>
      <c r="V9" s="15">
        <f t="shared" ref="V9:V14" si="5">K9+T9</f>
        <v>4</v>
      </c>
    </row>
    <row r="10" spans="1:23" ht="67.5" customHeight="1" x14ac:dyDescent="0.2">
      <c r="A10" s="88">
        <v>2</v>
      </c>
      <c r="B10" s="92" t="s">
        <v>93</v>
      </c>
      <c r="C10" s="91" t="s">
        <v>94</v>
      </c>
      <c r="D10" s="20">
        <v>3</v>
      </c>
      <c r="E10" s="12" t="s">
        <v>3</v>
      </c>
      <c r="F10" s="75" t="str">
        <f t="shared" si="0"/>
        <v>M</v>
      </c>
      <c r="G10" s="125" t="s">
        <v>95</v>
      </c>
      <c r="H10" s="126"/>
      <c r="I10" s="127"/>
      <c r="J10" s="128"/>
      <c r="K10" s="20">
        <v>1</v>
      </c>
      <c r="L10" s="12" t="s">
        <v>4</v>
      </c>
      <c r="M10" s="65" t="str">
        <f t="shared" si="1"/>
        <v>L</v>
      </c>
      <c r="Q10" s="14"/>
      <c r="R10" s="15"/>
      <c r="S10" s="19">
        <f t="shared" si="2"/>
        <v>3</v>
      </c>
      <c r="T10" s="19">
        <f t="shared" si="3"/>
        <v>3</v>
      </c>
      <c r="U10" s="15">
        <f t="shared" si="4"/>
        <v>6</v>
      </c>
      <c r="V10" s="15">
        <f t="shared" si="5"/>
        <v>4</v>
      </c>
    </row>
    <row r="11" spans="1:23" ht="210" customHeight="1" x14ac:dyDescent="0.2">
      <c r="A11" s="88">
        <v>3</v>
      </c>
      <c r="B11" s="12" t="s">
        <v>96</v>
      </c>
      <c r="C11" s="91" t="s">
        <v>97</v>
      </c>
      <c r="D11" s="20">
        <v>4</v>
      </c>
      <c r="E11" s="12" t="s">
        <v>5</v>
      </c>
      <c r="F11" s="75" t="str">
        <f t="shared" si="0"/>
        <v>M</v>
      </c>
      <c r="G11" s="125" t="s">
        <v>98</v>
      </c>
      <c r="H11" s="126"/>
      <c r="I11" s="127"/>
      <c r="J11" s="128"/>
      <c r="K11" s="20">
        <v>1</v>
      </c>
      <c r="L11" s="12" t="s">
        <v>6</v>
      </c>
      <c r="M11" s="65" t="str">
        <f t="shared" si="1"/>
        <v>L</v>
      </c>
      <c r="Q11" s="14"/>
      <c r="R11" s="15"/>
      <c r="S11" s="19">
        <f t="shared" si="2"/>
        <v>3</v>
      </c>
      <c r="T11" s="19">
        <f t="shared" si="3"/>
        <v>3</v>
      </c>
      <c r="U11" s="15">
        <f t="shared" si="4"/>
        <v>7</v>
      </c>
      <c r="V11" s="15">
        <f t="shared" si="5"/>
        <v>4</v>
      </c>
    </row>
    <row r="12" spans="1:23" ht="54" customHeight="1" x14ac:dyDescent="0.2">
      <c r="A12" s="88">
        <v>4</v>
      </c>
      <c r="B12" s="12" t="s">
        <v>96</v>
      </c>
      <c r="C12" s="91" t="s">
        <v>99</v>
      </c>
      <c r="D12" s="20">
        <v>3</v>
      </c>
      <c r="E12" s="12" t="s">
        <v>7</v>
      </c>
      <c r="F12" s="75" t="str">
        <f t="shared" si="0"/>
        <v>M</v>
      </c>
      <c r="G12" s="125" t="s">
        <v>100</v>
      </c>
      <c r="H12" s="126"/>
      <c r="I12" s="127"/>
      <c r="J12" s="128"/>
      <c r="K12" s="20">
        <v>1</v>
      </c>
      <c r="L12" s="12" t="s">
        <v>8</v>
      </c>
      <c r="M12" s="65" t="str">
        <f t="shared" si="1"/>
        <v>L</v>
      </c>
      <c r="Q12" s="14"/>
      <c r="R12" s="15"/>
      <c r="S12" s="19">
        <f t="shared" si="2"/>
        <v>3</v>
      </c>
      <c r="T12" s="19">
        <f t="shared" si="3"/>
        <v>3</v>
      </c>
      <c r="U12" s="15">
        <f t="shared" si="4"/>
        <v>6</v>
      </c>
      <c r="V12" s="15">
        <f t="shared" si="5"/>
        <v>4</v>
      </c>
    </row>
    <row r="13" spans="1:23" ht="62.25" customHeight="1" x14ac:dyDescent="0.2">
      <c r="A13" s="88">
        <v>5</v>
      </c>
      <c r="B13" s="91" t="s">
        <v>101</v>
      </c>
      <c r="C13" s="91" t="s">
        <v>102</v>
      </c>
      <c r="D13" s="20">
        <v>3</v>
      </c>
      <c r="E13" s="12" t="s">
        <v>9</v>
      </c>
      <c r="F13" s="75" t="str">
        <f t="shared" si="0"/>
        <v>M</v>
      </c>
      <c r="G13" s="125" t="s">
        <v>103</v>
      </c>
      <c r="H13" s="126"/>
      <c r="I13" s="127"/>
      <c r="J13" s="128"/>
      <c r="K13" s="20">
        <v>1</v>
      </c>
      <c r="L13" s="12" t="s">
        <v>10</v>
      </c>
      <c r="M13" s="65" t="str">
        <f t="shared" si="1"/>
        <v>L</v>
      </c>
      <c r="Q13" s="14"/>
      <c r="R13" s="15"/>
      <c r="S13" s="19">
        <f t="shared" si="2"/>
        <v>3</v>
      </c>
      <c r="T13" s="19">
        <f t="shared" si="3"/>
        <v>3</v>
      </c>
      <c r="U13" s="15">
        <f t="shared" si="4"/>
        <v>6</v>
      </c>
      <c r="V13" s="15">
        <f t="shared" si="5"/>
        <v>4</v>
      </c>
    </row>
    <row r="14" spans="1:23" ht="15" x14ac:dyDescent="0.2">
      <c r="A14" s="88">
        <v>6</v>
      </c>
      <c r="B14" s="89"/>
      <c r="C14" s="13"/>
      <c r="D14" s="20"/>
      <c r="E14" s="12"/>
      <c r="F14" s="75" t="str">
        <f t="shared" si="0"/>
        <v/>
      </c>
      <c r="G14" s="121"/>
      <c r="H14" s="122"/>
      <c r="I14" s="123"/>
      <c r="J14" s="124"/>
      <c r="K14" s="20"/>
      <c r="L14" s="12"/>
      <c r="M14" s="65" t="str">
        <f t="shared" si="1"/>
        <v/>
      </c>
      <c r="Q14" s="14"/>
      <c r="R14" s="15"/>
      <c r="S14" s="19" t="str">
        <f t="shared" si="2"/>
        <v/>
      </c>
      <c r="T14" s="19" t="str">
        <f t="shared" si="3"/>
        <v/>
      </c>
      <c r="U14" s="15" t="e">
        <f t="shared" si="4"/>
        <v>#VALUE!</v>
      </c>
      <c r="V14" s="15" t="e">
        <f t="shared" si="5"/>
        <v>#VALUE!</v>
      </c>
    </row>
    <row r="15" spans="1:23" x14ac:dyDescent="0.2">
      <c r="A15" s="59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8"/>
    </row>
    <row r="16" spans="1:23" ht="50.1" customHeight="1" x14ac:dyDescent="0.2">
      <c r="A16" s="180" t="s">
        <v>104</v>
      </c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2"/>
    </row>
    <row r="17" spans="1:17" s="104" customFormat="1" ht="39.75" customHeight="1" x14ac:dyDescent="0.2">
      <c r="A17" s="135" t="s">
        <v>105</v>
      </c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5"/>
    </row>
    <row r="18" spans="1:17" ht="30.6" customHeight="1" x14ac:dyDescent="0.35">
      <c r="A18" s="93" t="s">
        <v>106</v>
      </c>
      <c r="B18" s="94"/>
      <c r="C18" s="94"/>
      <c r="D18" s="70"/>
      <c r="E18" s="70"/>
      <c r="F18" s="70"/>
      <c r="G18" s="71"/>
      <c r="H18" s="72"/>
      <c r="I18" s="72"/>
      <c r="J18" s="72"/>
      <c r="K18" s="72"/>
      <c r="L18" s="73"/>
      <c r="M18" s="74"/>
    </row>
    <row r="19" spans="1:17" ht="47.25" customHeight="1" x14ac:dyDescent="0.2">
      <c r="A19" s="156" t="s">
        <v>107</v>
      </c>
      <c r="B19" s="157"/>
      <c r="C19" s="157"/>
      <c r="D19" s="157"/>
      <c r="E19" s="157"/>
      <c r="F19" s="157"/>
      <c r="G19" s="157"/>
      <c r="H19" s="157"/>
      <c r="I19" s="157"/>
      <c r="J19" s="157"/>
      <c r="K19" s="157"/>
      <c r="L19" s="157"/>
      <c r="M19" s="158"/>
    </row>
    <row r="20" spans="1:17" s="9" customFormat="1" ht="29.1" customHeight="1" x14ac:dyDescent="0.2">
      <c r="A20" s="222" t="s">
        <v>174</v>
      </c>
      <c r="B20" s="223"/>
      <c r="C20" s="223"/>
      <c r="D20" s="223"/>
      <c r="E20" s="223"/>
      <c r="F20" s="223"/>
      <c r="G20" s="223"/>
      <c r="H20" s="223"/>
      <c r="I20" s="223"/>
      <c r="J20" s="223"/>
      <c r="K20" s="223"/>
      <c r="L20" s="223"/>
      <c r="M20" s="224"/>
      <c r="N20" s="8"/>
      <c r="O20" s="8"/>
      <c r="P20" s="8"/>
      <c r="Q20" s="16"/>
    </row>
    <row r="21" spans="1:17" s="9" customFormat="1" ht="45" customHeight="1" x14ac:dyDescent="0.2">
      <c r="A21" s="66">
        <v>1</v>
      </c>
      <c r="B21" s="136" t="s">
        <v>108</v>
      </c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8"/>
      <c r="O21" s="8"/>
      <c r="P21" s="8"/>
      <c r="Q21" s="16"/>
    </row>
    <row r="22" spans="1:17" s="9" customFormat="1" ht="45" customHeight="1" x14ac:dyDescent="0.2">
      <c r="A22" s="66">
        <v>2</v>
      </c>
      <c r="B22" s="136" t="s">
        <v>109</v>
      </c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8"/>
      <c r="O22" s="8"/>
      <c r="P22" s="8"/>
      <c r="Q22" s="16"/>
    </row>
    <row r="23" spans="1:17" s="9" customFormat="1" ht="45" customHeight="1" x14ac:dyDescent="0.2">
      <c r="A23" s="66">
        <v>3</v>
      </c>
      <c r="B23" s="138" t="s">
        <v>110</v>
      </c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8"/>
      <c r="P23" s="8"/>
      <c r="Q23" s="16"/>
    </row>
    <row r="24" spans="1:17" s="9" customFormat="1" ht="45" customHeight="1" x14ac:dyDescent="0.2">
      <c r="A24" s="66">
        <v>4</v>
      </c>
      <c r="B24" s="136" t="s">
        <v>111</v>
      </c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8"/>
      <c r="P24" s="8"/>
      <c r="Q24" s="16"/>
    </row>
    <row r="25" spans="1:17" s="9" customFormat="1" ht="45" customHeight="1" x14ac:dyDescent="0.2">
      <c r="A25" s="66">
        <v>5</v>
      </c>
      <c r="B25" s="138" t="s">
        <v>112</v>
      </c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8"/>
      <c r="P25" s="8"/>
      <c r="Q25" s="16"/>
    </row>
    <row r="26" spans="1:17" s="9" customFormat="1" ht="45" customHeight="1" x14ac:dyDescent="0.2">
      <c r="A26" s="66">
        <v>6</v>
      </c>
      <c r="B26" s="136" t="s">
        <v>113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8"/>
      <c r="P26" s="8"/>
      <c r="Q26" s="16"/>
    </row>
    <row r="27" spans="1:17" s="9" customFormat="1" ht="45" customHeight="1" x14ac:dyDescent="0.2">
      <c r="A27" s="66">
        <v>7</v>
      </c>
      <c r="B27" s="138" t="s">
        <v>114</v>
      </c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8"/>
      <c r="P27" s="8"/>
      <c r="Q27" s="16"/>
    </row>
    <row r="28" spans="1:17" s="9" customFormat="1" ht="45" customHeight="1" x14ac:dyDescent="0.2">
      <c r="A28" s="66">
        <v>8</v>
      </c>
      <c r="B28" s="138" t="s">
        <v>115</v>
      </c>
      <c r="C28" s="139"/>
      <c r="D28" s="139"/>
      <c r="E28" s="139"/>
      <c r="F28" s="139"/>
      <c r="G28" s="139"/>
      <c r="H28" s="139"/>
      <c r="I28" s="139"/>
      <c r="J28" s="139"/>
      <c r="K28" s="139"/>
      <c r="L28" s="139"/>
      <c r="M28" s="139"/>
      <c r="N28" s="8"/>
      <c r="P28" s="8"/>
      <c r="Q28" s="16"/>
    </row>
    <row r="29" spans="1:17" s="9" customFormat="1" ht="45" customHeight="1" x14ac:dyDescent="0.2">
      <c r="A29" s="66">
        <v>9</v>
      </c>
      <c r="B29" s="138" t="s">
        <v>116</v>
      </c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8"/>
      <c r="P29" s="8"/>
      <c r="Q29" s="16"/>
    </row>
    <row r="30" spans="1:17" s="9" customFormat="1" ht="45" customHeight="1" x14ac:dyDescent="0.2">
      <c r="A30" s="66">
        <v>10</v>
      </c>
      <c r="B30" s="140" t="s">
        <v>117</v>
      </c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8"/>
      <c r="P30" s="8"/>
      <c r="Q30" s="16"/>
    </row>
    <row r="31" spans="1:17" s="9" customFormat="1" ht="45" customHeight="1" x14ac:dyDescent="0.2">
      <c r="A31" s="66">
        <v>11</v>
      </c>
      <c r="B31" s="138" t="s">
        <v>118</v>
      </c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8"/>
      <c r="P31" s="8"/>
      <c r="Q31" s="16"/>
    </row>
    <row r="32" spans="1:17" s="9" customFormat="1" ht="45" customHeight="1" x14ac:dyDescent="0.2">
      <c r="A32" s="66">
        <v>12</v>
      </c>
      <c r="B32" s="138" t="s">
        <v>119</v>
      </c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8"/>
      <c r="P32" s="8"/>
      <c r="Q32" s="16"/>
    </row>
    <row r="33" spans="1:17" s="9" customFormat="1" ht="45" customHeight="1" x14ac:dyDescent="0.2">
      <c r="A33" s="66">
        <v>13</v>
      </c>
      <c r="B33" s="138" t="s">
        <v>120</v>
      </c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8"/>
      <c r="P33" s="8"/>
      <c r="Q33" s="16"/>
    </row>
    <row r="34" spans="1:17" s="9" customFormat="1" ht="45" customHeight="1" x14ac:dyDescent="0.2">
      <c r="A34" s="66">
        <v>14</v>
      </c>
      <c r="B34" s="138" t="s">
        <v>121</v>
      </c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8"/>
      <c r="P34" s="8"/>
      <c r="Q34" s="16"/>
    </row>
    <row r="35" spans="1:17" s="9" customFormat="1" ht="45" customHeight="1" x14ac:dyDescent="0.2">
      <c r="A35" s="66">
        <v>15</v>
      </c>
      <c r="B35" s="138" t="s">
        <v>122</v>
      </c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Q35" s="17"/>
    </row>
    <row r="36" spans="1:17" ht="45" customHeight="1" x14ac:dyDescent="0.2">
      <c r="A36" s="159" t="s">
        <v>123</v>
      </c>
      <c r="B36" s="159"/>
      <c r="C36" s="159"/>
      <c r="D36" s="159"/>
      <c r="E36" s="159"/>
      <c r="F36" s="159"/>
      <c r="G36" s="159"/>
      <c r="H36" s="160"/>
      <c r="I36" s="160"/>
      <c r="J36" s="160"/>
      <c r="K36" s="160"/>
      <c r="L36" s="160"/>
      <c r="M36" s="160"/>
    </row>
    <row r="37" spans="1:17" ht="25.5" customHeight="1" x14ac:dyDescent="0.2">
      <c r="A37" s="142" t="s">
        <v>124</v>
      </c>
      <c r="B37" s="144"/>
      <c r="C37" s="79" t="s">
        <v>125</v>
      </c>
      <c r="D37" s="142" t="s">
        <v>126</v>
      </c>
      <c r="E37" s="143"/>
      <c r="F37" s="143"/>
      <c r="G37" s="144"/>
      <c r="H37" s="142" t="s">
        <v>127</v>
      </c>
      <c r="I37" s="143"/>
      <c r="J37" s="143"/>
      <c r="K37" s="143"/>
      <c r="L37" s="143"/>
      <c r="M37" s="144"/>
    </row>
    <row r="38" spans="1:17" ht="18" customHeight="1" x14ac:dyDescent="0.2">
      <c r="A38" s="148"/>
      <c r="B38" s="149"/>
      <c r="C38" s="102"/>
      <c r="D38" s="186"/>
      <c r="E38" s="187"/>
      <c r="F38" s="187"/>
      <c r="G38" s="149"/>
      <c r="H38" s="145"/>
      <c r="I38" s="146"/>
      <c r="J38" s="146"/>
      <c r="K38" s="146"/>
      <c r="L38" s="146"/>
      <c r="M38" s="147"/>
    </row>
    <row r="39" spans="1:17" ht="18" customHeight="1" x14ac:dyDescent="0.2">
      <c r="A39" s="148"/>
      <c r="B39" s="149"/>
      <c r="C39" s="102"/>
      <c r="D39" s="95"/>
      <c r="E39" s="96"/>
      <c r="F39" s="96"/>
      <c r="G39" s="97"/>
      <c r="H39" s="99"/>
      <c r="I39" s="100"/>
      <c r="J39" s="100"/>
      <c r="K39" s="100"/>
      <c r="L39" s="100"/>
      <c r="M39" s="98"/>
    </row>
    <row r="40" spans="1:17" ht="18" customHeight="1" x14ac:dyDescent="0.2">
      <c r="A40" s="95"/>
      <c r="B40" s="97"/>
      <c r="C40" s="6"/>
      <c r="D40" s="95"/>
      <c r="E40" s="96"/>
      <c r="F40" s="96"/>
      <c r="G40" s="97"/>
      <c r="H40" s="99"/>
      <c r="I40" s="100"/>
      <c r="J40" s="100"/>
      <c r="K40" s="100"/>
      <c r="L40" s="100"/>
      <c r="M40" s="98"/>
    </row>
    <row r="41" spans="1:17" ht="18" customHeight="1" x14ac:dyDescent="0.2">
      <c r="A41" s="95"/>
      <c r="B41" s="97"/>
      <c r="C41" s="6"/>
      <c r="D41" s="95"/>
      <c r="E41" s="96"/>
      <c r="F41" s="96"/>
      <c r="G41" s="97"/>
      <c r="H41" s="99"/>
      <c r="I41" s="100"/>
      <c r="J41" s="100"/>
      <c r="K41" s="100"/>
      <c r="L41" s="100"/>
      <c r="M41" s="98"/>
    </row>
    <row r="42" spans="1:17" ht="18" customHeight="1" x14ac:dyDescent="0.2">
      <c r="A42" s="95"/>
      <c r="B42" s="97"/>
      <c r="C42" s="6"/>
      <c r="D42" s="95"/>
      <c r="E42" s="96"/>
      <c r="F42" s="96"/>
      <c r="G42" s="97"/>
      <c r="H42" s="99"/>
      <c r="I42" s="100"/>
      <c r="J42" s="100"/>
      <c r="K42" s="100"/>
      <c r="L42" s="100"/>
      <c r="M42" s="98"/>
    </row>
    <row r="43" spans="1:17" ht="18" customHeight="1" x14ac:dyDescent="0.2">
      <c r="A43" s="95"/>
      <c r="B43" s="97"/>
      <c r="C43" s="6"/>
      <c r="D43" s="95"/>
      <c r="E43" s="96"/>
      <c r="F43" s="96"/>
      <c r="G43" s="97"/>
      <c r="H43" s="99"/>
      <c r="I43" s="100"/>
      <c r="J43" s="100"/>
      <c r="K43" s="100"/>
      <c r="L43" s="100"/>
      <c r="M43" s="98"/>
    </row>
    <row r="44" spans="1:17" ht="35.450000000000003" customHeight="1" x14ac:dyDescent="0.2">
      <c r="A44" s="153" t="s">
        <v>133</v>
      </c>
      <c r="B44" s="154"/>
      <c r="C44" s="154"/>
      <c r="D44" s="154"/>
      <c r="E44" s="154"/>
      <c r="F44" s="154"/>
      <c r="G44" s="154"/>
      <c r="H44" s="154"/>
      <c r="I44" s="154"/>
      <c r="J44" s="154"/>
      <c r="K44" s="154"/>
      <c r="L44" s="154"/>
      <c r="M44" s="155"/>
    </row>
    <row r="45" spans="1:17" ht="30.75" customHeight="1" x14ac:dyDescent="0.2">
      <c r="A45" s="161" t="s">
        <v>128</v>
      </c>
      <c r="B45" s="161"/>
      <c r="C45" s="80" t="s">
        <v>129</v>
      </c>
      <c r="D45" s="162" t="s">
        <v>130</v>
      </c>
      <c r="E45" s="163"/>
      <c r="F45" s="164"/>
      <c r="G45" s="168"/>
      <c r="H45" s="169"/>
      <c r="I45" s="169"/>
      <c r="J45" s="169"/>
      <c r="K45" s="169"/>
      <c r="L45" s="169"/>
      <c r="M45" s="170"/>
    </row>
    <row r="46" spans="1:17" ht="36" customHeight="1" x14ac:dyDescent="0.2">
      <c r="A46" s="148"/>
      <c r="B46" s="152"/>
      <c r="C46" s="101"/>
      <c r="D46" s="165"/>
      <c r="E46" s="166"/>
      <c r="F46" s="167"/>
      <c r="G46" s="171"/>
      <c r="H46" s="172"/>
      <c r="I46" s="172"/>
      <c r="J46" s="172"/>
      <c r="K46" s="172"/>
      <c r="L46" s="172"/>
      <c r="M46" s="173"/>
    </row>
    <row r="47" spans="1:17" s="10" customFormat="1" ht="15" customHeight="1" x14ac:dyDescent="0.2">
      <c r="A47" s="67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9"/>
    </row>
    <row r="48" spans="1:17" ht="87" customHeight="1" x14ac:dyDescent="0.2">
      <c r="A48" s="188" t="s">
        <v>131</v>
      </c>
      <c r="B48" s="134"/>
      <c r="C48" s="150"/>
      <c r="D48" s="151"/>
      <c r="E48" s="151"/>
      <c r="F48" s="151"/>
      <c r="G48" s="151"/>
      <c r="H48" s="151"/>
      <c r="I48" s="151"/>
      <c r="J48" s="151"/>
      <c r="K48" s="151"/>
      <c r="L48" s="151"/>
      <c r="M48" s="152"/>
    </row>
    <row r="49" spans="1:13" s="11" customFormat="1" ht="24" customHeight="1" x14ac:dyDescent="0.2">
      <c r="A49" s="159" t="s">
        <v>132</v>
      </c>
      <c r="B49" s="159"/>
      <c r="C49" s="159"/>
      <c r="D49" s="159"/>
      <c r="E49" s="159"/>
      <c r="F49" s="159"/>
      <c r="G49" s="159"/>
      <c r="H49" s="159"/>
      <c r="I49" s="159"/>
      <c r="J49" s="159"/>
      <c r="K49" s="159"/>
      <c r="L49" s="159"/>
      <c r="M49" s="159"/>
    </row>
  </sheetData>
  <sheetProtection formatCells="0" formatColumns="0" formatRows="0" insertColumns="0" insertRows="0" insertHyperlinks="0" deleteColumns="0" deleteRows="0" sort="0" autoFilter="0" pivotTables="0"/>
  <mergeCells count="53">
    <mergeCell ref="A6:B6"/>
    <mergeCell ref="H7:J7"/>
    <mergeCell ref="A49:M49"/>
    <mergeCell ref="A7:B7"/>
    <mergeCell ref="A16:M16"/>
    <mergeCell ref="B29:M29"/>
    <mergeCell ref="B34:M34"/>
    <mergeCell ref="B31:M31"/>
    <mergeCell ref="B32:M32"/>
    <mergeCell ref="B33:M33"/>
    <mergeCell ref="K7:M7"/>
    <mergeCell ref="D7:F7"/>
    <mergeCell ref="D37:G37"/>
    <mergeCell ref="D38:G38"/>
    <mergeCell ref="A48:B48"/>
    <mergeCell ref="A39:B39"/>
    <mergeCell ref="C48:M48"/>
    <mergeCell ref="A44:M44"/>
    <mergeCell ref="A19:M19"/>
    <mergeCell ref="B21:M21"/>
    <mergeCell ref="B22:M22"/>
    <mergeCell ref="B23:M23"/>
    <mergeCell ref="A36:M36"/>
    <mergeCell ref="A45:B45"/>
    <mergeCell ref="B26:M26"/>
    <mergeCell ref="A46:B46"/>
    <mergeCell ref="A20:M20"/>
    <mergeCell ref="D45:F46"/>
    <mergeCell ref="G45:M46"/>
    <mergeCell ref="B30:M30"/>
    <mergeCell ref="B35:M35"/>
    <mergeCell ref="H37:M37"/>
    <mergeCell ref="H38:M38"/>
    <mergeCell ref="A37:B37"/>
    <mergeCell ref="A38:B38"/>
    <mergeCell ref="A17:M17"/>
    <mergeCell ref="B24:M24"/>
    <mergeCell ref="B25:M25"/>
    <mergeCell ref="B28:M28"/>
    <mergeCell ref="B27:M27"/>
    <mergeCell ref="G14:J14"/>
    <mergeCell ref="G13:J13"/>
    <mergeCell ref="K6:M6"/>
    <mergeCell ref="G8:J8"/>
    <mergeCell ref="G9:J9"/>
    <mergeCell ref="G10:J10"/>
    <mergeCell ref="G11:J11"/>
    <mergeCell ref="G12:J12"/>
    <mergeCell ref="A1:B4"/>
    <mergeCell ref="J2:M2"/>
    <mergeCell ref="J3:M3"/>
    <mergeCell ref="J4:M4"/>
    <mergeCell ref="C3:H3"/>
  </mergeCells>
  <phoneticPr fontId="0" type="noConversion"/>
  <conditionalFormatting sqref="F9:F14 M9:M14">
    <cfRule type="cellIs" dxfId="2" priority="7" stopIfTrue="1" operator="equal">
      <formula>$W$5</formula>
    </cfRule>
    <cfRule type="cellIs" dxfId="1" priority="8" stopIfTrue="1" operator="equal">
      <formula>$W$3</formula>
    </cfRule>
    <cfRule type="cellIs" dxfId="0" priority="9" stopIfTrue="1" operator="equal">
      <formula>$W$2</formula>
    </cfRule>
  </conditionalFormatting>
  <dataValidations count="2">
    <dataValidation type="list" allowBlank="1" showInputMessage="1" showErrorMessage="1" sqref="K9:K14 D9:D14">
      <formula1>$Q$2:$Q$7</formula1>
    </dataValidation>
    <dataValidation type="list" allowBlank="1" showInputMessage="1" showErrorMessage="1" sqref="L9:L14 E9:E14">
      <formula1>$R$2:$R$7</formula1>
    </dataValidation>
  </dataValidations>
  <pageMargins left="0.62029109589041098" right="0.59332191780821919" top="0.55118110236220474" bottom="0.51181102362204722" header="7.874015748031496E-2" footer="0.23622047244094491"/>
  <pageSetup paperSize="9" scale="63" fitToHeight="2" orientation="landscape" copies="3" r:id="rId1"/>
  <headerFooter>
    <oddFooter>&amp;L&amp;8&amp;K000000Issue date: 06-03-2017 Revision: 02Document owner: Group SHEQ Manager.&amp;R&amp;8&amp;P/&amp;N</oddFooter>
  </headerFooter>
  <rowBreaks count="1" manualBreakCount="1">
    <brk id="17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"/>
  <sheetViews>
    <sheetView view="pageBreakPreview" zoomScaleNormal="100" zoomScaleSheetLayoutView="100" zoomScalePageLayoutView="80" workbookViewId="0">
      <selection activeCell="A10" sqref="A10:B10"/>
    </sheetView>
  </sheetViews>
  <sheetFormatPr defaultColWidth="9.140625" defaultRowHeight="12.75" x14ac:dyDescent="0.2"/>
  <cols>
    <col min="1" max="1" width="4.42578125" style="3" customWidth="1"/>
    <col min="2" max="2" width="9.42578125" style="3" customWidth="1"/>
    <col min="3" max="3" width="13.5703125" style="3" customWidth="1"/>
    <col min="4" max="4" width="14" style="3" customWidth="1"/>
    <col min="5" max="5" width="13.85546875" style="3" customWidth="1"/>
    <col min="6" max="6" width="12.85546875" style="3" customWidth="1"/>
    <col min="7" max="7" width="13.85546875" style="3" customWidth="1"/>
    <col min="8" max="8" width="13.42578125" style="3" customWidth="1"/>
    <col min="9" max="9" width="14.140625" style="3" customWidth="1"/>
    <col min="10" max="10" width="13.140625" style="3" customWidth="1"/>
    <col min="11" max="12" width="11.5703125" style="3" hidden="1" customWidth="1"/>
    <col min="13" max="14" width="9.140625" style="3" hidden="1" customWidth="1"/>
    <col min="15" max="15" width="11.5703125" style="7" hidden="1" customWidth="1"/>
    <col min="16" max="16" width="13.42578125" style="3" hidden="1" customWidth="1"/>
    <col min="17" max="18" width="14.42578125" style="3" hidden="1" customWidth="1"/>
    <col min="19" max="19" width="10.140625" style="3" hidden="1" customWidth="1"/>
    <col min="20" max="21" width="9.140625" style="3" hidden="1" customWidth="1"/>
    <col min="22" max="22" width="0.5703125" style="3" customWidth="1"/>
    <col min="23" max="23" width="2.42578125" style="3" customWidth="1"/>
    <col min="24" max="16384" width="9.140625" style="3"/>
  </cols>
  <sheetData>
    <row r="1" spans="1:22" ht="25.5" customHeight="1" x14ac:dyDescent="0.35">
      <c r="A1" s="210" t="s">
        <v>70</v>
      </c>
      <c r="B1" s="211"/>
      <c r="C1" s="212"/>
      <c r="D1" s="52"/>
      <c r="E1" s="53"/>
      <c r="F1" s="53"/>
      <c r="G1" s="54"/>
      <c r="H1" s="55"/>
      <c r="I1" s="191" t="s">
        <v>26</v>
      </c>
      <c r="J1" s="192"/>
      <c r="O1" s="14" t="s">
        <v>45</v>
      </c>
      <c r="P1" s="14" t="s">
        <v>46</v>
      </c>
      <c r="Q1" s="14" t="s">
        <v>47</v>
      </c>
      <c r="R1" s="14" t="s">
        <v>48</v>
      </c>
      <c r="S1" s="14" t="s">
        <v>49</v>
      </c>
      <c r="T1" s="14" t="s">
        <v>50</v>
      </c>
      <c r="U1" s="18" t="s">
        <v>51</v>
      </c>
      <c r="V1" s="2"/>
    </row>
    <row r="2" spans="1:22" ht="25.5" customHeight="1" x14ac:dyDescent="0.2">
      <c r="A2" s="213"/>
      <c r="B2" s="214"/>
      <c r="C2" s="215"/>
      <c r="D2" s="197" t="s">
        <v>134</v>
      </c>
      <c r="E2" s="119"/>
      <c r="F2" s="119"/>
      <c r="G2" s="119"/>
      <c r="H2" s="120"/>
      <c r="I2" s="193" t="s">
        <v>135</v>
      </c>
      <c r="J2" s="194"/>
      <c r="N2" s="7"/>
      <c r="O2" s="14">
        <v>1</v>
      </c>
      <c r="P2" s="14" t="s">
        <v>52</v>
      </c>
      <c r="Q2" s="15"/>
      <c r="R2" s="15"/>
      <c r="S2" s="15"/>
      <c r="T2" s="15"/>
      <c r="U2" s="18" t="s">
        <v>53</v>
      </c>
      <c r="V2" s="5"/>
    </row>
    <row r="3" spans="1:22" ht="29.25" customHeight="1" x14ac:dyDescent="0.2">
      <c r="A3" s="213"/>
      <c r="B3" s="214"/>
      <c r="C3" s="215"/>
      <c r="D3" s="81"/>
      <c r="E3" s="82"/>
      <c r="F3" s="82"/>
      <c r="G3" s="82"/>
      <c r="H3" s="83"/>
      <c r="I3" s="195" t="s">
        <v>74</v>
      </c>
      <c r="J3" s="196"/>
      <c r="K3" s="49"/>
      <c r="L3" s="49"/>
      <c r="M3" s="22"/>
    </row>
    <row r="4" spans="1:22" ht="18.75" thickBot="1" x14ac:dyDescent="0.25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22"/>
    </row>
    <row r="5" spans="1:22" ht="32.25" customHeight="1" thickBot="1" x14ac:dyDescent="0.25">
      <c r="A5" s="202" t="s">
        <v>83</v>
      </c>
      <c r="B5" s="203"/>
      <c r="C5" s="216" t="s">
        <v>137</v>
      </c>
      <c r="D5" s="217"/>
      <c r="E5" s="217"/>
      <c r="F5" s="217"/>
      <c r="G5" s="218"/>
      <c r="H5" s="216" t="s">
        <v>136</v>
      </c>
      <c r="I5" s="217"/>
      <c r="J5" s="217"/>
      <c r="K5" s="217"/>
      <c r="L5" s="218"/>
      <c r="M5" s="22"/>
    </row>
    <row r="6" spans="1:22" ht="20.25" customHeight="1" thickBot="1" x14ac:dyDescent="0.25">
      <c r="A6" s="204"/>
      <c r="B6" s="205"/>
      <c r="C6" s="219" t="s">
        <v>138</v>
      </c>
      <c r="D6" s="219" t="s">
        <v>139</v>
      </c>
      <c r="E6" s="219" t="s">
        <v>140</v>
      </c>
      <c r="F6" s="219" t="s">
        <v>141</v>
      </c>
      <c r="G6" s="219" t="s">
        <v>142</v>
      </c>
      <c r="H6" s="84" t="s">
        <v>27</v>
      </c>
      <c r="I6" s="84" t="s">
        <v>28</v>
      </c>
      <c r="J6" s="84" t="s">
        <v>29</v>
      </c>
      <c r="K6" s="21" t="s">
        <v>54</v>
      </c>
      <c r="L6" s="21" t="s">
        <v>55</v>
      </c>
      <c r="M6" s="22"/>
    </row>
    <row r="7" spans="1:22" ht="127.5" customHeight="1" x14ac:dyDescent="0.2">
      <c r="A7" s="204"/>
      <c r="B7" s="205"/>
      <c r="C7" s="220"/>
      <c r="D7" s="220"/>
      <c r="E7" s="220"/>
      <c r="F7" s="220"/>
      <c r="G7" s="220"/>
      <c r="H7" s="85" t="s">
        <v>143</v>
      </c>
      <c r="I7" s="85" t="s">
        <v>144</v>
      </c>
      <c r="J7" s="85" t="s">
        <v>145</v>
      </c>
      <c r="K7" s="23" t="s">
        <v>56</v>
      </c>
      <c r="L7" s="23" t="s">
        <v>57</v>
      </c>
      <c r="M7" s="22"/>
    </row>
    <row r="8" spans="1:22" ht="12.75" customHeight="1" x14ac:dyDescent="0.2">
      <c r="A8" s="204"/>
      <c r="B8" s="205"/>
      <c r="C8" s="220"/>
      <c r="D8" s="220"/>
      <c r="E8" s="220"/>
      <c r="F8" s="220"/>
      <c r="G8" s="220"/>
      <c r="H8" s="208" t="s">
        <v>146</v>
      </c>
      <c r="I8" s="208" t="s">
        <v>147</v>
      </c>
      <c r="J8" s="208" t="s">
        <v>148</v>
      </c>
      <c r="K8" s="208" t="s">
        <v>58</v>
      </c>
      <c r="L8" s="208" t="s">
        <v>59</v>
      </c>
      <c r="M8" s="22"/>
    </row>
    <row r="9" spans="1:22" ht="30.95" customHeight="1" thickBot="1" x14ac:dyDescent="0.25">
      <c r="A9" s="206"/>
      <c r="B9" s="207"/>
      <c r="C9" s="221"/>
      <c r="D9" s="221"/>
      <c r="E9" s="221"/>
      <c r="F9" s="221"/>
      <c r="G9" s="221"/>
      <c r="H9" s="209"/>
      <c r="I9" s="209"/>
      <c r="J9" s="209"/>
      <c r="K9" s="209"/>
      <c r="L9" s="209"/>
      <c r="M9" s="22"/>
    </row>
    <row r="10" spans="1:22" ht="65.099999999999994" customHeight="1" x14ac:dyDescent="0.2">
      <c r="A10" s="198">
        <v>1</v>
      </c>
      <c r="B10" s="199"/>
      <c r="C10" s="38" t="s">
        <v>149</v>
      </c>
      <c r="D10" s="38" t="s">
        <v>150</v>
      </c>
      <c r="E10" s="38" t="s">
        <v>151</v>
      </c>
      <c r="F10" s="38" t="s">
        <v>152</v>
      </c>
      <c r="G10" s="39" t="s">
        <v>153</v>
      </c>
      <c r="H10" s="30" t="s">
        <v>30</v>
      </c>
      <c r="I10" s="31" t="s">
        <v>31</v>
      </c>
      <c r="J10" s="31" t="s">
        <v>32</v>
      </c>
      <c r="K10" s="40" t="s">
        <v>60</v>
      </c>
      <c r="L10" s="32" t="s">
        <v>61</v>
      </c>
      <c r="M10" s="22"/>
    </row>
    <row r="11" spans="1:22" ht="65.099999999999994" customHeight="1" x14ac:dyDescent="0.2">
      <c r="A11" s="200">
        <v>2</v>
      </c>
      <c r="B11" s="201"/>
      <c r="C11" s="24" t="s">
        <v>158</v>
      </c>
      <c r="D11" s="24" t="s">
        <v>157</v>
      </c>
      <c r="E11" s="38" t="s">
        <v>156</v>
      </c>
      <c r="F11" s="24" t="s">
        <v>155</v>
      </c>
      <c r="G11" s="28" t="s">
        <v>154</v>
      </c>
      <c r="H11" s="33" t="s">
        <v>33</v>
      </c>
      <c r="I11" s="34" t="s">
        <v>34</v>
      </c>
      <c r="J11" s="34" t="s">
        <v>35</v>
      </c>
      <c r="K11" s="35" t="s">
        <v>62</v>
      </c>
      <c r="L11" s="36" t="s">
        <v>63</v>
      </c>
      <c r="M11" s="22"/>
    </row>
    <row r="12" spans="1:22" ht="102.75" customHeight="1" x14ac:dyDescent="0.2">
      <c r="A12" s="200">
        <v>3</v>
      </c>
      <c r="B12" s="201"/>
      <c r="C12" s="24" t="s">
        <v>159</v>
      </c>
      <c r="D12" s="24" t="s">
        <v>160</v>
      </c>
      <c r="E12" s="38" t="s">
        <v>161</v>
      </c>
      <c r="F12" s="24" t="s">
        <v>162</v>
      </c>
      <c r="G12" s="28" t="s">
        <v>163</v>
      </c>
      <c r="H12" s="33" t="s">
        <v>36</v>
      </c>
      <c r="I12" s="34" t="s">
        <v>37</v>
      </c>
      <c r="J12" s="35" t="s">
        <v>38</v>
      </c>
      <c r="K12" s="35" t="s">
        <v>64</v>
      </c>
      <c r="L12" s="41" t="s">
        <v>65</v>
      </c>
      <c r="M12" s="22"/>
    </row>
    <row r="13" spans="1:22" ht="79.5" customHeight="1" x14ac:dyDescent="0.2">
      <c r="A13" s="200">
        <v>4</v>
      </c>
      <c r="B13" s="201"/>
      <c r="C13" s="24" t="s">
        <v>164</v>
      </c>
      <c r="D13" s="24" t="s">
        <v>165</v>
      </c>
      <c r="E13" s="38" t="s">
        <v>166</v>
      </c>
      <c r="F13" s="24" t="s">
        <v>167</v>
      </c>
      <c r="G13" s="28" t="s">
        <v>168</v>
      </c>
      <c r="H13" s="33" t="s">
        <v>39</v>
      </c>
      <c r="I13" s="35" t="s">
        <v>40</v>
      </c>
      <c r="J13" s="35" t="s">
        <v>41</v>
      </c>
      <c r="K13" s="42" t="s">
        <v>66</v>
      </c>
      <c r="L13" s="41" t="s">
        <v>67</v>
      </c>
      <c r="M13" s="22"/>
    </row>
    <row r="14" spans="1:22" ht="65.099999999999994" customHeight="1" thickBot="1" x14ac:dyDescent="0.25">
      <c r="A14" s="189">
        <v>5</v>
      </c>
      <c r="B14" s="190"/>
      <c r="C14" s="25" t="s">
        <v>169</v>
      </c>
      <c r="D14" s="25" t="s">
        <v>170</v>
      </c>
      <c r="E14" s="25" t="s">
        <v>171</v>
      </c>
      <c r="F14" s="25" t="s">
        <v>172</v>
      </c>
      <c r="G14" s="29" t="s">
        <v>173</v>
      </c>
      <c r="H14" s="45" t="s">
        <v>42</v>
      </c>
      <c r="I14" s="37" t="s">
        <v>43</v>
      </c>
      <c r="J14" s="43" t="s">
        <v>44</v>
      </c>
      <c r="K14" s="43" t="s">
        <v>68</v>
      </c>
      <c r="L14" s="44" t="s">
        <v>69</v>
      </c>
      <c r="M14" s="22"/>
    </row>
    <row r="15" spans="1:22" x14ac:dyDescent="0.2">
      <c r="A15" s="47"/>
      <c r="B15" s="47"/>
      <c r="C15" s="48"/>
      <c r="D15" s="48"/>
      <c r="E15" s="48"/>
      <c r="F15" s="48"/>
      <c r="G15" s="48"/>
      <c r="H15" s="26"/>
      <c r="I15" s="26"/>
      <c r="J15" s="26"/>
      <c r="K15" s="27"/>
      <c r="L15" s="27"/>
      <c r="M15" s="22"/>
    </row>
    <row r="16" spans="1:22" x14ac:dyDescent="0.2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</row>
    <row r="17" spans="1:13" x14ac:dyDescent="0.2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</row>
    <row r="18" spans="1:13" x14ac:dyDescent="0.2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</row>
    <row r="19" spans="1:13" ht="38.25" customHeight="1" x14ac:dyDescent="0.2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</row>
    <row r="20" spans="1:13" x14ac:dyDescent="0.2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</row>
    <row r="21" spans="1:13" x14ac:dyDescent="0.2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</row>
    <row r="22" spans="1:13" x14ac:dyDescent="0.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 spans="1:13" x14ac:dyDescent="0.2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</row>
    <row r="24" spans="1:13" ht="62.25" customHeight="1" x14ac:dyDescent="0.2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</row>
    <row r="25" spans="1:13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</row>
    <row r="26" spans="1:13" x14ac:dyDescent="0.2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spans="1:13" x14ac:dyDescent="0.2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 spans="1:13" x14ac:dyDescent="0.2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spans="1:13" x14ac:dyDescent="0.2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1:13" x14ac:dyDescent="0.2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13" x14ac:dyDescent="0.2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2" spans="1:13" x14ac:dyDescent="0.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</row>
    <row r="33" spans="1:13" ht="78.75" customHeight="1" x14ac:dyDescent="0.2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</row>
  </sheetData>
  <sheetProtection selectLockedCells="1" selectUnlockedCells="1"/>
  <mergeCells count="23">
    <mergeCell ref="K8:K9"/>
    <mergeCell ref="L8:L9"/>
    <mergeCell ref="C5:G5"/>
    <mergeCell ref="H5:L5"/>
    <mergeCell ref="C6:C9"/>
    <mergeCell ref="D6:D9"/>
    <mergeCell ref="E6:E9"/>
    <mergeCell ref="F6:F9"/>
    <mergeCell ref="G6:G9"/>
    <mergeCell ref="H8:H9"/>
    <mergeCell ref="A14:B14"/>
    <mergeCell ref="I1:J1"/>
    <mergeCell ref="I2:J2"/>
    <mergeCell ref="I3:J3"/>
    <mergeCell ref="D2:H2"/>
    <mergeCell ref="A10:B10"/>
    <mergeCell ref="A11:B11"/>
    <mergeCell ref="A12:B12"/>
    <mergeCell ref="A5:B9"/>
    <mergeCell ref="A13:B13"/>
    <mergeCell ref="I8:I9"/>
    <mergeCell ref="J8:J9"/>
    <mergeCell ref="A1:C3"/>
  </mergeCells>
  <pageMargins left="0.78740157480314965" right="0.78740157480314965" top="0.62992125984251968" bottom="0.51181102362204722" header="0.27559055118110237" footer="0.23622047244094491"/>
  <pageSetup paperSize="9" scale="70" orientation="landscape" horizontalDpi="300" verticalDpi="300" copies="3" r:id="rId1"/>
  <headerFooter>
    <oddFooter>&amp;L&amp;7Issue date: 01-01-2014 Revision: 01Document Owner: Group SHEQ Manager&amp;R&amp;7&amp;P/&amp;N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58E9632D3CD444A21C64920A96E18B" ma:contentTypeVersion="13" ma:contentTypeDescription="Create a new document." ma:contentTypeScope="" ma:versionID="3c72acce436c1b49d739fe3f4c7af673">
  <xsd:schema xmlns:xsd="http://www.w3.org/2001/XMLSchema" xmlns:p="http://schemas.microsoft.com/office/2006/metadata/properties" xmlns:ns2="5470fdc2-d5b4-45ba-ae4a-b04105b307e7" xmlns:ns3="faa5c77d-98fa-4e50-863f-182fb51ee117" targetNamespace="http://schemas.microsoft.com/office/2006/metadata/properties" ma:root="true" ma:fieldsID="93784c78931b4267596e2e53a122eea3" ns2:_="" ns3:_="">
    <xsd:import namespace="5470fdc2-d5b4-45ba-ae4a-b04105b307e7"/>
    <xsd:import namespace="faa5c77d-98fa-4e50-863f-182fb51ee117"/>
    <xsd:element name="properties">
      <xsd:complexType>
        <xsd:sequence>
          <xsd:element name="documentManagement">
            <xsd:complexType>
              <xsd:all>
                <xsd:element ref="ns2:TemplateDescription" minOccurs="0"/>
                <xsd:element ref="ns2:Document_x0020_Type" minOccurs="0"/>
                <xsd:element ref="ns2:Process_x0020_Activity" minOccurs="0"/>
                <xsd:element ref="ns2:Internal" minOccurs="0"/>
                <xsd:element ref="ns3:Publication_x0020_status" minOccurs="0"/>
                <xsd:element ref="ns3:Comments" minOccurs="0"/>
                <xsd:element ref="ns3:Prepared_x0020_by" minOccurs="0"/>
                <xsd:element ref="ns3:Approved_x0020_by" minOccurs="0"/>
                <xsd:element ref="ns3:Process_x0020_Numb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5470fdc2-d5b4-45ba-ae4a-b04105b307e7" elementFormDefault="qualified">
    <xsd:import namespace="http://schemas.microsoft.com/office/2006/documentManagement/types"/>
    <xsd:element name="TemplateDescription" ma:index="8" nillable="true" ma:displayName="Description" ma:internalName="TemplateDescription">
      <xsd:simpleType>
        <xsd:restriction base="dms:Note"/>
      </xsd:simpleType>
    </xsd:element>
    <xsd:element name="Document_x0020_Type" ma:index="9" nillable="true" ma:displayName="Document Type" ma:internalName="Document_x0020_Type">
      <xsd:simpleType>
        <xsd:restriction base="dms:Text">
          <xsd:maxLength value="255"/>
        </xsd:restriction>
      </xsd:simpleType>
    </xsd:element>
    <xsd:element name="Process_x0020_Activity" ma:index="10" nillable="true" ma:displayName="Process Activity" ma:internalName="Process_x0020_Activity">
      <xsd:simpleType>
        <xsd:restriction base="dms:Text">
          <xsd:maxLength value="255"/>
        </xsd:restriction>
      </xsd:simpleType>
    </xsd:element>
    <xsd:element name="Internal" ma:index="11" nillable="true" ma:displayName="Internal" ma:default="1" ma:internalName="Internal">
      <xsd:simpleType>
        <xsd:restriction base="dms:Boolean"/>
      </xsd:simpleType>
    </xsd:element>
  </xsd:schema>
  <xsd:schema xmlns:xsd="http://www.w3.org/2001/XMLSchema" xmlns:dms="http://schemas.microsoft.com/office/2006/documentManagement/types" targetNamespace="faa5c77d-98fa-4e50-863f-182fb51ee117" elementFormDefault="qualified">
    <xsd:import namespace="http://schemas.microsoft.com/office/2006/documentManagement/types"/>
    <xsd:element name="Publication_x0020_status" ma:index="12" nillable="true" ma:displayName="Publication status" ma:format="Dropdown" ma:internalName="Publication_x0020_status">
      <xsd:simpleType>
        <xsd:restriction base="dms:Choice">
          <xsd:enumeration value="Affiliate documents"/>
          <xsd:enumeration value="Affiliate records"/>
          <xsd:enumeration value="Corporate documents"/>
          <xsd:enumeration value="Corporate drafts"/>
          <xsd:enumeration value="Corporate in project"/>
          <xsd:enumeration value="Corporate originals"/>
          <xsd:enumeration value="Corporate records"/>
          <xsd:enumeration value="Obsolete"/>
        </xsd:restriction>
      </xsd:simpleType>
    </xsd:element>
    <xsd:element name="Comments" ma:index="13" nillable="true" ma:displayName="Comments" ma:internalName="Comments">
      <xsd:simpleType>
        <xsd:restriction base="dms:Note"/>
      </xsd:simpleType>
    </xsd:element>
    <xsd:element name="Prepared_x0020_by" ma:index="14" nillable="true" ma:displayName="Prepared by" ma:list="UserInfo" ma:internalName="Prepar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pproved_x0020_by" ma:index="15" nillable="true" ma:displayName="Approved by" ma:list="UserInfo" ma:internalName="Approv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ocess_x0020_Number" ma:index="16" nillable="true" ma:displayName="Process Number" ma:default="03" ma:internalName="Process_x0020_Number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Lab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pared_x0020_by xmlns="faa5c77d-98fa-4e50-863f-182fb51ee117">
      <UserInfo>
        <DisplayName/>
        <AccountId>178</AccountId>
        <AccountType/>
      </UserInfo>
    </Prepared_x0020_by>
    <Comments xmlns="faa5c77d-98fa-4e50-863f-182fb51ee117" xsi:nil="true"/>
    <Process_x0020_Number xmlns="faa5c77d-98fa-4e50-863f-182fb51ee117">03</Process_x0020_Number>
    <TemplateDescription xmlns="5470fdc2-d5b4-45ba-ae4a-b04105b307e7" xsi:nil="true"/>
    <Document_x0020_Type xmlns="5470fdc2-d5b4-45ba-ae4a-b04105b307e7">Form</Document_x0020_Type>
    <Internal xmlns="5470fdc2-d5b4-45ba-ae4a-b04105b307e7">true</Internal>
    <Approved_x0020_by xmlns="faa5c77d-98fa-4e50-863f-182fb51ee117">
      <UserInfo>
        <DisplayName/>
        <AccountId>178</AccountId>
        <AccountType/>
      </UserInfo>
    </Approved_x0020_by>
    <Process_x0020_Activity xmlns="5470fdc2-d5b4-45ba-ae4a-b04105b307e7" xsi:nil="true"/>
    <Publication_x0020_status xmlns="faa5c77d-98fa-4e50-863f-182fb51ee117">Corporate originals</Publication_x0020_status>
  </documentManagement>
</p:properties>
</file>

<file path=customXml/itemProps1.xml><?xml version="1.0" encoding="utf-8"?>
<ds:datastoreItem xmlns:ds="http://schemas.openxmlformats.org/officeDocument/2006/customXml" ds:itemID="{20276EED-1D6C-446D-BC18-A4C346AE40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70fdc2-d5b4-45ba-ae4a-b04105b307e7"/>
    <ds:schemaRef ds:uri="faa5c77d-98fa-4e50-863f-182fb51ee117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C5B5785D-A764-4DF2-800E-02F490C0ABC7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EA921F7F-51B9-4976-A2B7-454C2507678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4A5DBCF-E2DA-4D23-9549-E8E78AF171AB}">
  <ds:schemaRefs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2006/documentManagement/types"/>
    <ds:schemaRef ds:uri="faa5c77d-98fa-4e50-863f-182fb51ee117"/>
    <ds:schemaRef ds:uri="http://purl.org/dc/elements/1.1/"/>
    <ds:schemaRef ds:uri="5470fdc2-d5b4-45ba-ae4a-b04105b307e7"/>
    <ds:schemaRef ds:uri="http://schemas.microsoft.com/office/2006/metadata/properties"/>
    <ds:schemaRef ds:uri="http://purl.org/dc/dcmitype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АСОР</vt:lpstr>
      <vt:lpstr>МОР</vt:lpstr>
      <vt:lpstr>АСОР!Strongly_emphasise_each_individual_s__71</vt:lpstr>
      <vt:lpstr>АСОР!Заголовки_для_печати</vt:lpstr>
      <vt:lpstr>МОР!Заголовки_для_печати</vt:lpstr>
      <vt:lpstr>АСОР!Область_печати</vt:lpstr>
      <vt:lpstr>МОР!Область_печати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Specific Job Safety Analysis (S-JSA)</dc:title>
  <dc:creator>Erik Nuhoff</dc:creator>
  <cp:lastModifiedBy>Master.Andromeda</cp:lastModifiedBy>
  <cp:lastPrinted>2018-09-20T07:10:03Z</cp:lastPrinted>
  <dcterms:created xsi:type="dcterms:W3CDTF">2011-02-21T14:14:41Z</dcterms:created>
  <dcterms:modified xsi:type="dcterms:W3CDTF">2024-07-21T13:00:16Z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0x0101004F58E9632D3CD444A21C64920A96E18B</vt:lpwstr>
  </property>
  <property fmtid="{D5CDD505-2E9C-101B-9397-08002B2CF9AE}" pid="3" name="PublishingExpirationDate">
    <vt:lpwstr/>
  </property>
  <property fmtid="{D5CDD505-2E9C-101B-9397-08002B2CF9AE}" pid="4" name="PublishingStartDate">
    <vt:lpwstr/>
  </property>
  <property fmtid="{D5CDD505-2E9C-101B-9397-08002B2CF9AE}" pid="5" name="ContentType">
    <vt:lpwstr>Document</vt:lpwstr>
  </property>
  <property fmtid="{D5CDD505-2E9C-101B-9397-08002B2CF9AE}" pid="6" name="Format">
    <vt:lpwstr/>
  </property>
  <property fmtid="{D5CDD505-2E9C-101B-9397-08002B2CF9AE}" pid="7" name="Date and Time">
    <vt:lpwstr/>
  </property>
  <property fmtid="{D5CDD505-2E9C-101B-9397-08002B2CF9AE}" pid="8" name="display_urn:schemas-microsoft-com:office:office#Prepared_x0020_by">
    <vt:lpwstr>DIXON Chris</vt:lpwstr>
  </property>
  <property fmtid="{D5CDD505-2E9C-101B-9397-08002B2CF9AE}" pid="9" name="display_urn:schemas-microsoft-com:office:office#Approved_x0020_by">
    <vt:lpwstr>DIXON Chris</vt:lpwstr>
  </property>
</Properties>
</file>