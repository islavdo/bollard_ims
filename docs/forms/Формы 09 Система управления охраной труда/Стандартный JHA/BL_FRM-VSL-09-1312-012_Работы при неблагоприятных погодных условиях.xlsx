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21CDB3F5-CD0E-44C8-BF3A-145E2A3A21D7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АСОР!$O$47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АСОР!$A$1:$M$48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1" l="1"/>
  <c r="V13" i="1"/>
  <c r="S13" i="1"/>
  <c r="U13" i="1"/>
  <c r="M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<sst xmlns="http://schemas.openxmlformats.org/spreadsheetml/2006/main" count="172" uniqueCount="166">
  <si>
    <r>
      <rPr>
        <sz val="10"/>
        <rFont val="Arial"/>
        <family val="2"/>
      </rPr>
      <t>Likelihood</t>
    </r>
  </si>
  <si>
    <r>
      <rPr>
        <sz val="10"/>
        <rFont val="Arial"/>
        <family val="2"/>
      </rPr>
      <t>Severity</t>
    </r>
  </si>
  <si>
    <r>
      <rPr>
        <sz val="10"/>
        <rFont val="Arial"/>
        <family val="2"/>
      </rPr>
      <t>H</t>
    </r>
  </si>
  <si>
    <r>
      <rPr>
        <sz val="10"/>
        <rFont val="Arial"/>
        <family val="2"/>
      </rPr>
      <t>M</t>
    </r>
  </si>
  <si>
    <r>
      <rPr>
        <sz val="10"/>
        <rFont val="Arial"/>
        <family val="2"/>
      </rPr>
      <t>L</t>
    </r>
  </si>
  <si>
    <r>
      <rPr>
        <sz val="10"/>
        <rFont val="Arial"/>
        <family val="2"/>
      </rPr>
      <t>Likelihood tranf initial</t>
    </r>
  </si>
  <si>
    <r>
      <rPr>
        <sz val="10"/>
        <rFont val="Arial"/>
        <family val="2"/>
      </rPr>
      <t>Likelihood tranf residual</t>
    </r>
  </si>
  <si>
    <r>
      <rPr>
        <sz val="10"/>
        <rFont val="Arial"/>
        <family val="2"/>
      </rPr>
      <t>A</t>
    </r>
  </si>
  <si>
    <r>
      <rPr>
        <sz val="10"/>
        <rFont val="Arial"/>
        <family val="2"/>
      </rPr>
      <t>B</t>
    </r>
  </si>
  <si>
    <r>
      <rPr>
        <sz val="10"/>
        <rFont val="Arial"/>
        <family val="2"/>
      </rPr>
      <t>C</t>
    </r>
  </si>
  <si>
    <r>
      <rPr>
        <sz val="10"/>
        <rFont val="Arial"/>
        <family val="2"/>
      </rPr>
      <t>D</t>
    </r>
  </si>
  <si>
    <r>
      <rPr>
        <sz val="10"/>
        <rFont val="Arial"/>
        <family val="2"/>
      </rPr>
      <t>E</t>
    </r>
  </si>
  <si>
    <r>
      <rPr>
        <sz val="10"/>
        <rFont val="Arial"/>
        <family val="2"/>
      </rPr>
      <t xml:space="preserve">Risk </t>
    </r>
  </si>
  <si>
    <r>
      <rPr>
        <sz val="10"/>
        <rFont val="Arial"/>
        <family val="2"/>
      </rPr>
      <t>Initial</t>
    </r>
  </si>
  <si>
    <r>
      <rPr>
        <sz val="10"/>
        <rFont val="Arial"/>
        <family val="2"/>
      </rPr>
      <t>residual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</si>
  <si>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</si>
  <si>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</si>
  <si>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</si>
  <si>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</si>
  <si>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</si>
  <si>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</si>
  <si>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</si>
  <si>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</si>
  <si>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</si>
  <si>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</si>
  <si>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</si>
  <si>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</si>
  <si>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</si>
  <si>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</si>
  <si>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</si>
  <si>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r>
      <rPr>
        <b/>
        <sz val="10"/>
        <color indexed="8"/>
        <rFont val="Arial"/>
        <family val="2"/>
      </rPr>
      <t xml:space="preserve">The following items </t>
    </r>
    <r>
      <rPr>
        <b/>
        <i/>
        <sz val="10"/>
        <color indexed="8"/>
        <rFont val="Arial"/>
        <family val="2"/>
      </rPr>
      <t>shall</t>
    </r>
    <r>
      <rPr>
        <b/>
        <sz val="10"/>
        <color indexed="8"/>
        <rFont val="Arial"/>
        <family val="2"/>
      </rPr>
      <t xml:space="preserve"> be reviewed / </t>
    </r>
    <r>
      <rPr>
        <b/>
        <i/>
        <sz val="10"/>
        <color indexed="8"/>
        <rFont val="Arial"/>
        <family val="2"/>
      </rPr>
      <t>Необходимо</t>
    </r>
    <r>
      <rPr>
        <b/>
        <sz val="10"/>
        <color indexed="8"/>
        <rFont val="Arial"/>
        <family val="2"/>
      </rPr>
      <t xml:space="preserve"> проверить следующие пункты: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</si>
  <si>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</si>
  <si>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</si>
  <si>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</si>
  <si>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</si>
  <si>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</si>
  <si>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</si>
  <si>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</si>
  <si>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</si>
  <si>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</si>
  <si>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</si>
  <si>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</si>
  <si>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t xml:space="preserve">As a part of Bollard LLC  pre-job planning procedures, a documented Toolbox Talk </t>
    </r>
    <r>
      <rPr>
        <b/>
        <i/>
        <sz val="10"/>
        <color indexed="8"/>
        <rFont val="Arial"/>
        <family val="2"/>
      </rPr>
      <t>shall</t>
    </r>
    <r>
      <rPr>
        <b/>
        <sz val="10"/>
        <color indexed="8"/>
        <rFont val="Arial"/>
        <family val="2"/>
      </rPr>
      <t xml:space="preserve"> be performed before any work is carried out. All workers who will take any part in the task </t>
    </r>
    <r>
      <rPr>
        <b/>
        <i/>
        <sz val="10"/>
        <color indexed="8"/>
        <rFont val="Arial"/>
        <family val="2"/>
      </rPr>
      <t>shall</t>
    </r>
    <r>
      <rPr>
        <b/>
        <sz val="10"/>
        <color indexed="8"/>
        <rFont val="Arial"/>
        <family val="2"/>
      </rPr>
      <t xml:space="preserve"> be included in the Toolbox Talk. Once completed, the Toolbox Talk Book shall be taken to the Bridge or Engineering Officer on Watch as applicable in order that a log book entry relating to the completed Toolbox Talk can be made</t>
    </r>
    <r>
      <rPr>
        <b/>
        <sz val="10"/>
        <rFont val="Arial"/>
      </rPr>
      <t xml:space="preserve"> / В рамках процедур ООО "Боллард" по предварительному планированию работ, </t>
    </r>
    <r>
      <rPr>
        <b/>
        <i/>
        <sz val="10"/>
        <rFont val="Arial"/>
      </rPr>
      <t>необходимо</t>
    </r>
    <r>
      <rPr>
        <b/>
        <sz val="10"/>
        <rFont val="Arial"/>
      </rPr>
      <t xml:space="preserve"> провести задокументированный инструктаж на рабочем месте. Все рабочие, участвующие в выполнении работ, </t>
    </r>
    <r>
      <rPr>
        <b/>
        <i/>
        <sz val="10"/>
        <rFont val="Arial"/>
      </rPr>
      <t>должны</t>
    </r>
    <r>
      <rPr>
        <b/>
        <sz val="10"/>
        <rFont val="Arial"/>
      </rPr>
      <t xml:space="preserve"> присутствовать на инструктаже на рабочем месте. После инструктажа следует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</t>
    </r>
  </si>
  <si>
    <t>Название судна</t>
  </si>
  <si>
    <t>Дата</t>
  </si>
  <si>
    <t xml:space="preserve"> Описание работ</t>
  </si>
  <si>
    <t>Номер оценки рисков</t>
  </si>
  <si>
    <t>АНАЛИЗ СТЕПЕНИ ОПАСНОСТИ РАБОТ (АСОР)</t>
  </si>
  <si>
    <t>Источник опасности / Энергия / Сценарий потенциального несчастного случая</t>
  </si>
  <si>
    <t>Меры контроля для снижения риска</t>
  </si>
  <si>
    <t xml:space="preserve"> Оборудование</t>
  </si>
  <si>
    <t xml:space="preserve"> Исходный риск</t>
  </si>
  <si>
    <t xml:space="preserve"> Остаточный риск</t>
  </si>
  <si>
    <t>Степень тяжести</t>
  </si>
  <si>
    <t>Этап</t>
  </si>
  <si>
    <t>Этапы работ</t>
  </si>
  <si>
    <t>Вероятность</t>
  </si>
  <si>
    <t>Исходный риск</t>
  </si>
  <si>
    <t>Риск</t>
  </si>
  <si>
    <t xml:space="preserve">Работа в неблагоприятных погодных условиях </t>
  </si>
  <si>
    <t>Высокие температуры (жара)</t>
  </si>
  <si>
    <t>1) Следует внедрить меры контроля для снижения температуры до приемлемого уровня (использование вентиляторов, воздуходувок, и проч.).
2) Следует ввести альтернативные меры контроля для минимизации возможности происшествий, вызванных стрессом и/или усталостью (например, достаточный перерывы на отдых, смена видов работ, и т.д.), если невозможно снизить температуру.</t>
  </si>
  <si>
    <t xml:space="preserve">Низкие температуры (холод) </t>
  </si>
  <si>
    <t>1) Следует внедрить меры контроля для повышения температуры до приемлемого уровня (использование нагревателей).
2) Следует ввести альтернативные меры контроля для минимизации возможности происшествий, вызванных стрессом и/или усталостью (например, достаточный перерывы на отдых, смена видов работ, и/или использование СИЗ, и проч.).</t>
  </si>
  <si>
    <t xml:space="preserve"> Работа в неблагоприятных погодных условиях </t>
  </si>
  <si>
    <t>Сильный ветер</t>
  </si>
  <si>
    <t>1) Руководители работ должны внедрить меры контроля для защиты персонала от сильного ветра на работе (укрытия, брезент, и проч.).
2) Должны быть предоставлены средства защиты от падения (страховочные ремни, инерционные катушки с втяжным тросом и проч.) при работах на высоте.
3) Если в какой-то момент работники ощущают себя в опасности во время выполнения работ, они должны остановить работу и доложить своему руководителю.</t>
  </si>
  <si>
    <t xml:space="preserve">Дождь, изморось и снег  </t>
  </si>
  <si>
    <t>1) Меры контроля должны быть введены для защиты персонала во время работы (брезент или средства индивидуальной защиты).
2) При работах на высоте или с потенциальным риском падения должны быть предоставлены средства защиты от падения (страховочные ремни, инерционные катушки с втяжным тросом и проч.).
3)  Пути доступа/выхода должны содержаться в строгом порядке, чтобы снизить опасность спотыкания или скольжения персонала на поверхности.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</si>
  <si>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</si>
  <si>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</t>
  </si>
  <si>
    <t>Учетная документация по инструктажам на рабочем месте</t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</si>
  <si>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</si>
  <si>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</si>
  <si>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</si>
  <si>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</si>
  <si>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</si>
  <si>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</si>
  <si>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</si>
  <si>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</si>
  <si>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</si>
  <si>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</si>
  <si>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</si>
  <si>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</si>
  <si>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</si>
  <si>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</si>
  <si>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</si>
  <si>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</si>
  <si>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</si>
  <si>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</si>
  <si>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</si>
  <si>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</si>
  <si>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</si>
  <si>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</si>
  <si>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</si>
  <si>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 xml:space="preserve"> 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</si>
  <si>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</si>
  <si>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</si>
  <si>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</si>
  <si>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</si>
  <si>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</si>
  <si>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</si>
  <si>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</si>
  <si>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</si>
  <si>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>Нет сведений о подобном в сфере морских судов обеспечения (ни на берегу, ни в плавании)</t>
  </si>
  <si>
    <t xml:space="preserve"> Крайне маловероятно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</si>
  <si>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</si>
  <si>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</si>
  <si>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 xml:space="preserve"> Задержка 12–48 часов</t>
  </si>
  <si>
    <t>Постоянная утрата трудоспособности или летальный исход</t>
  </si>
  <si>
    <t xml:space="preserve"> Значительное повреждение 
&lt;500.000€ / евро</t>
  </si>
  <si>
    <t>Задержка 48 часов – 7 дней</t>
  </si>
  <si>
    <t>Более 1 смертельного случая</t>
  </si>
  <si>
    <t>Сильное негативное воздействие</t>
  </si>
  <si>
    <t>Задержка более 7 дней</t>
  </si>
  <si>
    <t>Работа в неблагоприятных погодных условиях окружающей среды</t>
  </si>
  <si>
    <t>File 09 / Папка 09</t>
  </si>
  <si>
    <t>Retention 3 Year / Срок хранения документа 3 года</t>
  </si>
  <si>
    <t>BL_FRM-VSL-09-1312-012</t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</si>
  <si>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</si>
  <si>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</si>
  <si>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</si>
  <si>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</si>
  <si>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</si>
  <si>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</si>
  <si>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</si>
  <si>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</si>
  <si>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</si>
  <si>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 xml:space="preserve"> Репутация</t>
  </si>
  <si>
    <t xml:space="preserve"> График</t>
  </si>
  <si>
    <t>D</t>
  </si>
  <si>
    <t>E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</si>
  <si>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</si>
  <si>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</si>
  <si>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Occurred in the Company more than once in the last year (ashore or afloat)</t>
  </si>
  <si>
    <t>Occurred in the Company repeatedly in the last year (ashore or afloat)</t>
  </si>
  <si>
    <t>Маловероятно</t>
  </si>
  <si>
    <t>Возможно</t>
  </si>
  <si>
    <t>Likely</t>
  </si>
  <si>
    <t>Very Likely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</si>
  <si>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</si>
  <si>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</si>
  <si>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</si>
  <si>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</si>
  <si>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</si>
  <si>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1D</t>
  </si>
  <si>
    <t>1E</t>
  </si>
  <si>
    <t>Медицинская помощь, травма с ограничением рабочих функций</t>
  </si>
  <si>
    <t>Несущественное воздействие 
&lt; 10 литров</t>
  </si>
  <si>
    <t>Несущественное повреждение 
&lt; 5000€ / евро</t>
  </si>
  <si>
    <t>Несущественное негативное воздействие</t>
  </si>
  <si>
    <t>2D</t>
  </si>
  <si>
    <t>2E</t>
  </si>
  <si>
    <t>Умеренное воздействие
 менее - 1 баррель</t>
  </si>
  <si>
    <t>Умеренное повреждение 
&lt;50.000€ / евро</t>
  </si>
  <si>
    <t>Умеренное негативное воздействие</t>
  </si>
  <si>
    <t>3D</t>
  </si>
  <si>
    <t>3E</t>
  </si>
  <si>
    <t>Значительное воздействие
1-10 баррелей</t>
  </si>
  <si>
    <t>Значительное негативное воздействие</t>
  </si>
  <si>
    <t>4D</t>
  </si>
  <si>
    <t>4E</t>
  </si>
  <si>
    <t>Сильное воздействие
&gt; 10  баррелей</t>
  </si>
  <si>
    <t>Обширное повреждение
&gt; 500.000€ / евро</t>
  </si>
  <si>
    <t>5D</t>
  </si>
  <si>
    <t>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</si>
</sst>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0"/>
      <name val="Arial"/>
    </font>
    <font>
      <sz val="10"/>
      <color indexed="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b/>
      <i/>
      <sz val="10"/>
      <color indexed="8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sz val="10"/>
      <name val="Arial"/>
    </font>
    <font>
      <b/>
      <i/>
      <sz val="10"/>
      <name val="Arial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sz val="14"/>
      <color indexed="62"/>
      <name val="Arial Black"/>
      <family val="2"/>
    </font>
    <font>
      <sz val="8"/>
      <color rgb="FF333399"/>
      <name val="Arial Black"/>
      <family val="2"/>
      <charset val="204"/>
    </font>
    <font>
      <b/>
      <sz val="1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1" fillId="2" borderId="0" xfId="0" applyFont="1" applyFill="1"/>
    <xf numFmtId="0" fontId="14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3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5" fillId="2" borderId="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5" fillId="0" borderId="6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21" xfId="0" applyFont="1" applyFill="1" applyBorder="1"/>
    <xf numFmtId="0" fontId="3" fillId="2" borderId="29" xfId="0" applyFont="1" applyFill="1" applyBorder="1" applyAlignment="1">
      <alignment horizontal="left" vertical="center" indent="1"/>
    </xf>
    <xf numFmtId="0" fontId="13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1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6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6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wrapText="1"/>
    </xf>
    <xf numFmtId="0" fontId="5" fillId="2" borderId="30" xfId="0" applyFont="1" applyFill="1" applyBorder="1" applyAlignment="1">
      <alignment wrapText="1"/>
    </xf>
    <xf numFmtId="0" fontId="4" fillId="2" borderId="8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8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left" vertical="center" wrapText="1" shrinkToFi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5" fillId="2" borderId="18" xfId="0" applyFont="1" applyFill="1" applyBorder="1" applyAlignment="1" applyProtection="1">
      <alignment horizontal="left" vertical="center" wrapText="1"/>
      <protection locked="0"/>
    </xf>
    <xf numFmtId="0" fontId="5" fillId="2" borderId="19" xfId="0" applyFont="1" applyFill="1" applyBorder="1" applyAlignment="1" applyProtection="1">
      <alignment horizontal="left" vertical="center" wrapText="1"/>
      <protection locked="0"/>
    </xf>
    <xf numFmtId="0" fontId="5" fillId="2" borderId="21" xfId="0" applyFont="1" applyFill="1" applyBorder="1" applyAlignment="1" applyProtection="1">
      <alignment horizontal="left" vertical="center" wrapText="1"/>
      <protection locked="0"/>
    </xf>
    <xf numFmtId="0" fontId="5" fillId="2" borderId="14" xfId="0" applyFont="1" applyFill="1" applyBorder="1" applyAlignment="1" applyProtection="1">
      <alignment horizontal="left" vertical="center" wrapText="1"/>
      <protection locked="0"/>
    </xf>
    <xf numFmtId="0" fontId="5" fillId="2" borderId="22" xfId="0" applyFont="1" applyFill="1" applyBorder="1" applyAlignment="1" applyProtection="1">
      <alignment horizontal="left" vertical="center" wrapText="1"/>
      <protection locked="0"/>
    </xf>
    <xf numFmtId="0" fontId="5" fillId="2" borderId="23" xfId="0" applyFont="1" applyFill="1" applyBorder="1" applyAlignment="1" applyProtection="1">
      <alignment horizontal="left" vertical="center" wrapText="1"/>
      <protection locked="0"/>
    </xf>
    <xf numFmtId="0" fontId="8" fillId="2" borderId="8" xfId="0" applyFont="1" applyFill="1" applyBorder="1" applyAlignment="1" applyProtection="1">
      <alignment vertical="center" wrapText="1"/>
      <protection locked="0"/>
    </xf>
    <xf numFmtId="0" fontId="4" fillId="0" borderId="1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0" fillId="2" borderId="8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17" xfId="0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10" fillId="2" borderId="29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4" fillId="2" borderId="8" xfId="0" applyFont="1" applyFill="1" applyBorder="1" applyAlignment="1" applyProtection="1">
      <alignment horizontal="center" vertical="center" wrapText="1" shrinkToFit="1"/>
      <protection locked="0"/>
    </xf>
    <xf numFmtId="0" fontId="4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8" fillId="0" borderId="17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4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35" fillId="2" borderId="18" xfId="0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justify" wrapText="1"/>
    </xf>
    <xf numFmtId="0" fontId="6" fillId="7" borderId="27" xfId="0" applyFont="1" applyFill="1" applyBorder="1" applyAlignment="1">
      <alignment horizontal="justify" wrapText="1"/>
    </xf>
    <xf numFmtId="0" fontId="6" fillId="7" borderId="28" xfId="0" applyFont="1" applyFill="1" applyBorder="1" applyAlignment="1">
      <alignment horizontal="justify" wrapText="1"/>
    </xf>
    <xf numFmtId="0" fontId="16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7" borderId="31" xfId="0" applyFont="1" applyFill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8" fillId="7" borderId="34" xfId="0" applyFont="1" applyFill="1" applyBorder="1" applyAlignment="1">
      <alignment horizontal="center" textRotation="90" wrapText="1"/>
    </xf>
    <xf numFmtId="0" fontId="4" fillId="0" borderId="35" xfId="0" applyFont="1" applyBorder="1" applyAlignment="1">
      <alignment horizontal="center" textRotation="90" wrapText="1"/>
    </xf>
    <xf numFmtId="0" fontId="8" fillId="7" borderId="36" xfId="0" applyFont="1" applyFill="1" applyBorder="1" applyAlignment="1">
      <alignment horizontal="center" textRotation="90" wrapText="1"/>
    </xf>
    <xf numFmtId="0" fontId="4" fillId="0" borderId="5" xfId="0" applyFont="1" applyBorder="1" applyAlignment="1">
      <alignment horizontal="center" textRotation="90" wrapText="1"/>
    </xf>
    <xf numFmtId="0" fontId="37" fillId="2" borderId="21" xfId="0" applyFont="1" applyFill="1" applyBorder="1" applyAlignment="1">
      <alignment horizontal="center" vertical="center"/>
    </xf>
    <xf numFmtId="0" fontId="37" fillId="2" borderId="29" xfId="0" applyFont="1" applyFill="1" applyBorder="1" applyAlignment="1">
      <alignment horizontal="center" vertical="center"/>
    </xf>
    <xf numFmtId="0" fontId="37" fillId="2" borderId="30" xfId="0" applyFont="1" applyFill="1" applyBorder="1" applyAlignment="1">
      <alignment horizontal="center" vertical="center"/>
    </xf>
    <xf numFmtId="0" fontId="37" fillId="2" borderId="14" xfId="0" applyFont="1" applyFill="1" applyBorder="1" applyAlignment="1">
      <alignment horizontal="center" vertical="center"/>
    </xf>
    <xf numFmtId="0" fontId="37" fillId="2" borderId="23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right" vertical="center" wrapText="1"/>
    </xf>
    <xf numFmtId="0" fontId="23" fillId="8" borderId="8" xfId="0" applyFont="1" applyFill="1" applyBorder="1" applyAlignment="1">
      <alignment horizontal="right" vertical="center" wrapText="1"/>
    </xf>
    <xf numFmtId="0" fontId="23" fillId="8" borderId="4" xfId="0" applyFont="1" applyFill="1" applyBorder="1" applyAlignment="1">
      <alignment horizontal="right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textRotation="90" wrapText="1"/>
    </xf>
    <xf numFmtId="0" fontId="27" fillId="8" borderId="8" xfId="0" applyFont="1" applyFill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14" fontId="23" fillId="8" borderId="8" xfId="0" applyNumberFormat="1" applyFont="1" applyFill="1" applyBorder="1" applyAlignment="1">
      <alignment horizontal="center" vertical="center" wrapText="1"/>
    </xf>
    <xf numFmtId="14" fontId="23" fillId="8" borderId="17" xfId="0" applyNumberFormat="1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right" vertical="center" wrapText="1"/>
    </xf>
    <xf numFmtId="0" fontId="23" fillId="8" borderId="1" xfId="0" applyFont="1" applyFill="1" applyBorder="1" applyAlignment="1" applyProtection="1">
      <alignment horizontal="center" vertical="center" wrapText="1"/>
      <protection locked="0"/>
    </xf>
    <xf numFmtId="14" fontId="23" fillId="8" borderId="4" xfId="0" applyNumberFormat="1" applyFont="1" applyFill="1" applyBorder="1" applyAlignment="1">
      <alignment horizontal="center" vertical="center" wrapText="1"/>
    </xf>
    <xf numFmtId="0" fontId="36" fillId="8" borderId="19" xfId="0" applyFont="1" applyFill="1" applyBorder="1" applyAlignment="1">
      <alignment horizontal="left" vertical="center" wrapText="1"/>
    </xf>
    <xf numFmtId="0" fontId="28" fillId="8" borderId="19" xfId="0" applyFont="1" applyFill="1" applyBorder="1" applyAlignment="1">
      <alignment horizontal="left" vertical="center" wrapText="1"/>
    </xf>
    <xf numFmtId="0" fontId="29" fillId="8" borderId="18" xfId="0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0" fontId="30" fillId="8" borderId="19" xfId="0" applyFont="1" applyFill="1" applyBorder="1" applyAlignment="1">
      <alignment horizontal="center"/>
    </xf>
    <xf numFmtId="0" fontId="31" fillId="8" borderId="19" xfId="0" applyFont="1" applyFill="1" applyBorder="1" applyAlignment="1">
      <alignment horizontal="left" vertical="center" indent="1"/>
    </xf>
    <xf numFmtId="0" fontId="27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left" vertical="center"/>
    </xf>
    <xf numFmtId="0" fontId="27" fillId="8" borderId="21" xfId="0" applyFont="1" applyFill="1" applyBorder="1" applyAlignment="1">
      <alignment horizontal="right" vertical="center"/>
    </xf>
    <xf numFmtId="0" fontId="22" fillId="8" borderId="8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2" fillId="8" borderId="17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14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38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39" fillId="3" borderId="6" xfId="0" applyFont="1" applyFill="1" applyBorder="1" applyAlignment="1">
      <alignment horizontal="center" textRotation="90" wrapText="1"/>
    </xf>
    <xf numFmtId="0" fontId="39" fillId="3" borderId="24" xfId="0" applyFont="1" applyFill="1" applyBorder="1" applyAlignment="1">
      <alignment horizontal="center" textRotation="90" wrapText="1"/>
    </xf>
    <xf numFmtId="0" fontId="39" fillId="3" borderId="25" xfId="0" applyFont="1" applyFill="1" applyBorder="1" applyAlignment="1">
      <alignment horizontal="center" textRotation="90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1733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nl-BE" sz="1100"/>
        </a:p>
      </xdr:txBody>
    </xdr:sp>
    <xdr:clientData/>
  </xdr:oneCellAnchor>
  <xdr:twoCellAnchor editAs="oneCell">
    <xdr:from>
      <xdr:col>0</xdr:col>
      <xdr:colOff>142875</xdr:colOff>
      <xdr:row>2</xdr:row>
      <xdr:rowOff>47626</xdr:rowOff>
    </xdr:from>
    <xdr:to>
      <xdr:col>1</xdr:col>
      <xdr:colOff>1762124</xdr:colOff>
      <xdr:row>2</xdr:row>
      <xdr:rowOff>230667</xdr:rowOff>
    </xdr:to>
    <xdr:pic>
      <xdr:nvPicPr>
        <xdr:cNvPr id="2" name="Рисунок 1" descr="bollard">
          <a:extLst>
            <a:ext uri="{FF2B5EF4-FFF2-40B4-BE49-F238E27FC236}">
              <a16:creationId xmlns:a16="http://schemas.microsoft.com/office/drawing/2014/main" id="{B3B5909E-B4C6-4AB4-A9A1-6B67CDB0904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14351"/>
          <a:ext cx="2076449" cy="18304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26B7E8EB-DCE8-4A87-9668-B74946ECF5D9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88192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49C3E8BB-6C24-45E4-BD24-A6F41018F36E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78667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0A435B7C-C6C4-476E-8531-0F32FB5DE2B5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9051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F7B4A3D-DBC4-459D-A0BA-CB3CD86DCA08}"/>
            </a:ext>
          </a:extLst>
        </xdr:cNvPr>
        <xdr:cNvSpPr txBox="1"/>
      </xdr:nvSpPr>
      <xdr:spPr>
        <a:xfrm>
          <a:off x="2932339" y="8391527"/>
          <a:ext cx="567826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4BFB99-670F-48A8-B8EF-FCC9DE52692E}"/>
            </a:ext>
          </a:extLst>
        </xdr:cNvPr>
        <xdr:cNvSpPr txBox="1"/>
      </xdr:nvSpPr>
      <xdr:spPr>
        <a:xfrm>
          <a:off x="2934457" y="9401856"/>
          <a:ext cx="570335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038FB67-2B7F-4399-940C-9490150CE0FE}"/>
            </a:ext>
          </a:extLst>
        </xdr:cNvPr>
        <xdr:cNvSpPr txBox="1"/>
      </xdr:nvSpPr>
      <xdr:spPr>
        <a:xfrm>
          <a:off x="2907242" y="10439400"/>
          <a:ext cx="570335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9599DE2-56C1-40E7-9874-8165416893CB}"/>
            </a:ext>
          </a:extLst>
        </xdr:cNvPr>
        <xdr:cNvSpPr txBox="1"/>
      </xdr:nvSpPr>
      <xdr:spPr>
        <a:xfrm>
          <a:off x="2862943" y="11704864"/>
          <a:ext cx="5667375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64295A4E-5F78-4AEE-A9D6-4BD7405D4B2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48"/>
  <sheetViews>
    <sheetView tabSelected="1" view="pageBreakPreview" zoomScale="80" zoomScaleNormal="75" zoomScaleSheetLayoutView="80" zoomScalePageLayoutView="73" workbookViewId="0">
      <selection activeCell="K6" sqref="K6:M6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38"/>
      <c r="B1" s="156"/>
      <c r="C1" s="51"/>
      <c r="D1" s="52"/>
      <c r="E1" s="52"/>
      <c r="F1" s="52"/>
      <c r="G1" s="53"/>
      <c r="H1" s="54"/>
      <c r="I1" s="1"/>
      <c r="J1" s="59"/>
      <c r="K1" s="53"/>
      <c r="L1" s="53"/>
      <c r="M1" s="60"/>
      <c r="Q1" s="14" t="s">
        <v>1</v>
      </c>
      <c r="R1" s="14" t="s">
        <v>0</v>
      </c>
      <c r="S1" s="14" t="s">
        <v>5</v>
      </c>
      <c r="T1" s="14" t="s">
        <v>6</v>
      </c>
      <c r="U1" s="14" t="s">
        <v>13</v>
      </c>
      <c r="V1" s="14" t="s">
        <v>14</v>
      </c>
      <c r="W1" s="18" t="s">
        <v>12</v>
      </c>
    </row>
    <row r="2" spans="1:23" ht="25.5" customHeight="1" x14ac:dyDescent="0.2">
      <c r="A2" s="157"/>
      <c r="B2" s="158"/>
      <c r="C2" s="55"/>
      <c r="D2" s="50"/>
      <c r="E2" s="50"/>
      <c r="F2" s="50"/>
      <c r="G2" s="50"/>
      <c r="H2" s="56"/>
      <c r="I2" s="4"/>
      <c r="J2" s="119" t="s">
        <v>118</v>
      </c>
      <c r="K2" s="120"/>
      <c r="L2" s="120"/>
      <c r="M2" s="121"/>
      <c r="P2" s="7"/>
      <c r="Q2" s="14">
        <v>1</v>
      </c>
      <c r="R2" s="14" t="s">
        <v>7</v>
      </c>
      <c r="S2" s="15"/>
      <c r="T2" s="15"/>
      <c r="U2" s="15"/>
      <c r="V2" s="15"/>
      <c r="W2" s="18" t="s">
        <v>4</v>
      </c>
    </row>
    <row r="3" spans="1:23" ht="25.5" customHeight="1" x14ac:dyDescent="0.2">
      <c r="A3" s="157"/>
      <c r="B3" s="158"/>
      <c r="C3" s="125" t="s">
        <v>47</v>
      </c>
      <c r="D3" s="126"/>
      <c r="E3" s="126"/>
      <c r="F3" s="126"/>
      <c r="G3" s="126"/>
      <c r="H3" s="127"/>
      <c r="J3" s="119" t="s">
        <v>116</v>
      </c>
      <c r="K3" s="120"/>
      <c r="L3" s="120"/>
      <c r="M3" s="121"/>
      <c r="P3" s="7"/>
      <c r="Q3" s="14">
        <v>2</v>
      </c>
      <c r="R3" s="14" t="s">
        <v>8</v>
      </c>
      <c r="S3" s="15"/>
      <c r="T3" s="15"/>
      <c r="U3" s="15"/>
      <c r="V3" s="15"/>
      <c r="W3" s="18" t="s">
        <v>3</v>
      </c>
    </row>
    <row r="4" spans="1:23" ht="36.75" customHeight="1" x14ac:dyDescent="0.2">
      <c r="A4" s="159"/>
      <c r="B4" s="160"/>
      <c r="C4" s="58"/>
      <c r="H4" s="57"/>
      <c r="J4" s="122" t="s">
        <v>117</v>
      </c>
      <c r="K4" s="123"/>
      <c r="L4" s="123"/>
      <c r="M4" s="124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P5" s="7"/>
      <c r="Q5" s="14">
        <v>3</v>
      </c>
      <c r="R5" s="14" t="s">
        <v>9</v>
      </c>
      <c r="S5" s="15"/>
      <c r="T5" s="15"/>
      <c r="U5" s="15"/>
      <c r="V5" s="15"/>
      <c r="W5" s="18" t="s">
        <v>2</v>
      </c>
    </row>
    <row r="6" spans="1:23" s="7" customFormat="1" ht="61.5" customHeight="1" x14ac:dyDescent="0.2">
      <c r="A6" s="161" t="s">
        <v>43</v>
      </c>
      <c r="B6" s="161"/>
      <c r="C6" s="72"/>
      <c r="D6" s="62"/>
      <c r="E6" s="62"/>
      <c r="F6" s="63"/>
      <c r="G6" s="172" t="s">
        <v>45</v>
      </c>
      <c r="H6" s="74" t="s">
        <v>115</v>
      </c>
      <c r="I6" s="62"/>
      <c r="J6" s="173" t="s">
        <v>46</v>
      </c>
      <c r="K6" s="132" t="s">
        <v>118</v>
      </c>
      <c r="L6" s="132"/>
      <c r="M6" s="133"/>
      <c r="Q6" s="14">
        <v>4</v>
      </c>
      <c r="R6" s="14" t="s">
        <v>10</v>
      </c>
      <c r="S6" s="14"/>
      <c r="T6" s="14"/>
      <c r="U6" s="14"/>
      <c r="V6" s="14"/>
    </row>
    <row r="7" spans="1:23" s="7" customFormat="1" ht="49.5" customHeight="1" x14ac:dyDescent="0.2">
      <c r="A7" s="162" t="s">
        <v>44</v>
      </c>
      <c r="B7" s="163"/>
      <c r="C7" s="71"/>
      <c r="D7" s="170" t="s">
        <v>51</v>
      </c>
      <c r="E7" s="171"/>
      <c r="F7" s="171"/>
      <c r="G7" s="172" t="s">
        <v>50</v>
      </c>
      <c r="H7" s="90"/>
      <c r="I7" s="91"/>
      <c r="J7" s="92"/>
      <c r="K7" s="170" t="s">
        <v>52</v>
      </c>
      <c r="L7" s="171"/>
      <c r="M7" s="174"/>
      <c r="Q7" s="14">
        <v>5</v>
      </c>
      <c r="R7" s="14" t="s">
        <v>11</v>
      </c>
      <c r="S7" s="14"/>
      <c r="T7" s="14"/>
      <c r="U7" s="14"/>
      <c r="V7" s="14"/>
    </row>
    <row r="8" spans="1:23" ht="99.75" customHeight="1" x14ac:dyDescent="0.2">
      <c r="A8" s="164" t="s">
        <v>54</v>
      </c>
      <c r="B8" s="164" t="s">
        <v>55</v>
      </c>
      <c r="C8" s="164" t="s">
        <v>48</v>
      </c>
      <c r="D8" s="165" t="s">
        <v>53</v>
      </c>
      <c r="E8" s="165" t="s">
        <v>56</v>
      </c>
      <c r="F8" s="165" t="s">
        <v>57</v>
      </c>
      <c r="G8" s="166" t="s">
        <v>49</v>
      </c>
      <c r="H8" s="167"/>
      <c r="I8" s="168"/>
      <c r="J8" s="169"/>
      <c r="K8" s="165" t="s">
        <v>53</v>
      </c>
      <c r="L8" s="165" t="s">
        <v>56</v>
      </c>
      <c r="M8" s="165" t="s">
        <v>58</v>
      </c>
      <c r="Q8" s="14"/>
      <c r="R8" s="15"/>
      <c r="S8" s="15"/>
      <c r="T8" s="15"/>
      <c r="U8" s="15" t="str">
        <f>IF(L11="","",IF(N11="","",IF(M11+O11&lt;=5,$W$12,IF(M11+O11=6,$W$13,IF(M11+O11=7,$W$13,IF(M11+O11&gt;=8,#REF!,""))))))</f>
        <v/>
      </c>
      <c r="V8" s="15"/>
    </row>
    <row r="9" spans="1:23" ht="121.5" customHeight="1" x14ac:dyDescent="0.2">
      <c r="A9" s="73">
        <v>1</v>
      </c>
      <c r="B9" s="77" t="s">
        <v>59</v>
      </c>
      <c r="C9" s="77" t="s">
        <v>60</v>
      </c>
      <c r="D9" s="20">
        <v>4</v>
      </c>
      <c r="E9" s="13" t="s">
        <v>31</v>
      </c>
      <c r="F9" s="68" t="str">
        <f t="shared" ref="F9:F13" si="0">IF(D9="","",(IF(E9="","",IF(U9&lt;=1,"",IF(U9&lt;=5,$W$2,IF(U9=6,$W$3,IF(U9=7,$W$3,IF(U9&gt;=8,$W$5,""))))))))</f>
        <v>M</v>
      </c>
      <c r="G9" s="134" t="s">
        <v>61</v>
      </c>
      <c r="H9" s="135"/>
      <c r="I9" s="136"/>
      <c r="J9" s="137"/>
      <c r="K9" s="20">
        <v>1</v>
      </c>
      <c r="L9" s="13" t="s">
        <v>32</v>
      </c>
      <c r="M9" s="64" t="str">
        <f t="shared" ref="M9:M13" si="1">IF(K9="","",(IF(L9="","",IF(V9&lt;=1,"",IF(V9&lt;=5,$W$2,IF(V9=6,$W$3,IF(V9=7,$W$3,IF(V9&gt;=8,$W$5,""))))))))</f>
        <v>L</v>
      </c>
      <c r="Q9" s="14"/>
      <c r="R9" s="15"/>
      <c r="S9" s="19">
        <f t="shared" ref="S9:S13" si="2">IF(E9="A",1,IF(E9="B",2,IF(E9="C",3,IF(E9="D",4,IF(E9="E",5,"")))))</f>
        <v>3</v>
      </c>
      <c r="T9" s="19">
        <f t="shared" ref="T9:T13" si="3">IF(L9="A",1,IF(L9="B",2,IF(L9="C",3,IF(L9="D",4,IF(L9="E",5,"")))))</f>
        <v>4</v>
      </c>
      <c r="U9" s="15">
        <f t="shared" ref="U9:U13" si="4">D9+S9</f>
        <v>7</v>
      </c>
      <c r="V9" s="15">
        <f t="shared" ref="V9:V13" si="5">K9+T9</f>
        <v>5</v>
      </c>
    </row>
    <row r="10" spans="1:23" ht="105.95" customHeight="1" x14ac:dyDescent="0.2">
      <c r="A10" s="73">
        <v>2</v>
      </c>
      <c r="B10" s="77" t="s">
        <v>59</v>
      </c>
      <c r="C10" s="77" t="s">
        <v>62</v>
      </c>
      <c r="D10" s="20">
        <v>4</v>
      </c>
      <c r="E10" s="13" t="s">
        <v>33</v>
      </c>
      <c r="F10" s="68" t="str">
        <f t="shared" si="0"/>
        <v>M</v>
      </c>
      <c r="G10" s="134" t="s">
        <v>63</v>
      </c>
      <c r="H10" s="135"/>
      <c r="I10" s="136"/>
      <c r="J10" s="137"/>
      <c r="K10" s="20">
        <v>1</v>
      </c>
      <c r="L10" s="13" t="s">
        <v>34</v>
      </c>
      <c r="M10" s="64" t="str">
        <f t="shared" si="1"/>
        <v>L</v>
      </c>
      <c r="Q10" s="14"/>
      <c r="R10" s="15"/>
      <c r="S10" s="19">
        <f t="shared" si="2"/>
        <v>3</v>
      </c>
      <c r="T10" s="19">
        <f t="shared" si="3"/>
        <v>4</v>
      </c>
      <c r="U10" s="15">
        <f t="shared" si="4"/>
        <v>7</v>
      </c>
      <c r="V10" s="15">
        <f t="shared" si="5"/>
        <v>5</v>
      </c>
    </row>
    <row r="11" spans="1:23" ht="138.6" customHeight="1" x14ac:dyDescent="0.2">
      <c r="A11" s="73">
        <v>3</v>
      </c>
      <c r="B11" s="77" t="s">
        <v>64</v>
      </c>
      <c r="C11" s="77" t="s">
        <v>65</v>
      </c>
      <c r="D11" s="20">
        <v>4</v>
      </c>
      <c r="E11" s="13" t="s">
        <v>35</v>
      </c>
      <c r="F11" s="68" t="str">
        <f t="shared" si="0"/>
        <v>H</v>
      </c>
      <c r="G11" s="134" t="s">
        <v>66</v>
      </c>
      <c r="H11" s="135"/>
      <c r="I11" s="136"/>
      <c r="J11" s="137"/>
      <c r="K11" s="20">
        <v>1</v>
      </c>
      <c r="L11" s="13" t="s">
        <v>36</v>
      </c>
      <c r="M11" s="64" t="str">
        <f t="shared" si="1"/>
        <v>L</v>
      </c>
      <c r="Q11" s="14"/>
      <c r="R11" s="15"/>
      <c r="S11" s="19">
        <f t="shared" si="2"/>
        <v>4</v>
      </c>
      <c r="T11" s="19">
        <f t="shared" si="3"/>
        <v>4</v>
      </c>
      <c r="U11" s="15">
        <f t="shared" si="4"/>
        <v>8</v>
      </c>
      <c r="V11" s="15">
        <f t="shared" si="5"/>
        <v>5</v>
      </c>
    </row>
    <row r="12" spans="1:23" ht="139.5" customHeight="1" x14ac:dyDescent="0.2">
      <c r="A12" s="73">
        <v>4</v>
      </c>
      <c r="B12" s="77" t="s">
        <v>59</v>
      </c>
      <c r="C12" s="77" t="s">
        <v>67</v>
      </c>
      <c r="D12" s="20">
        <v>4</v>
      </c>
      <c r="E12" s="13" t="s">
        <v>37</v>
      </c>
      <c r="F12" s="68" t="str">
        <f t="shared" si="0"/>
        <v>M</v>
      </c>
      <c r="G12" s="134" t="s">
        <v>68</v>
      </c>
      <c r="H12" s="135"/>
      <c r="I12" s="136"/>
      <c r="J12" s="137"/>
      <c r="K12" s="20">
        <v>1</v>
      </c>
      <c r="L12" s="13" t="s">
        <v>38</v>
      </c>
      <c r="M12" s="64" t="str">
        <f t="shared" si="1"/>
        <v>L</v>
      </c>
      <c r="Q12" s="14"/>
      <c r="R12" s="15"/>
      <c r="S12" s="19">
        <f t="shared" si="2"/>
        <v>3</v>
      </c>
      <c r="T12" s="19">
        <f t="shared" si="3"/>
        <v>3</v>
      </c>
      <c r="U12" s="15">
        <f t="shared" si="4"/>
        <v>7</v>
      </c>
      <c r="V12" s="15">
        <f t="shared" si="5"/>
        <v>4</v>
      </c>
    </row>
    <row r="13" spans="1:23" ht="15" x14ac:dyDescent="0.2">
      <c r="A13" s="73">
        <v>5</v>
      </c>
      <c r="B13" s="75"/>
      <c r="C13" s="76"/>
      <c r="D13" s="20"/>
      <c r="E13" s="13"/>
      <c r="F13" s="68" t="str">
        <f t="shared" si="0"/>
        <v/>
      </c>
      <c r="G13" s="128"/>
      <c r="H13" s="129"/>
      <c r="I13" s="130"/>
      <c r="J13" s="131"/>
      <c r="K13" s="20"/>
      <c r="L13" s="13"/>
      <c r="M13" s="64" t="str">
        <f t="shared" si="1"/>
        <v/>
      </c>
      <c r="Q13" s="14"/>
      <c r="R13" s="15"/>
      <c r="S13" s="19" t="str">
        <f t="shared" si="2"/>
        <v/>
      </c>
      <c r="T13" s="19" t="str">
        <f t="shared" si="3"/>
        <v/>
      </c>
      <c r="U13" s="15" t="e">
        <f t="shared" si="4"/>
        <v>#VALUE!</v>
      </c>
      <c r="V13" s="15" t="e">
        <f t="shared" si="5"/>
        <v>#VALUE!</v>
      </c>
    </row>
    <row r="14" spans="1:23" x14ac:dyDescent="0.2">
      <c r="A14" s="58"/>
      <c r="M14" s="57"/>
    </row>
    <row r="15" spans="1:23" ht="39" customHeight="1" x14ac:dyDescent="0.2">
      <c r="A15" s="94" t="s">
        <v>69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6"/>
    </row>
    <row r="16" spans="1:23" ht="38.1" customHeight="1" x14ac:dyDescent="0.2">
      <c r="A16" s="175" t="s">
        <v>70</v>
      </c>
      <c r="B16" s="176"/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</row>
    <row r="17" spans="1:17" ht="22.5" customHeight="1" x14ac:dyDescent="0.35">
      <c r="A17" s="177" t="s">
        <v>71</v>
      </c>
      <c r="B17" s="178"/>
      <c r="C17" s="178"/>
      <c r="D17" s="179"/>
      <c r="E17" s="179"/>
      <c r="F17" s="179"/>
      <c r="G17" s="180"/>
      <c r="H17" s="181"/>
      <c r="I17" s="181"/>
      <c r="J17" s="181"/>
      <c r="K17" s="181"/>
      <c r="L17" s="182"/>
      <c r="M17" s="183"/>
    </row>
    <row r="18" spans="1:17" ht="68.45" customHeight="1" x14ac:dyDescent="0.2">
      <c r="A18" s="108" t="s">
        <v>42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10"/>
    </row>
    <row r="19" spans="1:17" s="9" customFormat="1" ht="15" customHeight="1" x14ac:dyDescent="0.2">
      <c r="A19" s="108" t="s">
        <v>30</v>
      </c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10"/>
      <c r="N19" s="8"/>
      <c r="O19" s="8"/>
      <c r="P19" s="8"/>
      <c r="Q19" s="16"/>
    </row>
    <row r="20" spans="1:17" s="9" customFormat="1" ht="45" customHeight="1" x14ac:dyDescent="0.2">
      <c r="A20" s="65">
        <v>1</v>
      </c>
      <c r="B20" s="111" t="s">
        <v>72</v>
      </c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8"/>
      <c r="O20" s="8"/>
      <c r="P20" s="8"/>
      <c r="Q20" s="16"/>
    </row>
    <row r="21" spans="1:17" s="9" customFormat="1" ht="45" customHeight="1" x14ac:dyDescent="0.2">
      <c r="A21" s="65">
        <v>2</v>
      </c>
      <c r="B21" s="111" t="s">
        <v>73</v>
      </c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8"/>
      <c r="O21" s="8"/>
      <c r="P21" s="8"/>
      <c r="Q21" s="16"/>
    </row>
    <row r="22" spans="1:17" s="9" customFormat="1" ht="45" customHeight="1" x14ac:dyDescent="0.2">
      <c r="A22" s="65">
        <v>3</v>
      </c>
      <c r="B22" s="97" t="s">
        <v>74</v>
      </c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8"/>
      <c r="P22" s="8"/>
      <c r="Q22" s="16"/>
    </row>
    <row r="23" spans="1:17" s="9" customFormat="1" ht="45" customHeight="1" x14ac:dyDescent="0.2">
      <c r="A23" s="65">
        <v>4</v>
      </c>
      <c r="B23" s="111" t="s">
        <v>75</v>
      </c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8"/>
      <c r="P23" s="8"/>
      <c r="Q23" s="16"/>
    </row>
    <row r="24" spans="1:17" s="9" customFormat="1" ht="45" customHeight="1" x14ac:dyDescent="0.2">
      <c r="A24" s="65">
        <v>5</v>
      </c>
      <c r="B24" s="97" t="s">
        <v>76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8"/>
      <c r="P24" s="8"/>
      <c r="Q24" s="16"/>
    </row>
    <row r="25" spans="1:17" s="9" customFormat="1" ht="45" customHeight="1" x14ac:dyDescent="0.2">
      <c r="A25" s="65">
        <v>6</v>
      </c>
      <c r="B25" s="111" t="s">
        <v>77</v>
      </c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8"/>
      <c r="P25" s="8"/>
      <c r="Q25" s="16"/>
    </row>
    <row r="26" spans="1:17" s="9" customFormat="1" ht="45" customHeight="1" x14ac:dyDescent="0.2">
      <c r="A26" s="65">
        <v>7</v>
      </c>
      <c r="B26" s="97" t="s">
        <v>78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8"/>
      <c r="P26" s="8"/>
      <c r="Q26" s="16"/>
    </row>
    <row r="27" spans="1:17" s="9" customFormat="1" ht="45" customHeight="1" x14ac:dyDescent="0.2">
      <c r="A27" s="65">
        <v>8</v>
      </c>
      <c r="B27" s="97" t="s">
        <v>79</v>
      </c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8"/>
      <c r="P27" s="8"/>
      <c r="Q27" s="16"/>
    </row>
    <row r="28" spans="1:17" s="9" customFormat="1" ht="45" customHeight="1" x14ac:dyDescent="0.2">
      <c r="A28" s="65">
        <v>9</v>
      </c>
      <c r="B28" s="97" t="s">
        <v>80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8"/>
      <c r="P28" s="8"/>
      <c r="Q28" s="16"/>
    </row>
    <row r="29" spans="1:17" s="9" customFormat="1" ht="45" customHeight="1" x14ac:dyDescent="0.2">
      <c r="A29" s="65">
        <v>10</v>
      </c>
      <c r="B29" s="114" t="s">
        <v>81</v>
      </c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8"/>
      <c r="P29" s="8"/>
      <c r="Q29" s="16"/>
    </row>
    <row r="30" spans="1:17" s="9" customFormat="1" ht="45" customHeight="1" x14ac:dyDescent="0.2">
      <c r="A30" s="65">
        <v>11</v>
      </c>
      <c r="B30" s="97" t="s">
        <v>82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8"/>
      <c r="P30" s="8"/>
      <c r="Q30" s="16"/>
    </row>
    <row r="31" spans="1:17" s="9" customFormat="1" ht="45" customHeight="1" x14ac:dyDescent="0.2">
      <c r="A31" s="65">
        <v>12</v>
      </c>
      <c r="B31" s="97" t="s">
        <v>83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8"/>
      <c r="P31" s="8"/>
      <c r="Q31" s="16"/>
    </row>
    <row r="32" spans="1:17" s="9" customFormat="1" ht="45" customHeight="1" x14ac:dyDescent="0.2">
      <c r="A32" s="65">
        <v>13</v>
      </c>
      <c r="B32" s="97" t="s">
        <v>84</v>
      </c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8"/>
      <c r="P32" s="8"/>
      <c r="Q32" s="16"/>
    </row>
    <row r="33" spans="1:17" s="9" customFormat="1" ht="45" customHeight="1" x14ac:dyDescent="0.2">
      <c r="A33" s="65">
        <v>14</v>
      </c>
      <c r="B33" s="97" t="s">
        <v>85</v>
      </c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8"/>
      <c r="P33" s="8"/>
      <c r="Q33" s="16"/>
    </row>
    <row r="34" spans="1:17" s="9" customFormat="1" ht="45" customHeight="1" x14ac:dyDescent="0.2">
      <c r="A34" s="65">
        <v>15</v>
      </c>
      <c r="B34" s="97" t="s">
        <v>86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Q34" s="17"/>
    </row>
    <row r="35" spans="1:17" ht="46.5" customHeight="1" x14ac:dyDescent="0.2">
      <c r="A35" s="93" t="s">
        <v>87</v>
      </c>
      <c r="B35" s="93"/>
      <c r="C35" s="93"/>
      <c r="D35" s="93"/>
      <c r="E35" s="93"/>
      <c r="F35" s="93"/>
      <c r="G35" s="93"/>
      <c r="H35" s="113"/>
      <c r="I35" s="113"/>
      <c r="J35" s="113"/>
      <c r="K35" s="113"/>
      <c r="L35" s="113"/>
      <c r="M35" s="113"/>
    </row>
    <row r="36" spans="1:17" ht="25.5" customHeight="1" x14ac:dyDescent="0.2">
      <c r="A36" s="184" t="s">
        <v>88</v>
      </c>
      <c r="B36" s="185"/>
      <c r="C36" s="186" t="s">
        <v>89</v>
      </c>
      <c r="D36" s="184" t="s">
        <v>90</v>
      </c>
      <c r="E36" s="187"/>
      <c r="F36" s="187"/>
      <c r="G36" s="185"/>
      <c r="H36" s="184" t="s">
        <v>91</v>
      </c>
      <c r="I36" s="187"/>
      <c r="J36" s="187"/>
      <c r="K36" s="187"/>
      <c r="L36" s="187"/>
      <c r="M36" s="185"/>
    </row>
    <row r="37" spans="1:17" ht="18" customHeight="1" x14ac:dyDescent="0.2">
      <c r="A37" s="99"/>
      <c r="B37" s="101"/>
      <c r="C37" s="6"/>
      <c r="D37" s="99"/>
      <c r="E37" s="100"/>
      <c r="F37" s="100"/>
      <c r="G37" s="101"/>
      <c r="H37" s="116"/>
      <c r="I37" s="117"/>
      <c r="J37" s="117"/>
      <c r="K37" s="117"/>
      <c r="L37" s="117"/>
      <c r="M37" s="118"/>
    </row>
    <row r="38" spans="1:17" ht="18" customHeight="1" x14ac:dyDescent="0.2">
      <c r="A38" s="78"/>
      <c r="B38" s="80"/>
      <c r="C38" s="6"/>
      <c r="D38" s="78"/>
      <c r="E38" s="79"/>
      <c r="F38" s="79"/>
      <c r="G38" s="80"/>
      <c r="H38" s="82"/>
      <c r="I38" s="83"/>
      <c r="J38" s="83"/>
      <c r="K38" s="83"/>
      <c r="L38" s="83"/>
      <c r="M38" s="81"/>
    </row>
    <row r="39" spans="1:17" ht="18" customHeight="1" x14ac:dyDescent="0.2">
      <c r="A39" s="78"/>
      <c r="B39" s="80"/>
      <c r="C39" s="6"/>
      <c r="D39" s="78"/>
      <c r="E39" s="79"/>
      <c r="F39" s="79"/>
      <c r="G39" s="80"/>
      <c r="H39" s="82"/>
      <c r="I39" s="83"/>
      <c r="J39" s="83"/>
      <c r="K39" s="83"/>
      <c r="L39" s="83"/>
      <c r="M39" s="81"/>
    </row>
    <row r="40" spans="1:17" ht="18" customHeight="1" x14ac:dyDescent="0.2">
      <c r="A40" s="78"/>
      <c r="B40" s="80"/>
      <c r="C40" s="6"/>
      <c r="D40" s="78"/>
      <c r="E40" s="79"/>
      <c r="F40" s="79"/>
      <c r="G40" s="80"/>
      <c r="H40" s="82"/>
      <c r="I40" s="83"/>
      <c r="J40" s="83"/>
      <c r="K40" s="83"/>
      <c r="L40" s="83"/>
      <c r="M40" s="81"/>
    </row>
    <row r="41" spans="1:17" ht="18" customHeight="1" x14ac:dyDescent="0.2">
      <c r="A41" s="78"/>
      <c r="B41" s="80"/>
      <c r="C41" s="6"/>
      <c r="D41" s="78"/>
      <c r="E41" s="79"/>
      <c r="F41" s="79"/>
      <c r="G41" s="80"/>
      <c r="H41" s="82"/>
      <c r="I41" s="83"/>
      <c r="J41" s="83"/>
      <c r="K41" s="83"/>
      <c r="L41" s="83"/>
      <c r="M41" s="81"/>
    </row>
    <row r="42" spans="1:17" ht="18" customHeight="1" x14ac:dyDescent="0.2">
      <c r="A42" s="78"/>
      <c r="B42" s="80"/>
      <c r="C42" s="6"/>
      <c r="D42" s="78"/>
      <c r="E42" s="79"/>
      <c r="F42" s="79"/>
      <c r="G42" s="80"/>
      <c r="H42" s="82"/>
      <c r="I42" s="83"/>
      <c r="J42" s="83"/>
      <c r="K42" s="83"/>
      <c r="L42" s="83"/>
      <c r="M42" s="81"/>
    </row>
    <row r="43" spans="1:17" ht="30.75" customHeight="1" x14ac:dyDescent="0.2">
      <c r="A43" s="105" t="s">
        <v>92</v>
      </c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7"/>
    </row>
    <row r="44" spans="1:17" ht="30.75" customHeight="1" x14ac:dyDescent="0.2">
      <c r="A44" s="188" t="s">
        <v>93</v>
      </c>
      <c r="B44" s="188"/>
      <c r="C44" s="189" t="s">
        <v>94</v>
      </c>
      <c r="D44" s="190" t="s">
        <v>95</v>
      </c>
      <c r="E44" s="191"/>
      <c r="F44" s="192"/>
      <c r="G44" s="84"/>
      <c r="H44" s="85"/>
      <c r="I44" s="85"/>
      <c r="J44" s="85"/>
      <c r="K44" s="85"/>
      <c r="L44" s="85"/>
      <c r="M44" s="86"/>
    </row>
    <row r="45" spans="1:17" ht="33.950000000000003" customHeight="1" x14ac:dyDescent="0.2">
      <c r="A45" s="102"/>
      <c r="B45" s="104"/>
      <c r="C45" s="10"/>
      <c r="D45" s="193"/>
      <c r="E45" s="194"/>
      <c r="F45" s="195"/>
      <c r="G45" s="87"/>
      <c r="H45" s="88"/>
      <c r="I45" s="88"/>
      <c r="J45" s="88"/>
      <c r="K45" s="88"/>
      <c r="L45" s="88"/>
      <c r="M45" s="89"/>
    </row>
    <row r="46" spans="1:17" s="11" customFormat="1" ht="18" customHeight="1" x14ac:dyDescent="0.2">
      <c r="A46" s="66"/>
      <c r="M46" s="67"/>
    </row>
    <row r="47" spans="1:17" ht="76.5" customHeight="1" x14ac:dyDescent="0.2">
      <c r="A47" s="196" t="s">
        <v>96</v>
      </c>
      <c r="B47" s="169"/>
      <c r="C47" s="102"/>
      <c r="D47" s="103"/>
      <c r="E47" s="103"/>
      <c r="F47" s="103"/>
      <c r="G47" s="103"/>
      <c r="H47" s="103"/>
      <c r="I47" s="103"/>
      <c r="J47" s="103"/>
      <c r="K47" s="103"/>
      <c r="L47" s="103"/>
      <c r="M47" s="104"/>
    </row>
    <row r="48" spans="1:17" s="12" customFormat="1" ht="24" customHeight="1" x14ac:dyDescent="0.2">
      <c r="A48" s="93" t="s">
        <v>97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</row>
  </sheetData>
  <sheetProtection formatCells="0" formatColumns="0" formatRows="0" insertColumns="0" insertRows="0" insertHyperlinks="0" deleteColumns="0" deleteRows="0" sort="0" autoFilter="0" pivotTables="0"/>
  <mergeCells count="51">
    <mergeCell ref="J2:M2"/>
    <mergeCell ref="J3:M3"/>
    <mergeCell ref="J4:M4"/>
    <mergeCell ref="C3:H3"/>
    <mergeCell ref="A16:M16"/>
    <mergeCell ref="G13:J13"/>
    <mergeCell ref="K6:M6"/>
    <mergeCell ref="G8:J8"/>
    <mergeCell ref="G9:J9"/>
    <mergeCell ref="G10:J10"/>
    <mergeCell ref="G11:J11"/>
    <mergeCell ref="G12:J12"/>
    <mergeCell ref="A1:B4"/>
    <mergeCell ref="B34:M34"/>
    <mergeCell ref="H36:M36"/>
    <mergeCell ref="H37:M37"/>
    <mergeCell ref="B26:M26"/>
    <mergeCell ref="A36:B36"/>
    <mergeCell ref="A37:B37"/>
    <mergeCell ref="C47:M47"/>
    <mergeCell ref="A43:M43"/>
    <mergeCell ref="A18:M18"/>
    <mergeCell ref="B20:M20"/>
    <mergeCell ref="B21:M21"/>
    <mergeCell ref="B22:M22"/>
    <mergeCell ref="A35:M35"/>
    <mergeCell ref="A44:B44"/>
    <mergeCell ref="B25:M25"/>
    <mergeCell ref="A45:B45"/>
    <mergeCell ref="A19:M19"/>
    <mergeCell ref="D44:F45"/>
    <mergeCell ref="B23:M23"/>
    <mergeCell ref="B24:M24"/>
    <mergeCell ref="B27:M27"/>
    <mergeCell ref="B29:M29"/>
    <mergeCell ref="G44:M45"/>
    <mergeCell ref="A6:B6"/>
    <mergeCell ref="H7:J7"/>
    <mergeCell ref="A48:M48"/>
    <mergeCell ref="A7:B7"/>
    <mergeCell ref="A15:M15"/>
    <mergeCell ref="B28:M28"/>
    <mergeCell ref="B33:M33"/>
    <mergeCell ref="B30:M30"/>
    <mergeCell ref="B31:M31"/>
    <mergeCell ref="B32:M32"/>
    <mergeCell ref="K7:M7"/>
    <mergeCell ref="D7:F7"/>
    <mergeCell ref="D36:G36"/>
    <mergeCell ref="D37:G37"/>
    <mergeCell ref="A47:B47"/>
  </mergeCells>
  <phoneticPr fontId="0" type="noConversion"/>
  <conditionalFormatting sqref="F9:F13 M9:M13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disablePrompts="1" count="2">
    <dataValidation type="list" allowBlank="1" showInputMessage="1" showErrorMessage="1" sqref="K9:K13 D9:D13" xr:uid="{00000000-0002-0000-0000-000000000000}">
      <formula1>$Q$2:$Q$7</formula1>
    </dataValidation>
    <dataValidation type="list" allowBlank="1" showInputMessage="1" showErrorMessage="1" sqref="L9:L13 E9:E13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16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A2CD-CA8C-4156-BA76-74EEA1688B0B}">
  <dimension ref="A1:V34"/>
  <sheetViews>
    <sheetView showWhiteSpace="0" view="pageLayout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97"/>
      <c r="B1" s="197"/>
      <c r="C1" s="197"/>
      <c r="D1" s="198"/>
      <c r="E1" s="198"/>
      <c r="F1" s="198"/>
      <c r="G1" s="1"/>
      <c r="H1" s="1"/>
      <c r="I1" s="199"/>
      <c r="J1" s="199"/>
      <c r="O1" s="14" t="s">
        <v>119</v>
      </c>
      <c r="P1" s="14" t="s">
        <v>120</v>
      </c>
      <c r="Q1" s="14" t="s">
        <v>121</v>
      </c>
      <c r="R1" s="14" t="s">
        <v>122</v>
      </c>
      <c r="S1" s="14" t="s">
        <v>123</v>
      </c>
      <c r="T1" s="14" t="s">
        <v>124</v>
      </c>
      <c r="U1" s="18" t="s">
        <v>125</v>
      </c>
      <c r="V1" s="2"/>
    </row>
    <row r="2" spans="1:22" ht="25.5" customHeight="1" x14ac:dyDescent="0.2">
      <c r="A2" s="197"/>
      <c r="B2" s="197"/>
      <c r="C2" s="197"/>
      <c r="D2" s="200" t="s">
        <v>98</v>
      </c>
      <c r="E2" s="126"/>
      <c r="F2" s="126"/>
      <c r="G2" s="126"/>
      <c r="H2" s="126"/>
      <c r="I2" s="201"/>
      <c r="J2" s="201"/>
      <c r="N2" s="7"/>
      <c r="O2" s="14">
        <v>1</v>
      </c>
      <c r="P2" s="14" t="s">
        <v>126</v>
      </c>
      <c r="Q2" s="15"/>
      <c r="R2" s="15"/>
      <c r="S2" s="15"/>
      <c r="T2" s="15"/>
      <c r="U2" s="18" t="s">
        <v>127</v>
      </c>
      <c r="V2" s="5"/>
    </row>
    <row r="3" spans="1:22" ht="25.5" customHeight="1" x14ac:dyDescent="0.2">
      <c r="A3" s="197"/>
      <c r="B3" s="197"/>
      <c r="C3" s="197"/>
      <c r="D3" s="49"/>
      <c r="E3" s="49"/>
      <c r="F3" s="49"/>
      <c r="G3" s="49"/>
      <c r="H3" s="49"/>
      <c r="I3" s="202"/>
      <c r="J3" s="202"/>
      <c r="K3" s="49"/>
      <c r="L3" s="49"/>
      <c r="M3" s="22"/>
    </row>
    <row r="4" spans="1:22" ht="17.45" customHeight="1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5.15" customHeight="1" thickBot="1" x14ac:dyDescent="0.25">
      <c r="A5" s="150" t="s">
        <v>53</v>
      </c>
      <c r="B5" s="151"/>
      <c r="C5" s="141" t="s">
        <v>99</v>
      </c>
      <c r="D5" s="142"/>
      <c r="E5" s="142"/>
      <c r="F5" s="142"/>
      <c r="G5" s="143"/>
      <c r="H5" s="141" t="s">
        <v>100</v>
      </c>
      <c r="I5" s="142"/>
      <c r="J5" s="142"/>
      <c r="K5" s="142"/>
      <c r="L5" s="143"/>
      <c r="M5" s="22"/>
    </row>
    <row r="6" spans="1:22" ht="20.25" customHeight="1" thickBot="1" x14ac:dyDescent="0.25">
      <c r="A6" s="152"/>
      <c r="B6" s="153"/>
      <c r="C6" s="203" t="s">
        <v>101</v>
      </c>
      <c r="D6" s="203" t="s">
        <v>102</v>
      </c>
      <c r="E6" s="203" t="s">
        <v>103</v>
      </c>
      <c r="F6" s="203" t="s">
        <v>128</v>
      </c>
      <c r="G6" s="203" t="s">
        <v>129</v>
      </c>
      <c r="H6" s="69" t="s">
        <v>39</v>
      </c>
      <c r="I6" s="69" t="s">
        <v>40</v>
      </c>
      <c r="J6" s="69" t="s">
        <v>41</v>
      </c>
      <c r="K6" s="21" t="s">
        <v>130</v>
      </c>
      <c r="L6" s="21" t="s">
        <v>131</v>
      </c>
      <c r="M6" s="22"/>
    </row>
    <row r="7" spans="1:22" ht="112.5" x14ac:dyDescent="0.2">
      <c r="A7" s="152"/>
      <c r="B7" s="153"/>
      <c r="C7" s="204"/>
      <c r="D7" s="204"/>
      <c r="E7" s="204"/>
      <c r="F7" s="204"/>
      <c r="G7" s="204"/>
      <c r="H7" s="70" t="s">
        <v>104</v>
      </c>
      <c r="I7" s="70" t="s">
        <v>132</v>
      </c>
      <c r="J7" s="70" t="s">
        <v>133</v>
      </c>
      <c r="K7" s="23" t="s">
        <v>134</v>
      </c>
      <c r="L7" s="23" t="s">
        <v>135</v>
      </c>
      <c r="M7" s="22"/>
    </row>
    <row r="8" spans="1:22" ht="12.75" customHeight="1" x14ac:dyDescent="0.2">
      <c r="A8" s="152"/>
      <c r="B8" s="153"/>
      <c r="C8" s="204"/>
      <c r="D8" s="204"/>
      <c r="E8" s="204"/>
      <c r="F8" s="204"/>
      <c r="G8" s="204"/>
      <c r="H8" s="139" t="s">
        <v>105</v>
      </c>
      <c r="I8" s="139" t="s">
        <v>136</v>
      </c>
      <c r="J8" s="139" t="s">
        <v>137</v>
      </c>
      <c r="K8" s="139" t="s">
        <v>138</v>
      </c>
      <c r="L8" s="139" t="s">
        <v>139</v>
      </c>
      <c r="M8" s="22"/>
    </row>
    <row r="9" spans="1:22" ht="40.5" customHeight="1" thickBot="1" x14ac:dyDescent="0.25">
      <c r="A9" s="154"/>
      <c r="B9" s="155"/>
      <c r="C9" s="205"/>
      <c r="D9" s="205"/>
      <c r="E9" s="205"/>
      <c r="F9" s="205"/>
      <c r="G9" s="205"/>
      <c r="H9" s="140"/>
      <c r="I9" s="140"/>
      <c r="J9" s="140"/>
      <c r="K9" s="140"/>
      <c r="L9" s="140"/>
      <c r="M9" s="22"/>
    </row>
    <row r="10" spans="1:22" ht="49.5" customHeight="1" x14ac:dyDescent="0.2">
      <c r="A10" s="146">
        <v>1</v>
      </c>
      <c r="B10" s="147"/>
      <c r="C10" s="38" t="s">
        <v>140</v>
      </c>
      <c r="D10" s="38" t="s">
        <v>141</v>
      </c>
      <c r="E10" s="38" t="s">
        <v>142</v>
      </c>
      <c r="F10" s="38" t="s">
        <v>143</v>
      </c>
      <c r="G10" s="39" t="s">
        <v>144</v>
      </c>
      <c r="H10" s="30" t="s">
        <v>15</v>
      </c>
      <c r="I10" s="31" t="s">
        <v>16</v>
      </c>
      <c r="J10" s="31" t="s">
        <v>17</v>
      </c>
      <c r="K10" s="40" t="s">
        <v>145</v>
      </c>
      <c r="L10" s="32" t="s">
        <v>146</v>
      </c>
      <c r="M10" s="22"/>
    </row>
    <row r="11" spans="1:22" ht="64.5" customHeight="1" x14ac:dyDescent="0.2">
      <c r="A11" s="148">
        <v>2</v>
      </c>
      <c r="B11" s="149"/>
      <c r="C11" s="24" t="s">
        <v>147</v>
      </c>
      <c r="D11" s="24" t="s">
        <v>148</v>
      </c>
      <c r="E11" s="38" t="s">
        <v>149</v>
      </c>
      <c r="F11" s="24" t="s">
        <v>150</v>
      </c>
      <c r="G11" s="28" t="s">
        <v>106</v>
      </c>
      <c r="H11" s="33" t="s">
        <v>18</v>
      </c>
      <c r="I11" s="34" t="s">
        <v>19</v>
      </c>
      <c r="J11" s="34" t="s">
        <v>20</v>
      </c>
      <c r="K11" s="35" t="s">
        <v>151</v>
      </c>
      <c r="L11" s="36" t="s">
        <v>152</v>
      </c>
      <c r="M11" s="22"/>
    </row>
    <row r="12" spans="1:22" ht="69" customHeight="1" x14ac:dyDescent="0.2">
      <c r="A12" s="148">
        <v>3</v>
      </c>
      <c r="B12" s="149"/>
      <c r="C12" s="24" t="s">
        <v>107</v>
      </c>
      <c r="D12" s="24" t="s">
        <v>153</v>
      </c>
      <c r="E12" s="38" t="s">
        <v>154</v>
      </c>
      <c r="F12" s="24" t="s">
        <v>155</v>
      </c>
      <c r="G12" s="28" t="s">
        <v>108</v>
      </c>
      <c r="H12" s="33" t="s">
        <v>21</v>
      </c>
      <c r="I12" s="34" t="s">
        <v>22</v>
      </c>
      <c r="J12" s="35" t="s">
        <v>23</v>
      </c>
      <c r="K12" s="35" t="s">
        <v>156</v>
      </c>
      <c r="L12" s="41" t="s">
        <v>157</v>
      </c>
      <c r="M12" s="22"/>
    </row>
    <row r="13" spans="1:22" ht="78.75" customHeight="1" x14ac:dyDescent="0.2">
      <c r="A13" s="148">
        <v>4</v>
      </c>
      <c r="B13" s="149"/>
      <c r="C13" s="24" t="s">
        <v>109</v>
      </c>
      <c r="D13" s="24" t="s">
        <v>158</v>
      </c>
      <c r="E13" s="38" t="s">
        <v>110</v>
      </c>
      <c r="F13" s="24" t="s">
        <v>159</v>
      </c>
      <c r="G13" s="28" t="s">
        <v>111</v>
      </c>
      <c r="H13" s="33" t="s">
        <v>24</v>
      </c>
      <c r="I13" s="35" t="s">
        <v>25</v>
      </c>
      <c r="J13" s="35" t="s">
        <v>26</v>
      </c>
      <c r="K13" s="42" t="s">
        <v>160</v>
      </c>
      <c r="L13" s="41" t="s">
        <v>161</v>
      </c>
      <c r="M13" s="22"/>
    </row>
    <row r="14" spans="1:22" ht="75" customHeight="1" thickBot="1" x14ac:dyDescent="0.25">
      <c r="A14" s="144">
        <v>5</v>
      </c>
      <c r="B14" s="145"/>
      <c r="C14" s="25" t="s">
        <v>112</v>
      </c>
      <c r="D14" s="25" t="s">
        <v>162</v>
      </c>
      <c r="E14" s="25" t="s">
        <v>163</v>
      </c>
      <c r="F14" s="25" t="s">
        <v>113</v>
      </c>
      <c r="G14" s="29" t="s">
        <v>114</v>
      </c>
      <c r="H14" s="45" t="s">
        <v>27</v>
      </c>
      <c r="I14" s="37" t="s">
        <v>28</v>
      </c>
      <c r="J14" s="43" t="s">
        <v>29</v>
      </c>
      <c r="K14" s="43" t="s">
        <v>164</v>
      </c>
      <c r="L14" s="44" t="s">
        <v>165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12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1.7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63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1:C3"/>
    <mergeCell ref="I1:J1"/>
    <mergeCell ref="D2:H2"/>
    <mergeCell ref="I2:J2"/>
    <mergeCell ref="I3:J3"/>
    <mergeCell ref="A5:B9"/>
    <mergeCell ref="C5:G5"/>
    <mergeCell ref="H5:L5"/>
    <mergeCell ref="C6:C9"/>
    <mergeCell ref="D6:D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Props1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34A5DBCF-E2DA-4D23-9549-E8E78AF171AB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faa5c77d-98fa-4e50-863f-182fb51ee117"/>
    <ds:schemaRef ds:uri="5470fdc2-d5b4-45ba-ae4a-b04105b307e7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2018-09-20T07:15:35Z</cp:lastPrinted>
  <dcterms:created xsi:type="dcterms:W3CDTF">2011-02-21T14:14:41Z</dcterms:created>
  <dcterms:modified xsi:type="dcterms:W3CDTF">2025-02-26T14:34:43Z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