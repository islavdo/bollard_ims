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82498E06-3BAB-4840-8302-2DEB1AD25318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АСОР!$O$60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АСОР!$A$1:$M$61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V24" i="1"/>
  <c r="M24" i="1"/>
  <c r="S24" i="1"/>
  <c r="U24" i="1"/>
  <c r="F24" i="1"/>
  <c r="T23" i="1"/>
  <c r="V23" i="1"/>
  <c r="M23" i="1"/>
  <c r="S23" i="1"/>
  <c r="U23" i="1"/>
  <c r="F23" i="1"/>
  <c r="T22" i="1"/>
  <c r="V22" i="1"/>
  <c r="M22" i="1"/>
  <c r="S22" i="1"/>
  <c r="U22" i="1"/>
  <c r="F22" i="1"/>
  <c r="T21" i="1"/>
  <c r="V21" i="1"/>
  <c r="M21" i="1"/>
  <c r="S21" i="1"/>
  <c r="U21" i="1"/>
  <c r="F21" i="1"/>
  <c r="T20" i="1"/>
  <c r="V20" i="1"/>
  <c r="M20" i="1"/>
  <c r="S20" i="1"/>
  <c r="U20" i="1"/>
  <c r="F20" i="1"/>
  <c r="T19" i="1"/>
  <c r="V19" i="1"/>
  <c r="M19" i="1"/>
  <c r="S19" i="1"/>
  <c r="U19" i="1"/>
  <c r="F19" i="1"/>
  <c r="T18" i="1"/>
  <c r="V18" i="1"/>
  <c r="M18" i="1"/>
  <c r="S18" i="1"/>
  <c r="U18" i="1"/>
  <c r="F18" i="1"/>
  <c r="T17" i="1"/>
  <c r="V17" i="1"/>
  <c r="M17" i="1"/>
  <c r="S17" i="1"/>
  <c r="U17" i="1"/>
  <c r="F17" i="1"/>
  <c r="T16" i="1"/>
  <c r="V16" i="1"/>
  <c r="M16" i="1"/>
  <c r="S16" i="1"/>
  <c r="U16" i="1"/>
  <c r="F16" i="1"/>
  <c r="T15" i="1"/>
  <c r="V15" i="1"/>
  <c r="M15" i="1"/>
  <c r="S15" i="1"/>
  <c r="U15" i="1"/>
  <c r="F15" i="1"/>
  <c r="T26" i="1"/>
  <c r="V26" i="1"/>
  <c r="S26" i="1"/>
  <c r="U26" i="1"/>
  <c r="M26" i="1"/>
  <c r="F26" i="1"/>
  <c r="T25" i="1"/>
  <c r="V25" i="1"/>
  <c r="M25" i="1"/>
  <c r="S25" i="1"/>
  <c r="U25" i="1"/>
  <c r="F2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<sst xmlns="http://schemas.openxmlformats.org/spreadsheetml/2006/main" count="238" uniqueCount="220">
  <si>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</si>
  <si>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</si>
  <si>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</si>
  <si>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</si>
  <si>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</si>
  <si>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b/>
        <sz val="10"/>
        <color theme="0"/>
        <rFont val="Arial"/>
        <family val="2"/>
      </rPr>
      <t>Date / Дата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</si>
  <si>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</si>
  <si>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</si>
  <si>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</si>
  <si>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</si>
  <si>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</si>
  <si>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</si>
  <si>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</si>
  <si>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</si>
  <si>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</si>
  <si>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</si>
  <si>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</si>
  <si>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</si>
  <si>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</si>
  <si>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</si>
  <si>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</si>
  <si>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</si>
  <si>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</si>
  <si>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</si>
  <si>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</si>
  <si>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</si>
  <si>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</si>
  <si>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</si>
  <si>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</si>
  <si>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</si>
  <si>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</si>
  <si>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b/>
        <sz val="10"/>
        <color indexed="8"/>
        <rFont val="Arial"/>
        <family val="2"/>
      </rPr>
      <t xml:space="preserve">The following items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reviewed / </t>
    </r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</si>
  <si>
    <r>
      <rPr>
        <sz val="12"/>
        <rFont val="Verdana"/>
        <family val="2"/>
      </rPr>
      <t>6) Hypothermia / Переохлаждение.</t>
    </r>
  </si>
  <si>
    <r>
      <rPr>
        <sz val="12"/>
        <rFont val="Arial"/>
        <family val="2"/>
      </rPr>
      <t>1) Use survival suits if sea water temperature is low / Используйте морские спасательные костюмы при низкой температуре воды.
2) Pick-up person as soon as possible / Как можно скорее вытащите человека из воды.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</si>
  <si>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</si>
  <si>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</si>
  <si>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</si>
  <si>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</si>
  <si>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</si>
  <si>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</si>
  <si>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</si>
  <si>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</si>
  <si>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</si>
  <si>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</si>
  <si>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</si>
  <si>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</si>
  <si>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</si>
  <si>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</si>
  <si>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</si>
  <si>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</si>
  <si>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</si>
  <si>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</si>
  <si>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</si>
  <si>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</si>
  <si>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</si>
  <si>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</si>
  <si>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</si>
  <si>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</si>
  <si>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</si>
  <si>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</si>
  <si>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</si>
  <si>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</si>
  <si>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</si>
  <si>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</si>
  <si>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2) Performing the work activites over water / Выполнение работ над водой.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</si>
  <si>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</si>
  <si>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A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</si>
  <si>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</si>
  <si>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</si>
  <si>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</si>
  <si>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</si>
  <si>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</si>
  <si>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t>АНАЛИЗ СТЕПЕНИ ОПАСНОСТИ РАБОТ (АСОР)</t>
  </si>
  <si>
    <t>Название судна</t>
  </si>
  <si>
    <t xml:space="preserve"> Описание работ</t>
  </si>
  <si>
    <t>Спас. средства, СИЗ, инструменты и оборудование</t>
  </si>
  <si>
    <t>Номер оценки рисков</t>
  </si>
  <si>
    <t xml:space="preserve"> Исходный риск</t>
  </si>
  <si>
    <t xml:space="preserve"> Оборудование</t>
  </si>
  <si>
    <t xml:space="preserve"> 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</si>
  <si>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</si>
  <si>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</si>
  <si>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</si>
  <si>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</si>
  <si>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</si>
  <si>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</si>
  <si>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</si>
  <si>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</si>
  <si>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 xml:space="preserve"> Подготовительные работы</t>
  </si>
  <si>
    <t xml:space="preserve"> Отсутствие информации / недопонимание</t>
  </si>
  <si>
    <t>Отсутствие информационного взаимодействия</t>
  </si>
  <si>
    <t>Скольжения, спотыкания, падения</t>
  </si>
  <si>
    <t>Неправильные инструменты и оборудование, их отсутствие.</t>
  </si>
  <si>
    <t>Проведите подготовительные совещания и инструктажи для информирования всех задействованных лиц.</t>
  </si>
  <si>
    <t>Проверьте УКВ-рацию с помощником на мостике.</t>
  </si>
  <si>
    <t>Поддерживайте чистоту и порядок на участке работ.</t>
  </si>
  <si>
    <t>Прежде чем приступать к работе, проверьте, все ли необходимые инструменты и оборудование в наличии.</t>
  </si>
  <si>
    <t>Несоответствующие / недостающие СИЗ.</t>
  </si>
  <si>
    <t>1) Используйте инерционные катушки с втяжным тросом.
2) Подберите спецодежду к погодным условиям и температуре воды, например, морские спасательные костюмы в условиях холода.
3) Используйте надувные спасательные жилеты с проверкой перед использованием.</t>
  </si>
  <si>
    <t>Недостаточное укомплектование персоналом.</t>
  </si>
  <si>
    <t xml:space="preserve"> Присутствие не менее 2 человек на рабочей площадке. 1 наблюдатель по безопасности и 1 рабочий.</t>
  </si>
  <si>
    <t xml:space="preserve">Недостаточное освещение. </t>
  </si>
  <si>
    <t>Обеспечьте соответствующее и достаточное (не слепящее) освещение.</t>
  </si>
  <si>
    <t>Работы над водой и работы на высоте.</t>
  </si>
  <si>
    <t>Рассмотрите дополнительные опасности при работе на высоте, такие как травмы, потеря сознания, препятствия внизу и проч.</t>
  </si>
  <si>
    <t>Погодные условия и состояние моря.</t>
  </si>
  <si>
    <t>1)  Приступать к выполнению разрешается работ только в условиях достаточной видимости (отсутствие тумана).
2) Необходимо провести полную оценку погодных условий и условий на море до начала работ.</t>
  </si>
  <si>
    <t>Медицинское обслуживание.</t>
  </si>
  <si>
    <t>Подготовте средства для оказания первой помощи.</t>
  </si>
  <si>
    <t xml:space="preserve"> Выполнение работ над водой.</t>
  </si>
  <si>
    <t xml:space="preserve"> Ухудшающиеся погодные условия и/или условия на море.</t>
  </si>
  <si>
    <t>Отложите работы в случае надвигающейся грозы или шторма</t>
  </si>
  <si>
    <t xml:space="preserve">Падение человека. </t>
  </si>
  <si>
    <t>Во избежание травм в результате подвешивания поднимите на борт человека посредством инерционной катушки с втяжным тросом как можно скорее.</t>
  </si>
  <si>
    <t>Падение человека в море.</t>
  </si>
  <si>
    <t xml:space="preserve">1) Подайте сигнал тревоги и держите человека в поле зрения.
2) Мобилизуйте спасательный круг и поднимите человека на борт согласно спасательным процедурам.
3) Как можно быстрее поднимите человека на борт. </t>
  </si>
  <si>
    <t>Падение человека в море с травмированием.</t>
  </si>
  <si>
    <t xml:space="preserve">1) Повышенный риск утопления.
2) Как можно скорее спасите человека.
3) С помощью носилок поднимите человека на борт </t>
  </si>
  <si>
    <t>Падение человека в море с потерей сознания.</t>
  </si>
  <si>
    <t>1) Высокий риск утопления.
2) Как можно скорее вытащите человека из воды.</t>
  </si>
  <si>
    <t>Вторичное утопление.</t>
  </si>
  <si>
    <t>1) Лица, которые недолго были в воде, также должны быть направлены к врачу.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</si>
  <si>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</si>
  <si>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</si>
  <si>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</si>
  <si>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</si>
  <si>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Использование подготовленного АСОР как основы для инструктажа на рабочем месте.</t>
  </si>
  <si>
    <t xml:space="preserve">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</si>
  <si>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</si>
  <si>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</si>
  <si>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</si>
  <si>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</si>
  <si>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</si>
  <si>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</si>
  <si>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</si>
  <si>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</si>
  <si>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</si>
  <si>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</si>
  <si>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</si>
  <si>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</si>
  <si>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</si>
  <si>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</si>
  <si>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</si>
  <si>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</si>
  <si>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</si>
  <si>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</si>
  <si>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</si>
  <si>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</si>
  <si>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</si>
  <si>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</si>
  <si>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</si>
  <si>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</si>
  <si>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</si>
  <si>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</si>
  <si>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</si>
  <si>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</si>
  <si>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</si>
  <si>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</si>
  <si>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</si>
  <si>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</si>
  <si>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</si>
  <si>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</si>
  <si>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</si>
  <si>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</si>
  <si>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повреждение 
&lt;50.000€ / евро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</si>
  <si>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</si>
  <si>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</si>
  <si>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</si>
  <si>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</si>
  <si>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</si>
  <si>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</si>
  <si>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</si>
  <si>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t>Работы за бортом (над водой)</t>
  </si>
  <si>
    <t>File 09 / Папка 09</t>
  </si>
  <si>
    <t>Retention 3 Year / Срок хранения документа 3 года</t>
  </si>
  <si>
    <t>BL_FRM-VSL-09-1312-013</t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</si>
  <si>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</si>
  <si>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</si>
  <si>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</si>
  <si>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</si>
  <si>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</si>
  <si>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</si>
  <si>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</si>
  <si>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</si>
  <si>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</si>
  <si>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 xml:space="preserve"> Репутация</t>
  </si>
  <si>
    <t xml:space="preserve"> График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</si>
  <si>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</si>
  <si>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</si>
  <si>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</si>
  <si>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</si>
  <si>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Маловероятно</t>
  </si>
  <si>
    <t>Возможно</t>
  </si>
  <si>
    <t>Likely</t>
  </si>
  <si>
    <t>Very Likely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</si>
  <si>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</si>
  <si>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</si>
  <si>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</si>
  <si>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</si>
  <si>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</si>
  <si>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1D</t>
  </si>
  <si>
    <t>1E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</si>
  <si>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</si>
  <si>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</si>
  <si>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</si>
  <si>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</si>
  <si>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2D</t>
  </si>
  <si>
    <t>2E</t>
  </si>
  <si>
    <t>Умеренное воздействие
 менее - 1 баррель</t>
  </si>
  <si>
    <t>Умеренное негативное воздействие</t>
  </si>
  <si>
    <t>3D</t>
  </si>
  <si>
    <t>3E</t>
  </si>
  <si>
    <t>Значительное воздействие
1-10 баррелей</t>
  </si>
  <si>
    <t>Значительное негативное воздействие</t>
  </si>
  <si>
    <t>4D</t>
  </si>
  <si>
    <t>4E</t>
  </si>
  <si>
    <t>Сильное воздействие
&gt; 10  баррелей</t>
  </si>
  <si>
    <t>Обширное повреждение
&gt; 500.000€ / евро</t>
  </si>
  <si>
    <t>5D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</si>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</sst>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0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left" vertical="center" wrapText="1" shrinkToFi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5" fillId="2" borderId="1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14" fontId="23" fillId="8" borderId="4" xfId="0" applyNumberFormat="1" applyFont="1" applyFill="1" applyBorder="1" applyAlignment="1">
      <alignment horizontal="center" vertical="center" wrapText="1"/>
    </xf>
    <xf numFmtId="0" fontId="36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>
      <alignment horizontal="right" vertical="center"/>
    </xf>
    <xf numFmtId="0" fontId="22" fillId="8" borderId="8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38" fillId="2" borderId="21" xfId="0" applyFont="1" applyFill="1" applyBorder="1" applyAlignment="1">
      <alignment horizontal="center" vertical="center"/>
    </xf>
    <xf numFmtId="0" fontId="38" fillId="2" borderId="29" xfId="0" applyFont="1" applyFill="1" applyBorder="1" applyAlignment="1">
      <alignment horizontal="center" vertical="center"/>
    </xf>
    <xf numFmtId="0" fontId="38" fillId="2" borderId="30" xfId="0" applyFont="1" applyFill="1" applyBorder="1" applyAlignment="1">
      <alignment horizontal="center" vertical="center"/>
    </xf>
    <xf numFmtId="0" fontId="38" fillId="2" borderId="14" xfId="0" applyFont="1" applyFill="1" applyBorder="1" applyAlignment="1">
      <alignment horizontal="center" vertical="center"/>
    </xf>
    <xf numFmtId="0" fontId="38" fillId="2" borderId="23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4" name="Tekstvak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19</xdr:row>
      <xdr:rowOff>0</xdr:rowOff>
    </xdr:from>
    <xdr:ext cx="184731" cy="264560"/>
    <xdr:sp macro="" textlink="">
      <xdr:nvSpPr>
        <xdr:cNvPr id="5" name="Tekstvak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91350" y="855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3E0A7883-5E16-40DF-A0B0-B949376C69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17CB65E2-4D79-414B-A3D1-B81DB8467242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84BF9299-C23C-49B6-A3AE-CFC0792E2D25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6FC65313-4651-47DD-8F14-15BB2E2EA8F1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8188CF-2198-4C17-B340-3B538DF0BF6E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DB9704-B790-4AAF-A787-43D2686E58DF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BB3B0D-D3AB-4783-BB23-273B37897E2D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8DB67F-8805-4BCC-9778-FA2A338C2F83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C131B812-2790-48C7-A897-76C243D308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1"/>
  <sheetViews>
    <sheetView tabSelected="1" zoomScale="80" zoomScaleNormal="80" zoomScalePageLayoutView="73" workbookViewId="0">
      <selection activeCell="K6" sqref="K6:M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85"/>
      <c r="B1" s="194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</v>
      </c>
      <c r="R1" s="14" t="s">
        <v>0</v>
      </c>
      <c r="S1" s="14" t="s">
        <v>6</v>
      </c>
      <c r="T1" s="14" t="s">
        <v>7</v>
      </c>
      <c r="U1" s="14" t="s">
        <v>14</v>
      </c>
      <c r="V1" s="14" t="s">
        <v>15</v>
      </c>
      <c r="W1" s="18" t="s">
        <v>13</v>
      </c>
    </row>
    <row r="2" spans="1:23" ht="25.5" customHeight="1" x14ac:dyDescent="0.2">
      <c r="A2" s="195"/>
      <c r="B2" s="196"/>
      <c r="C2" s="55"/>
      <c r="D2" s="50"/>
      <c r="E2" s="50"/>
      <c r="F2" s="50"/>
      <c r="G2" s="50"/>
      <c r="H2" s="56"/>
      <c r="I2" s="4"/>
      <c r="J2" s="86" t="s">
        <v>175</v>
      </c>
      <c r="K2" s="87"/>
      <c r="L2" s="87"/>
      <c r="M2" s="88"/>
      <c r="P2" s="7"/>
      <c r="Q2" s="14">
        <v>1</v>
      </c>
      <c r="R2" s="14" t="s">
        <v>8</v>
      </c>
      <c r="S2" s="15"/>
      <c r="T2" s="15"/>
      <c r="U2" s="15"/>
      <c r="V2" s="15"/>
      <c r="W2" s="18" t="s">
        <v>4</v>
      </c>
    </row>
    <row r="3" spans="1:23" ht="25.5" customHeight="1" x14ac:dyDescent="0.2">
      <c r="A3" s="195"/>
      <c r="B3" s="196"/>
      <c r="C3" s="92" t="s">
        <v>72</v>
      </c>
      <c r="D3" s="93"/>
      <c r="E3" s="93"/>
      <c r="F3" s="93"/>
      <c r="G3" s="93"/>
      <c r="H3" s="94"/>
      <c r="J3" s="86" t="s">
        <v>173</v>
      </c>
      <c r="K3" s="87"/>
      <c r="L3" s="87"/>
      <c r="M3" s="88"/>
      <c r="P3" s="7"/>
      <c r="Q3" s="14">
        <v>2</v>
      </c>
      <c r="R3" s="14" t="s">
        <v>9</v>
      </c>
      <c r="S3" s="15"/>
      <c r="T3" s="15"/>
      <c r="U3" s="15"/>
      <c r="V3" s="15"/>
      <c r="W3" s="18" t="s">
        <v>3</v>
      </c>
    </row>
    <row r="4" spans="1:23" ht="35.25" customHeight="1" x14ac:dyDescent="0.2">
      <c r="A4" s="197"/>
      <c r="B4" s="198"/>
      <c r="C4" s="58"/>
      <c r="H4" s="57"/>
      <c r="J4" s="89" t="s">
        <v>174</v>
      </c>
      <c r="K4" s="90"/>
      <c r="L4" s="90"/>
      <c r="M4" s="91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10</v>
      </c>
      <c r="S5" s="15"/>
      <c r="T5" s="15"/>
      <c r="U5" s="15"/>
      <c r="V5" s="15"/>
      <c r="W5" s="18" t="s">
        <v>2</v>
      </c>
    </row>
    <row r="6" spans="1:23" s="7" customFormat="1" ht="36" customHeight="1" x14ac:dyDescent="0.2">
      <c r="A6" s="158" t="s">
        <v>73</v>
      </c>
      <c r="B6" s="158"/>
      <c r="C6" s="72"/>
      <c r="D6" s="62"/>
      <c r="E6" s="62"/>
      <c r="F6" s="63"/>
      <c r="G6" s="169" t="s">
        <v>74</v>
      </c>
      <c r="H6" s="74" t="s">
        <v>172</v>
      </c>
      <c r="I6" s="62"/>
      <c r="J6" s="170" t="s">
        <v>76</v>
      </c>
      <c r="K6" s="99" t="s">
        <v>175</v>
      </c>
      <c r="L6" s="99"/>
      <c r="M6" s="100"/>
      <c r="Q6" s="14">
        <v>4</v>
      </c>
      <c r="R6" s="14" t="s">
        <v>11</v>
      </c>
      <c r="S6" s="14"/>
      <c r="T6" s="14"/>
      <c r="U6" s="14"/>
      <c r="V6" s="14"/>
    </row>
    <row r="7" spans="1:23" s="7" customFormat="1" ht="36" customHeight="1" x14ac:dyDescent="0.2">
      <c r="A7" s="159" t="s">
        <v>5</v>
      </c>
      <c r="B7" s="160"/>
      <c r="C7" s="71"/>
      <c r="D7" s="167" t="s">
        <v>77</v>
      </c>
      <c r="E7" s="168"/>
      <c r="F7" s="168"/>
      <c r="G7" s="169" t="s">
        <v>78</v>
      </c>
      <c r="H7" s="134" t="s">
        <v>75</v>
      </c>
      <c r="I7" s="135"/>
      <c r="J7" s="136"/>
      <c r="K7" s="167" t="s">
        <v>79</v>
      </c>
      <c r="L7" s="168"/>
      <c r="M7" s="171"/>
      <c r="Q7" s="14">
        <v>5</v>
      </c>
      <c r="R7" s="14" t="s">
        <v>12</v>
      </c>
      <c r="S7" s="14"/>
      <c r="T7" s="14"/>
      <c r="U7" s="14"/>
      <c r="V7" s="14"/>
    </row>
    <row r="8" spans="1:23" ht="113.25" customHeight="1" x14ac:dyDescent="0.2">
      <c r="A8" s="161" t="s">
        <v>80</v>
      </c>
      <c r="B8" s="161" t="s">
        <v>81</v>
      </c>
      <c r="C8" s="161" t="s">
        <v>82</v>
      </c>
      <c r="D8" s="162" t="s">
        <v>83</v>
      </c>
      <c r="E8" s="162" t="s">
        <v>84</v>
      </c>
      <c r="F8" s="162" t="s">
        <v>85</v>
      </c>
      <c r="G8" s="163" t="s">
        <v>86</v>
      </c>
      <c r="H8" s="164"/>
      <c r="I8" s="165"/>
      <c r="J8" s="166"/>
      <c r="K8" s="162" t="s">
        <v>83</v>
      </c>
      <c r="L8" s="162" t="s">
        <v>84</v>
      </c>
      <c r="M8" s="162" t="s">
        <v>87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60" customHeight="1" x14ac:dyDescent="0.2">
      <c r="A9" s="73">
        <v>1</v>
      </c>
      <c r="B9" s="77" t="s">
        <v>88</v>
      </c>
      <c r="C9" s="77" t="s">
        <v>89</v>
      </c>
      <c r="D9" s="20">
        <v>3</v>
      </c>
      <c r="E9" s="13" t="s">
        <v>34</v>
      </c>
      <c r="F9" s="68" t="str">
        <f t="shared" ref="F9:F26" si="0">IF(D9="","",(IF(E9="","",IF(U9&lt;=1,"",IF(U9&lt;=5,$W$2,IF(U9=6,$W$3,IF(U9=7,$W$3,IF(U9&gt;=8,$W$5,""))))))))</f>
        <v>M</v>
      </c>
      <c r="G9" s="95" t="s">
        <v>93</v>
      </c>
      <c r="H9" s="96"/>
      <c r="I9" s="97"/>
      <c r="J9" s="98"/>
      <c r="K9" s="20">
        <v>1</v>
      </c>
      <c r="L9" s="13" t="s">
        <v>35</v>
      </c>
      <c r="M9" s="64" t="str">
        <f t="shared" ref="M9:M26" si="1">IF(K9="","",(IF(L9="","",IF(V9&lt;=1,"",IF(V9&lt;=5,$W$2,IF(V9=6,$W$3,IF(V9=7,$W$3,IF(V9&gt;=8,$W$5,""))))))))</f>
        <v>L</v>
      </c>
      <c r="Q9" s="14"/>
      <c r="R9" s="15"/>
      <c r="S9" s="19">
        <f t="shared" ref="S9:S26" si="2">IF(E9="A",1,IF(E9="B",2,IF(E9="C",3,IF(E9="D",4,IF(E9="E",5,"")))))</f>
        <v>4</v>
      </c>
      <c r="T9" s="19">
        <f t="shared" ref="T9:T26" si="3">IF(L9="A",1,IF(L9="B",2,IF(L9="C",3,IF(L9="D",4,IF(L9="E",5,"")))))</f>
        <v>4</v>
      </c>
      <c r="U9" s="15">
        <f t="shared" ref="U9:U26" si="4">D9+S9</f>
        <v>7</v>
      </c>
      <c r="V9" s="15">
        <f t="shared" ref="V9:V26" si="5">K9+T9</f>
        <v>5</v>
      </c>
    </row>
    <row r="10" spans="1:23" ht="57" customHeight="1" x14ac:dyDescent="0.2">
      <c r="A10" s="73">
        <v>2</v>
      </c>
      <c r="B10" s="77" t="s">
        <v>88</v>
      </c>
      <c r="C10" s="77" t="s">
        <v>90</v>
      </c>
      <c r="D10" s="20">
        <v>3</v>
      </c>
      <c r="E10" s="13" t="s">
        <v>36</v>
      </c>
      <c r="F10" s="68" t="str">
        <f t="shared" si="0"/>
        <v>M</v>
      </c>
      <c r="G10" s="95" t="s">
        <v>94</v>
      </c>
      <c r="H10" s="96"/>
      <c r="I10" s="97"/>
      <c r="J10" s="98"/>
      <c r="K10" s="20">
        <v>1</v>
      </c>
      <c r="L10" s="13" t="s">
        <v>37</v>
      </c>
      <c r="M10" s="64" t="str">
        <f t="shared" si="1"/>
        <v>L</v>
      </c>
      <c r="Q10" s="14"/>
      <c r="R10" s="15"/>
      <c r="S10" s="19">
        <f t="shared" si="2"/>
        <v>4</v>
      </c>
      <c r="T10" s="19">
        <f t="shared" si="3"/>
        <v>4</v>
      </c>
      <c r="U10" s="15">
        <f t="shared" si="4"/>
        <v>7</v>
      </c>
      <c r="V10" s="15">
        <f t="shared" si="5"/>
        <v>5</v>
      </c>
    </row>
    <row r="11" spans="1:23" ht="54" customHeight="1" x14ac:dyDescent="0.2">
      <c r="A11" s="73">
        <v>3</v>
      </c>
      <c r="B11" s="77" t="s">
        <v>88</v>
      </c>
      <c r="C11" s="77" t="s">
        <v>91</v>
      </c>
      <c r="D11" s="20">
        <v>3</v>
      </c>
      <c r="E11" s="13" t="s">
        <v>38</v>
      </c>
      <c r="F11" s="68" t="str">
        <f t="shared" si="0"/>
        <v>M</v>
      </c>
      <c r="G11" s="95" t="s">
        <v>95</v>
      </c>
      <c r="H11" s="96"/>
      <c r="I11" s="97"/>
      <c r="J11" s="98"/>
      <c r="K11" s="20">
        <v>1</v>
      </c>
      <c r="L11" s="13" t="s">
        <v>39</v>
      </c>
      <c r="M11" s="64" t="str">
        <f t="shared" si="1"/>
        <v>L</v>
      </c>
      <c r="Q11" s="14"/>
      <c r="R11" s="15"/>
      <c r="S11" s="19">
        <f t="shared" si="2"/>
        <v>3</v>
      </c>
      <c r="T11" s="19">
        <f t="shared" si="3"/>
        <v>3</v>
      </c>
      <c r="U11" s="15">
        <f t="shared" si="4"/>
        <v>6</v>
      </c>
      <c r="V11" s="15">
        <f t="shared" si="5"/>
        <v>4</v>
      </c>
    </row>
    <row r="12" spans="1:23" ht="57.75" customHeight="1" x14ac:dyDescent="0.2">
      <c r="A12" s="73">
        <v>4</v>
      </c>
      <c r="B12" s="77" t="s">
        <v>88</v>
      </c>
      <c r="C12" s="77" t="s">
        <v>92</v>
      </c>
      <c r="D12" s="20">
        <v>3</v>
      </c>
      <c r="E12" s="13" t="s">
        <v>40</v>
      </c>
      <c r="F12" s="68" t="str">
        <f t="shared" si="0"/>
        <v>M</v>
      </c>
      <c r="G12" s="95" t="s">
        <v>96</v>
      </c>
      <c r="H12" s="96"/>
      <c r="I12" s="97"/>
      <c r="J12" s="98"/>
      <c r="K12" s="20">
        <v>1</v>
      </c>
      <c r="L12" s="13" t="s">
        <v>41</v>
      </c>
      <c r="M12" s="64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6</v>
      </c>
      <c r="V12" s="15">
        <f t="shared" si="5"/>
        <v>4</v>
      </c>
    </row>
    <row r="13" spans="1:23" ht="96" customHeight="1" x14ac:dyDescent="0.2">
      <c r="A13" s="73">
        <v>5</v>
      </c>
      <c r="B13" s="77" t="s">
        <v>88</v>
      </c>
      <c r="C13" s="77" t="s">
        <v>97</v>
      </c>
      <c r="D13" s="20">
        <v>4</v>
      </c>
      <c r="E13" s="13" t="s">
        <v>42</v>
      </c>
      <c r="F13" s="68" t="str">
        <f t="shared" si="0"/>
        <v>H</v>
      </c>
      <c r="G13" s="95" t="s">
        <v>98</v>
      </c>
      <c r="H13" s="96"/>
      <c r="I13" s="97"/>
      <c r="J13" s="98"/>
      <c r="K13" s="20">
        <v>1</v>
      </c>
      <c r="L13" s="13" t="s">
        <v>43</v>
      </c>
      <c r="M13" s="64" t="str">
        <f t="shared" si="1"/>
        <v>L</v>
      </c>
      <c r="Q13" s="14"/>
      <c r="R13" s="15"/>
      <c r="S13" s="19">
        <f t="shared" si="2"/>
        <v>4</v>
      </c>
      <c r="T13" s="19">
        <f t="shared" si="3"/>
        <v>4</v>
      </c>
      <c r="U13" s="15">
        <f t="shared" si="4"/>
        <v>8</v>
      </c>
      <c r="V13" s="15">
        <f t="shared" si="5"/>
        <v>5</v>
      </c>
    </row>
    <row r="14" spans="1:23" ht="53.45" customHeight="1" x14ac:dyDescent="0.2">
      <c r="A14" s="73">
        <v>6</v>
      </c>
      <c r="B14" s="77" t="s">
        <v>88</v>
      </c>
      <c r="C14" s="77" t="s">
        <v>99</v>
      </c>
      <c r="D14" s="20">
        <v>4</v>
      </c>
      <c r="E14" s="13" t="s">
        <v>44</v>
      </c>
      <c r="F14" s="68" t="str">
        <f t="shared" si="0"/>
        <v>M</v>
      </c>
      <c r="G14" s="95" t="s">
        <v>100</v>
      </c>
      <c r="H14" s="96"/>
      <c r="I14" s="97"/>
      <c r="J14" s="98"/>
      <c r="K14" s="20">
        <v>1</v>
      </c>
      <c r="L14" s="13" t="s">
        <v>45</v>
      </c>
      <c r="M14" s="64" t="str">
        <f t="shared" si="1"/>
        <v>L</v>
      </c>
      <c r="Q14" s="14"/>
      <c r="R14" s="15"/>
      <c r="S14" s="19">
        <f t="shared" si="2"/>
        <v>3</v>
      </c>
      <c r="T14" s="19">
        <f t="shared" si="3"/>
        <v>3</v>
      </c>
      <c r="U14" s="15">
        <f t="shared" si="4"/>
        <v>7</v>
      </c>
      <c r="V14" s="15">
        <f t="shared" si="5"/>
        <v>4</v>
      </c>
    </row>
    <row r="15" spans="1:23" ht="50.25" customHeight="1" x14ac:dyDescent="0.2">
      <c r="A15" s="73">
        <v>7</v>
      </c>
      <c r="B15" s="77" t="s">
        <v>88</v>
      </c>
      <c r="C15" s="77" t="s">
        <v>101</v>
      </c>
      <c r="D15" s="20">
        <v>4</v>
      </c>
      <c r="E15" s="13" t="s">
        <v>46</v>
      </c>
      <c r="F15" s="68" t="str">
        <f t="shared" si="0"/>
        <v>M</v>
      </c>
      <c r="G15" s="95" t="s">
        <v>102</v>
      </c>
      <c r="H15" s="96"/>
      <c r="I15" s="97"/>
      <c r="J15" s="98"/>
      <c r="K15" s="20">
        <v>1</v>
      </c>
      <c r="L15" s="13" t="s">
        <v>47</v>
      </c>
      <c r="M15" s="64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7</v>
      </c>
      <c r="V15" s="15">
        <f t="shared" si="5"/>
        <v>4</v>
      </c>
    </row>
    <row r="16" spans="1:23" ht="56.45" customHeight="1" x14ac:dyDescent="0.2">
      <c r="A16" s="73">
        <v>8</v>
      </c>
      <c r="B16" s="77" t="s">
        <v>88</v>
      </c>
      <c r="C16" s="77" t="s">
        <v>103</v>
      </c>
      <c r="D16" s="20">
        <v>4</v>
      </c>
      <c r="E16" s="13" t="s">
        <v>48</v>
      </c>
      <c r="F16" s="68" t="str">
        <f t="shared" si="0"/>
        <v>H</v>
      </c>
      <c r="G16" s="95" t="s">
        <v>104</v>
      </c>
      <c r="H16" s="96"/>
      <c r="I16" s="97"/>
      <c r="J16" s="98"/>
      <c r="K16" s="20">
        <v>2</v>
      </c>
      <c r="L16" s="13" t="s">
        <v>49</v>
      </c>
      <c r="M16" s="64" t="str">
        <f t="shared" si="1"/>
        <v>M</v>
      </c>
      <c r="Q16" s="14"/>
      <c r="R16" s="15"/>
      <c r="S16" s="19">
        <f t="shared" si="2"/>
        <v>4</v>
      </c>
      <c r="T16" s="19">
        <f t="shared" si="3"/>
        <v>4</v>
      </c>
      <c r="U16" s="15">
        <f t="shared" si="4"/>
        <v>8</v>
      </c>
      <c r="V16" s="15">
        <f t="shared" si="5"/>
        <v>6</v>
      </c>
    </row>
    <row r="17" spans="1:22" ht="79.5" customHeight="1" x14ac:dyDescent="0.2">
      <c r="A17" s="73">
        <v>9</v>
      </c>
      <c r="B17" s="77" t="s">
        <v>88</v>
      </c>
      <c r="C17" s="77" t="s">
        <v>105</v>
      </c>
      <c r="D17" s="20">
        <v>4</v>
      </c>
      <c r="E17" s="13" t="s">
        <v>50</v>
      </c>
      <c r="F17" s="68" t="str">
        <f t="shared" si="0"/>
        <v>H</v>
      </c>
      <c r="G17" s="95" t="s">
        <v>106</v>
      </c>
      <c r="H17" s="96"/>
      <c r="I17" s="97"/>
      <c r="J17" s="98"/>
      <c r="K17" s="20">
        <v>2</v>
      </c>
      <c r="L17" s="13" t="s">
        <v>51</v>
      </c>
      <c r="M17" s="64" t="str">
        <f t="shared" si="1"/>
        <v>M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8</v>
      </c>
      <c r="V17" s="15">
        <f t="shared" si="5"/>
        <v>6</v>
      </c>
    </row>
    <row r="18" spans="1:22" ht="47.25" customHeight="1" x14ac:dyDescent="0.2">
      <c r="A18" s="73">
        <v>10</v>
      </c>
      <c r="B18" s="77" t="s">
        <v>88</v>
      </c>
      <c r="C18" s="77" t="s">
        <v>107</v>
      </c>
      <c r="D18" s="20">
        <v>4</v>
      </c>
      <c r="E18" s="13" t="s">
        <v>52</v>
      </c>
      <c r="F18" s="68" t="str">
        <f t="shared" si="0"/>
        <v>H</v>
      </c>
      <c r="G18" s="95" t="s">
        <v>108</v>
      </c>
      <c r="H18" s="96"/>
      <c r="I18" s="97"/>
      <c r="J18" s="98"/>
      <c r="K18" s="20">
        <v>1</v>
      </c>
      <c r="L18" s="13" t="s">
        <v>53</v>
      </c>
      <c r="M18" s="64" t="str">
        <f t="shared" si="1"/>
        <v>L</v>
      </c>
      <c r="Q18" s="14"/>
      <c r="R18" s="15"/>
      <c r="S18" s="19">
        <f t="shared" si="2"/>
        <v>4</v>
      </c>
      <c r="T18" s="19">
        <f t="shared" si="3"/>
        <v>4</v>
      </c>
      <c r="U18" s="15">
        <f t="shared" si="4"/>
        <v>8</v>
      </c>
      <c r="V18" s="15">
        <f t="shared" si="5"/>
        <v>5</v>
      </c>
    </row>
    <row r="19" spans="1:22" ht="54.95" customHeight="1" x14ac:dyDescent="0.2">
      <c r="A19" s="73">
        <v>11</v>
      </c>
      <c r="B19" s="84" t="s">
        <v>109</v>
      </c>
      <c r="C19" s="77" t="s">
        <v>110</v>
      </c>
      <c r="D19" s="20">
        <v>3</v>
      </c>
      <c r="E19" s="13" t="s">
        <v>54</v>
      </c>
      <c r="F19" s="68" t="str">
        <f t="shared" si="0"/>
        <v>M</v>
      </c>
      <c r="G19" s="95" t="s">
        <v>111</v>
      </c>
      <c r="H19" s="96"/>
      <c r="I19" s="97"/>
      <c r="J19" s="98"/>
      <c r="K19" s="20">
        <v>1</v>
      </c>
      <c r="L19" s="13" t="s">
        <v>55</v>
      </c>
      <c r="M19" s="64" t="str">
        <f t="shared" si="1"/>
        <v>L</v>
      </c>
      <c r="Q19" s="14"/>
      <c r="R19" s="15"/>
      <c r="S19" s="19">
        <f t="shared" si="2"/>
        <v>4</v>
      </c>
      <c r="T19" s="19">
        <f t="shared" si="3"/>
        <v>4</v>
      </c>
      <c r="U19" s="15">
        <f t="shared" si="4"/>
        <v>7</v>
      </c>
      <c r="V19" s="15">
        <f t="shared" si="5"/>
        <v>5</v>
      </c>
    </row>
    <row r="20" spans="1:22" ht="66.95" customHeight="1" x14ac:dyDescent="0.2">
      <c r="A20" s="73">
        <v>12</v>
      </c>
      <c r="B20" s="84" t="s">
        <v>109</v>
      </c>
      <c r="C20" s="77" t="s">
        <v>112</v>
      </c>
      <c r="D20" s="20">
        <v>3</v>
      </c>
      <c r="E20" s="13" t="s">
        <v>56</v>
      </c>
      <c r="F20" s="68" t="str">
        <f t="shared" si="0"/>
        <v>M</v>
      </c>
      <c r="G20" s="95" t="s">
        <v>113</v>
      </c>
      <c r="H20" s="96"/>
      <c r="I20" s="97"/>
      <c r="J20" s="98"/>
      <c r="K20" s="20">
        <v>3</v>
      </c>
      <c r="L20" s="13" t="s">
        <v>57</v>
      </c>
      <c r="M20" s="64" t="str">
        <f t="shared" si="1"/>
        <v>L</v>
      </c>
      <c r="Q20" s="14"/>
      <c r="R20" s="15"/>
      <c r="S20" s="19">
        <f t="shared" si="2"/>
        <v>3</v>
      </c>
      <c r="T20" s="19">
        <f t="shared" si="3"/>
        <v>1</v>
      </c>
      <c r="U20" s="15">
        <f t="shared" si="4"/>
        <v>6</v>
      </c>
      <c r="V20" s="15">
        <f t="shared" si="5"/>
        <v>4</v>
      </c>
    </row>
    <row r="21" spans="1:22" ht="81" customHeight="1" x14ac:dyDescent="0.2">
      <c r="A21" s="73">
        <v>13</v>
      </c>
      <c r="B21" s="84" t="s">
        <v>109</v>
      </c>
      <c r="C21" s="77" t="s">
        <v>114</v>
      </c>
      <c r="D21" s="20">
        <v>3</v>
      </c>
      <c r="E21" s="13" t="s">
        <v>58</v>
      </c>
      <c r="F21" s="68" t="str">
        <f t="shared" si="0"/>
        <v>M</v>
      </c>
      <c r="G21" s="95" t="s">
        <v>115</v>
      </c>
      <c r="H21" s="96"/>
      <c r="I21" s="97"/>
      <c r="J21" s="98"/>
      <c r="K21" s="20">
        <v>3</v>
      </c>
      <c r="L21" s="13" t="s">
        <v>59</v>
      </c>
      <c r="M21" s="64" t="str">
        <f t="shared" si="1"/>
        <v>L</v>
      </c>
      <c r="Q21" s="14"/>
      <c r="R21" s="15"/>
      <c r="S21" s="19">
        <f t="shared" si="2"/>
        <v>4</v>
      </c>
      <c r="T21" s="19">
        <f t="shared" si="3"/>
        <v>1</v>
      </c>
      <c r="U21" s="15">
        <f t="shared" si="4"/>
        <v>7</v>
      </c>
      <c r="V21" s="15">
        <f t="shared" si="5"/>
        <v>4</v>
      </c>
    </row>
    <row r="22" spans="1:22" ht="60.95" customHeight="1" x14ac:dyDescent="0.2">
      <c r="A22" s="73">
        <v>14</v>
      </c>
      <c r="B22" s="84" t="s">
        <v>109</v>
      </c>
      <c r="C22" s="77" t="s">
        <v>116</v>
      </c>
      <c r="D22" s="20">
        <v>3</v>
      </c>
      <c r="E22" s="13" t="s">
        <v>60</v>
      </c>
      <c r="F22" s="68" t="str">
        <f t="shared" si="0"/>
        <v>M</v>
      </c>
      <c r="G22" s="95" t="s">
        <v>117</v>
      </c>
      <c r="H22" s="96"/>
      <c r="I22" s="97"/>
      <c r="J22" s="98"/>
      <c r="K22" s="20">
        <v>3</v>
      </c>
      <c r="L22" s="13" t="s">
        <v>61</v>
      </c>
      <c r="M22" s="64" t="str">
        <f t="shared" si="1"/>
        <v>L</v>
      </c>
      <c r="Q22" s="14"/>
      <c r="R22" s="15"/>
      <c r="S22" s="19">
        <f t="shared" si="2"/>
        <v>4</v>
      </c>
      <c r="T22" s="19">
        <f t="shared" si="3"/>
        <v>2</v>
      </c>
      <c r="U22" s="15">
        <f t="shared" si="4"/>
        <v>7</v>
      </c>
      <c r="V22" s="15">
        <f t="shared" si="5"/>
        <v>5</v>
      </c>
    </row>
    <row r="23" spans="1:22" ht="57" customHeight="1" x14ac:dyDescent="0.2">
      <c r="A23" s="73">
        <v>15</v>
      </c>
      <c r="B23" s="84" t="s">
        <v>109</v>
      </c>
      <c r="C23" s="77" t="s">
        <v>118</v>
      </c>
      <c r="D23" s="20">
        <v>3</v>
      </c>
      <c r="E23" s="13" t="s">
        <v>62</v>
      </c>
      <c r="F23" s="68" t="str">
        <f t="shared" si="0"/>
        <v>M</v>
      </c>
      <c r="G23" s="95" t="s">
        <v>119</v>
      </c>
      <c r="H23" s="96"/>
      <c r="I23" s="97"/>
      <c r="J23" s="98"/>
      <c r="K23" s="20">
        <v>3</v>
      </c>
      <c r="L23" s="13" t="s">
        <v>63</v>
      </c>
      <c r="M23" s="64" t="str">
        <f t="shared" si="1"/>
        <v>L</v>
      </c>
      <c r="Q23" s="14"/>
      <c r="R23" s="15"/>
      <c r="S23" s="19">
        <f t="shared" si="2"/>
        <v>4</v>
      </c>
      <c r="T23" s="19">
        <f t="shared" si="3"/>
        <v>2</v>
      </c>
      <c r="U23" s="15">
        <f t="shared" si="4"/>
        <v>7</v>
      </c>
      <c r="V23" s="15">
        <f t="shared" si="5"/>
        <v>5</v>
      </c>
    </row>
    <row r="24" spans="1:22" ht="84" customHeight="1" x14ac:dyDescent="0.2">
      <c r="A24" s="73">
        <v>16</v>
      </c>
      <c r="B24" s="77" t="s">
        <v>64</v>
      </c>
      <c r="C24" s="77" t="s">
        <v>32</v>
      </c>
      <c r="D24" s="20">
        <v>3</v>
      </c>
      <c r="E24" s="13" t="s">
        <v>65</v>
      </c>
      <c r="F24" s="68" t="str">
        <f t="shared" si="0"/>
        <v>M</v>
      </c>
      <c r="G24" s="95" t="s">
        <v>33</v>
      </c>
      <c r="H24" s="96"/>
      <c r="I24" s="97"/>
      <c r="J24" s="98"/>
      <c r="K24" s="20">
        <v>3</v>
      </c>
      <c r="L24" s="13" t="s">
        <v>66</v>
      </c>
      <c r="M24" s="64" t="str">
        <f t="shared" si="1"/>
        <v>L</v>
      </c>
      <c r="Q24" s="14"/>
      <c r="R24" s="15"/>
      <c r="S24" s="19">
        <f t="shared" si="2"/>
        <v>4</v>
      </c>
      <c r="T24" s="19">
        <f t="shared" si="3"/>
        <v>1</v>
      </c>
      <c r="U24" s="15">
        <f t="shared" si="4"/>
        <v>7</v>
      </c>
      <c r="V24" s="15">
        <f t="shared" si="5"/>
        <v>4</v>
      </c>
    </row>
    <row r="25" spans="1:22" ht="69" customHeight="1" x14ac:dyDescent="0.2">
      <c r="A25" s="73">
        <v>17</v>
      </c>
      <c r="B25" s="84" t="s">
        <v>109</v>
      </c>
      <c r="C25" s="77" t="s">
        <v>120</v>
      </c>
      <c r="D25" s="20">
        <v>3</v>
      </c>
      <c r="E25" s="13" t="s">
        <v>67</v>
      </c>
      <c r="F25" s="68" t="str">
        <f t="shared" si="0"/>
        <v>M</v>
      </c>
      <c r="G25" s="95" t="s">
        <v>121</v>
      </c>
      <c r="H25" s="96"/>
      <c r="I25" s="97"/>
      <c r="J25" s="98"/>
      <c r="K25" s="20">
        <v>1</v>
      </c>
      <c r="L25" s="13" t="s">
        <v>68</v>
      </c>
      <c r="M25" s="64" t="str">
        <f t="shared" si="1"/>
        <v>L</v>
      </c>
      <c r="Q25" s="14"/>
      <c r="R25" s="15"/>
      <c r="S25" s="19">
        <f t="shared" si="2"/>
        <v>4</v>
      </c>
      <c r="T25" s="19">
        <f t="shared" si="3"/>
        <v>4</v>
      </c>
      <c r="U25" s="15">
        <f t="shared" si="4"/>
        <v>7</v>
      </c>
      <c r="V25" s="15">
        <f t="shared" si="5"/>
        <v>5</v>
      </c>
    </row>
    <row r="26" spans="1:22" ht="15" x14ac:dyDescent="0.2">
      <c r="A26" s="73">
        <v>18</v>
      </c>
      <c r="B26" s="75"/>
      <c r="C26" s="76"/>
      <c r="D26" s="20"/>
      <c r="E26" s="13"/>
      <c r="F26" s="68" t="str">
        <f t="shared" si="0"/>
        <v/>
      </c>
      <c r="G26" s="101"/>
      <c r="H26" s="102"/>
      <c r="I26" s="103"/>
      <c r="J26" s="104"/>
      <c r="K26" s="20"/>
      <c r="L26" s="13"/>
      <c r="M26" s="64" t="str">
        <f t="shared" si="1"/>
        <v/>
      </c>
      <c r="Q26" s="14"/>
      <c r="R26" s="15"/>
      <c r="S26" s="19" t="str">
        <f t="shared" si="2"/>
        <v/>
      </c>
      <c r="T26" s="19" t="str">
        <f t="shared" si="3"/>
        <v/>
      </c>
      <c r="U26" s="15" t="e">
        <f t="shared" si="4"/>
        <v>#VALUE!</v>
      </c>
      <c r="V26" s="15" t="e">
        <f t="shared" si="5"/>
        <v>#VALUE!</v>
      </c>
    </row>
    <row r="27" spans="1:22" x14ac:dyDescent="0.2">
      <c r="A27" s="58"/>
      <c r="M27" s="57"/>
    </row>
    <row r="28" spans="1:22" ht="56.25" customHeight="1" x14ac:dyDescent="0.2">
      <c r="A28" s="137" t="s">
        <v>122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9"/>
    </row>
    <row r="29" spans="1:22" ht="24.95" customHeight="1" x14ac:dyDescent="0.2">
      <c r="A29" s="172" t="s">
        <v>123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</row>
    <row r="30" spans="1:22" ht="22.5" customHeight="1" x14ac:dyDescent="0.35">
      <c r="A30" s="174" t="s">
        <v>124</v>
      </c>
      <c r="B30" s="175"/>
      <c r="C30" s="175"/>
      <c r="D30" s="176"/>
      <c r="E30" s="176"/>
      <c r="F30" s="176"/>
      <c r="G30" s="177"/>
      <c r="H30" s="178"/>
      <c r="I30" s="178"/>
      <c r="J30" s="178"/>
      <c r="K30" s="178"/>
      <c r="L30" s="179"/>
      <c r="M30" s="180"/>
    </row>
    <row r="31" spans="1:22" ht="45.6" customHeight="1" x14ac:dyDescent="0.2">
      <c r="A31" s="117" t="s">
        <v>125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9"/>
    </row>
    <row r="32" spans="1:22" s="9" customFormat="1" ht="21.6" customHeight="1" x14ac:dyDescent="0.2">
      <c r="A32" s="122" t="s">
        <v>31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  <c r="N32" s="8"/>
      <c r="O32" s="8"/>
      <c r="P32" s="8"/>
      <c r="Q32" s="16"/>
    </row>
    <row r="33" spans="1:17" s="9" customFormat="1" ht="45" customHeight="1" x14ac:dyDescent="0.2">
      <c r="A33" s="65">
        <v>1</v>
      </c>
      <c r="B33" s="107" t="s">
        <v>126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8"/>
      <c r="O33" s="8"/>
      <c r="P33" s="8"/>
      <c r="Q33" s="16"/>
    </row>
    <row r="34" spans="1:17" s="9" customFormat="1" ht="45" customHeight="1" x14ac:dyDescent="0.2">
      <c r="A34" s="65">
        <v>2</v>
      </c>
      <c r="B34" s="107" t="s">
        <v>132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8"/>
      <c r="O34" s="8"/>
      <c r="P34" s="8"/>
      <c r="Q34" s="16"/>
    </row>
    <row r="35" spans="1:17" s="9" customFormat="1" ht="45" customHeight="1" x14ac:dyDescent="0.2">
      <c r="A35" s="65">
        <v>3</v>
      </c>
      <c r="B35" s="109" t="s">
        <v>133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8"/>
      <c r="P35" s="8"/>
      <c r="Q35" s="16"/>
    </row>
    <row r="36" spans="1:17" s="9" customFormat="1" ht="45" customHeight="1" x14ac:dyDescent="0.2">
      <c r="A36" s="65">
        <v>4</v>
      </c>
      <c r="B36" s="107" t="s">
        <v>134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8"/>
      <c r="P36" s="8"/>
      <c r="Q36" s="16"/>
    </row>
    <row r="37" spans="1:17" s="9" customFormat="1" ht="45" customHeight="1" x14ac:dyDescent="0.2">
      <c r="A37" s="65">
        <v>5</v>
      </c>
      <c r="B37" s="109" t="s">
        <v>135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8"/>
      <c r="P37" s="8"/>
      <c r="Q37" s="16"/>
    </row>
    <row r="38" spans="1:17" s="9" customFormat="1" ht="45" customHeight="1" x14ac:dyDescent="0.2">
      <c r="A38" s="65">
        <v>6</v>
      </c>
      <c r="B38" s="107" t="s">
        <v>136</v>
      </c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8"/>
      <c r="P38" s="8"/>
      <c r="Q38" s="16"/>
    </row>
    <row r="39" spans="1:17" s="9" customFormat="1" ht="45" customHeight="1" x14ac:dyDescent="0.2">
      <c r="A39" s="65">
        <v>7</v>
      </c>
      <c r="B39" s="109" t="s">
        <v>137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8"/>
      <c r="P39" s="8"/>
      <c r="Q39" s="16"/>
    </row>
    <row r="40" spans="1:17" s="9" customFormat="1" ht="45" customHeight="1" x14ac:dyDescent="0.2">
      <c r="A40" s="65">
        <v>8</v>
      </c>
      <c r="B40" s="109" t="s">
        <v>138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8"/>
      <c r="P40" s="8"/>
      <c r="Q40" s="16"/>
    </row>
    <row r="41" spans="1:17" s="9" customFormat="1" ht="45" customHeight="1" x14ac:dyDescent="0.2">
      <c r="A41" s="65">
        <v>9</v>
      </c>
      <c r="B41" s="109" t="s">
        <v>139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8"/>
      <c r="P41" s="8"/>
      <c r="Q41" s="16"/>
    </row>
    <row r="42" spans="1:17" s="9" customFormat="1" ht="45" customHeight="1" x14ac:dyDescent="0.2">
      <c r="A42" s="65">
        <v>10</v>
      </c>
      <c r="B42" s="123" t="s">
        <v>140</v>
      </c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8"/>
      <c r="P42" s="8"/>
      <c r="Q42" s="16"/>
    </row>
    <row r="43" spans="1:17" s="9" customFormat="1" ht="45" customHeight="1" x14ac:dyDescent="0.2">
      <c r="A43" s="65">
        <v>11</v>
      </c>
      <c r="B43" s="109" t="s">
        <v>141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8"/>
      <c r="P43" s="8"/>
      <c r="Q43" s="16"/>
    </row>
    <row r="44" spans="1:17" s="9" customFormat="1" ht="45" customHeight="1" x14ac:dyDescent="0.2">
      <c r="A44" s="65">
        <v>12</v>
      </c>
      <c r="B44" s="109" t="s">
        <v>142</v>
      </c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8"/>
      <c r="P44" s="8"/>
      <c r="Q44" s="16"/>
    </row>
    <row r="45" spans="1:17" s="9" customFormat="1" ht="45" customHeight="1" x14ac:dyDescent="0.2">
      <c r="A45" s="65">
        <v>13</v>
      </c>
      <c r="B45" s="109" t="s">
        <v>143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8"/>
      <c r="P45" s="8"/>
      <c r="Q45" s="16"/>
    </row>
    <row r="46" spans="1:17" s="9" customFormat="1" ht="45" customHeight="1" x14ac:dyDescent="0.2">
      <c r="A46" s="65">
        <v>14</v>
      </c>
      <c r="B46" s="109" t="s">
        <v>144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8"/>
      <c r="P46" s="8"/>
      <c r="Q46" s="16"/>
    </row>
    <row r="47" spans="1:17" s="9" customFormat="1" ht="45" customHeight="1" x14ac:dyDescent="0.2">
      <c r="A47" s="65">
        <v>15</v>
      </c>
      <c r="B47" s="109" t="s">
        <v>145</v>
      </c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Q47" s="17"/>
    </row>
    <row r="48" spans="1:17" ht="41.45" customHeight="1" x14ac:dyDescent="0.2">
      <c r="A48" s="120" t="s">
        <v>127</v>
      </c>
      <c r="B48" s="120"/>
      <c r="C48" s="120"/>
      <c r="D48" s="120"/>
      <c r="E48" s="120"/>
      <c r="F48" s="120"/>
      <c r="G48" s="120"/>
      <c r="H48" s="121"/>
      <c r="I48" s="121"/>
      <c r="J48" s="121"/>
      <c r="K48" s="121"/>
      <c r="L48" s="121"/>
      <c r="M48" s="121"/>
    </row>
    <row r="49" spans="1:13" ht="22.5" customHeight="1" x14ac:dyDescent="0.2">
      <c r="A49" s="181" t="s">
        <v>128</v>
      </c>
      <c r="B49" s="182"/>
      <c r="C49" s="183" t="s">
        <v>129</v>
      </c>
      <c r="D49" s="181" t="s">
        <v>130</v>
      </c>
      <c r="E49" s="184"/>
      <c r="F49" s="184"/>
      <c r="G49" s="182"/>
      <c r="H49" s="181" t="s">
        <v>131</v>
      </c>
      <c r="I49" s="184"/>
      <c r="J49" s="184"/>
      <c r="K49" s="184"/>
      <c r="L49" s="184"/>
      <c r="M49" s="182"/>
    </row>
    <row r="50" spans="1:13" ht="18" customHeight="1" x14ac:dyDescent="0.2">
      <c r="A50" s="105"/>
      <c r="B50" s="106"/>
      <c r="C50" s="6"/>
      <c r="D50" s="105"/>
      <c r="E50" s="140"/>
      <c r="F50" s="140"/>
      <c r="G50" s="106"/>
      <c r="H50" s="125"/>
      <c r="I50" s="126"/>
      <c r="J50" s="126"/>
      <c r="K50" s="126"/>
      <c r="L50" s="126"/>
      <c r="M50" s="127"/>
    </row>
    <row r="51" spans="1:13" ht="18" customHeight="1" x14ac:dyDescent="0.2">
      <c r="A51" s="78"/>
      <c r="B51" s="80"/>
      <c r="C51" s="6"/>
      <c r="D51" s="78"/>
      <c r="E51" s="79"/>
      <c r="F51" s="79"/>
      <c r="G51" s="80"/>
      <c r="H51" s="82"/>
      <c r="I51" s="83"/>
      <c r="J51" s="83"/>
      <c r="K51" s="83"/>
      <c r="L51" s="83"/>
      <c r="M51" s="81"/>
    </row>
    <row r="52" spans="1:13" ht="18" customHeight="1" x14ac:dyDescent="0.2">
      <c r="A52" s="78"/>
      <c r="B52" s="80"/>
      <c r="C52" s="6"/>
      <c r="D52" s="78"/>
      <c r="E52" s="79"/>
      <c r="F52" s="79"/>
      <c r="G52" s="80"/>
      <c r="H52" s="82"/>
      <c r="I52" s="83"/>
      <c r="J52" s="83"/>
      <c r="K52" s="83"/>
      <c r="L52" s="83"/>
      <c r="M52" s="81"/>
    </row>
    <row r="53" spans="1:13" ht="18" customHeight="1" x14ac:dyDescent="0.2">
      <c r="A53" s="78"/>
      <c r="B53" s="80"/>
      <c r="C53" s="6"/>
      <c r="D53" s="78"/>
      <c r="E53" s="79"/>
      <c r="F53" s="79"/>
      <c r="G53" s="80"/>
      <c r="H53" s="82"/>
      <c r="I53" s="83"/>
      <c r="J53" s="83"/>
      <c r="K53" s="83"/>
      <c r="L53" s="83"/>
      <c r="M53" s="81"/>
    </row>
    <row r="54" spans="1:13" ht="18" customHeight="1" x14ac:dyDescent="0.2">
      <c r="A54" s="78"/>
      <c r="B54" s="80"/>
      <c r="C54" s="6"/>
      <c r="D54" s="78"/>
      <c r="E54" s="79"/>
      <c r="F54" s="79"/>
      <c r="G54" s="80"/>
      <c r="H54" s="82"/>
      <c r="I54" s="83"/>
      <c r="J54" s="83"/>
      <c r="K54" s="83"/>
      <c r="L54" s="83"/>
      <c r="M54" s="81"/>
    </row>
    <row r="55" spans="1:13" ht="18" customHeight="1" x14ac:dyDescent="0.2">
      <c r="A55" s="78"/>
      <c r="B55" s="80"/>
      <c r="C55" s="6"/>
      <c r="D55" s="78"/>
      <c r="E55" s="79"/>
      <c r="F55" s="79"/>
      <c r="G55" s="80"/>
      <c r="H55" s="82"/>
      <c r="I55" s="83"/>
      <c r="J55" s="83"/>
      <c r="K55" s="83"/>
      <c r="L55" s="83"/>
      <c r="M55" s="81"/>
    </row>
    <row r="56" spans="1:13" ht="31.5" customHeight="1" x14ac:dyDescent="0.2">
      <c r="A56" s="114" t="s">
        <v>146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6"/>
    </row>
    <row r="57" spans="1:13" ht="24" customHeight="1" x14ac:dyDescent="0.2">
      <c r="A57" s="188" t="s">
        <v>147</v>
      </c>
      <c r="B57" s="188"/>
      <c r="C57" s="189" t="s">
        <v>148</v>
      </c>
      <c r="D57" s="190" t="s">
        <v>149</v>
      </c>
      <c r="E57" s="191"/>
      <c r="F57" s="192"/>
      <c r="G57" s="128"/>
      <c r="H57" s="129"/>
      <c r="I57" s="129"/>
      <c r="J57" s="129"/>
      <c r="K57" s="129"/>
      <c r="L57" s="129"/>
      <c r="M57" s="130"/>
    </row>
    <row r="58" spans="1:13" ht="38.1" customHeight="1" x14ac:dyDescent="0.2">
      <c r="A58" s="111"/>
      <c r="B58" s="113"/>
      <c r="C58" s="10"/>
      <c r="D58" s="185"/>
      <c r="E58" s="186"/>
      <c r="F58" s="187"/>
      <c r="G58" s="131"/>
      <c r="H58" s="132"/>
      <c r="I58" s="132"/>
      <c r="J58" s="132"/>
      <c r="K58" s="132"/>
      <c r="L58" s="132"/>
      <c r="M58" s="133"/>
    </row>
    <row r="59" spans="1:13" s="11" customFormat="1" ht="15" customHeight="1" x14ac:dyDescent="0.2">
      <c r="A59" s="66"/>
      <c r="M59" s="67"/>
    </row>
    <row r="60" spans="1:13" ht="88.5" customHeight="1" x14ac:dyDescent="0.2">
      <c r="A60" s="193" t="s">
        <v>150</v>
      </c>
      <c r="B60" s="166"/>
      <c r="C60" s="111"/>
      <c r="D60" s="112"/>
      <c r="E60" s="112"/>
      <c r="F60" s="112"/>
      <c r="G60" s="112"/>
      <c r="H60" s="112"/>
      <c r="I60" s="112"/>
      <c r="J60" s="112"/>
      <c r="K60" s="112"/>
      <c r="L60" s="112"/>
      <c r="M60" s="113"/>
    </row>
    <row r="61" spans="1:13" s="12" customFormat="1" ht="24" customHeight="1" x14ac:dyDescent="0.2">
      <c r="A61" s="120" t="s">
        <v>151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</row>
  </sheetData>
  <sheetProtection formatCells="0" formatColumns="0" formatRows="0" insertColumns="0" insertRows="0" insertHyperlinks="0" deleteColumns="0" deleteRows="0" sort="0" autoFilter="0" pivotTables="0"/>
  <mergeCells count="64">
    <mergeCell ref="G57:M58"/>
    <mergeCell ref="A6:B6"/>
    <mergeCell ref="H7:J7"/>
    <mergeCell ref="A61:M61"/>
    <mergeCell ref="A7:B7"/>
    <mergeCell ref="A28:M28"/>
    <mergeCell ref="B41:M41"/>
    <mergeCell ref="B46:M46"/>
    <mergeCell ref="B43:M43"/>
    <mergeCell ref="B44:M44"/>
    <mergeCell ref="B45:M45"/>
    <mergeCell ref="K7:M7"/>
    <mergeCell ref="D7:F7"/>
    <mergeCell ref="D49:G49"/>
    <mergeCell ref="D50:G50"/>
    <mergeCell ref="A60:B60"/>
    <mergeCell ref="C60:M60"/>
    <mergeCell ref="A56:M56"/>
    <mergeCell ref="A31:M31"/>
    <mergeCell ref="B33:M33"/>
    <mergeCell ref="B34:M34"/>
    <mergeCell ref="B35:M35"/>
    <mergeCell ref="A48:M48"/>
    <mergeCell ref="A57:B57"/>
    <mergeCell ref="B38:M38"/>
    <mergeCell ref="A58:B58"/>
    <mergeCell ref="A32:M32"/>
    <mergeCell ref="D57:F58"/>
    <mergeCell ref="B42:M42"/>
    <mergeCell ref="B47:M47"/>
    <mergeCell ref="H49:M49"/>
    <mergeCell ref="H50:M50"/>
    <mergeCell ref="A49:B49"/>
    <mergeCell ref="A50:B50"/>
    <mergeCell ref="A29:M29"/>
    <mergeCell ref="B36:M36"/>
    <mergeCell ref="B37:M37"/>
    <mergeCell ref="B40:M40"/>
    <mergeCell ref="B39:M39"/>
    <mergeCell ref="G24:J24"/>
    <mergeCell ref="G25:J25"/>
    <mergeCell ref="G26:J26"/>
    <mergeCell ref="G14:J14"/>
    <mergeCell ref="G15:J15"/>
    <mergeCell ref="G16:J16"/>
    <mergeCell ref="G17:J17"/>
    <mergeCell ref="G18:J18"/>
    <mergeCell ref="G19:J19"/>
    <mergeCell ref="G23:J23"/>
    <mergeCell ref="G13:J13"/>
    <mergeCell ref="G22:J22"/>
    <mergeCell ref="K6:M6"/>
    <mergeCell ref="G8:J8"/>
    <mergeCell ref="G9:J9"/>
    <mergeCell ref="G10:J10"/>
    <mergeCell ref="G11:J11"/>
    <mergeCell ref="G12:J12"/>
    <mergeCell ref="G20:J20"/>
    <mergeCell ref="G21:J21"/>
    <mergeCell ref="A1:B4"/>
    <mergeCell ref="J2:M2"/>
    <mergeCell ref="J3:M3"/>
    <mergeCell ref="J4:M4"/>
    <mergeCell ref="C3:H3"/>
  </mergeCells>
  <phoneticPr fontId="0" type="noConversion"/>
  <conditionalFormatting sqref="F9:F26 M9:M26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26 D9:D26" xr:uid="{00000000-0002-0000-0000-000000000000}">
      <formula1>$Q$2:$Q$7</formula1>
    </dataValidation>
    <dataValidation type="list" allowBlank="1" showInputMessage="1" showErrorMessage="1" sqref="L9:L26 E9:E26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29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EE71-F57B-49EF-BED4-9D7EB2E4CE93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9"/>
      <c r="B1" s="199"/>
      <c r="C1" s="199"/>
      <c r="D1" s="200"/>
      <c r="E1" s="200"/>
      <c r="F1" s="200"/>
      <c r="G1" s="1"/>
      <c r="H1" s="1"/>
      <c r="I1" s="201"/>
      <c r="J1" s="201"/>
      <c r="O1" s="14" t="s">
        <v>176</v>
      </c>
      <c r="P1" s="14" t="s">
        <v>177</v>
      </c>
      <c r="Q1" s="14" t="s">
        <v>178</v>
      </c>
      <c r="R1" s="14" t="s">
        <v>179</v>
      </c>
      <c r="S1" s="14" t="s">
        <v>180</v>
      </c>
      <c r="T1" s="14" t="s">
        <v>181</v>
      </c>
      <c r="U1" s="18" t="s">
        <v>182</v>
      </c>
      <c r="V1" s="2"/>
    </row>
    <row r="2" spans="1:22" ht="25.5" customHeight="1" x14ac:dyDescent="0.2">
      <c r="A2" s="199"/>
      <c r="B2" s="199"/>
      <c r="C2" s="199"/>
      <c r="D2" s="202" t="s">
        <v>152</v>
      </c>
      <c r="E2" s="93"/>
      <c r="F2" s="93"/>
      <c r="G2" s="93"/>
      <c r="H2" s="93"/>
      <c r="I2" s="203"/>
      <c r="J2" s="203"/>
      <c r="N2" s="7"/>
      <c r="O2" s="14">
        <v>1</v>
      </c>
      <c r="P2" s="14" t="s">
        <v>183</v>
      </c>
      <c r="Q2" s="15"/>
      <c r="R2" s="15"/>
      <c r="S2" s="15"/>
      <c r="T2" s="15"/>
      <c r="U2" s="18" t="s">
        <v>184</v>
      </c>
      <c r="V2" s="5"/>
    </row>
    <row r="3" spans="1:22" ht="25.5" customHeight="1" x14ac:dyDescent="0.2">
      <c r="A3" s="199"/>
      <c r="B3" s="199"/>
      <c r="C3" s="199"/>
      <c r="D3" s="49"/>
      <c r="E3" s="49"/>
      <c r="F3" s="49"/>
      <c r="G3" s="49"/>
      <c r="H3" s="49"/>
      <c r="I3" s="204"/>
      <c r="J3" s="204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47" t="s">
        <v>83</v>
      </c>
      <c r="B5" s="148"/>
      <c r="C5" s="155" t="s">
        <v>153</v>
      </c>
      <c r="D5" s="156"/>
      <c r="E5" s="156"/>
      <c r="F5" s="156"/>
      <c r="G5" s="157"/>
      <c r="H5" s="155" t="s">
        <v>154</v>
      </c>
      <c r="I5" s="156"/>
      <c r="J5" s="156"/>
      <c r="K5" s="156"/>
      <c r="L5" s="157"/>
      <c r="M5" s="22"/>
    </row>
    <row r="6" spans="1:22" ht="20.25" customHeight="1" thickBot="1" x14ac:dyDescent="0.25">
      <c r="A6" s="149"/>
      <c r="B6" s="150"/>
      <c r="C6" s="205" t="s">
        <v>155</v>
      </c>
      <c r="D6" s="205" t="s">
        <v>156</v>
      </c>
      <c r="E6" s="205" t="s">
        <v>157</v>
      </c>
      <c r="F6" s="205" t="s">
        <v>185</v>
      </c>
      <c r="G6" s="205" t="s">
        <v>186</v>
      </c>
      <c r="H6" s="69" t="s">
        <v>69</v>
      </c>
      <c r="I6" s="69" t="s">
        <v>70</v>
      </c>
      <c r="J6" s="69" t="s">
        <v>71</v>
      </c>
      <c r="K6" s="21" t="s">
        <v>187</v>
      </c>
      <c r="L6" s="21" t="s">
        <v>188</v>
      </c>
      <c r="M6" s="22"/>
    </row>
    <row r="7" spans="1:22" ht="112.5" x14ac:dyDescent="0.2">
      <c r="A7" s="149"/>
      <c r="B7" s="150"/>
      <c r="C7" s="206"/>
      <c r="D7" s="206"/>
      <c r="E7" s="206"/>
      <c r="F7" s="206"/>
      <c r="G7" s="206"/>
      <c r="H7" s="70" t="s">
        <v>158</v>
      </c>
      <c r="I7" s="70" t="s">
        <v>159</v>
      </c>
      <c r="J7" s="70" t="s">
        <v>160</v>
      </c>
      <c r="K7" s="23" t="s">
        <v>189</v>
      </c>
      <c r="L7" s="23" t="s">
        <v>190</v>
      </c>
      <c r="M7" s="22"/>
    </row>
    <row r="8" spans="1:22" ht="12.75" customHeight="1" x14ac:dyDescent="0.2">
      <c r="A8" s="149"/>
      <c r="B8" s="150"/>
      <c r="C8" s="206"/>
      <c r="D8" s="206"/>
      <c r="E8" s="206"/>
      <c r="F8" s="206"/>
      <c r="G8" s="206"/>
      <c r="H8" s="153" t="s">
        <v>161</v>
      </c>
      <c r="I8" s="153" t="s">
        <v>191</v>
      </c>
      <c r="J8" s="153" t="s">
        <v>192</v>
      </c>
      <c r="K8" s="153" t="s">
        <v>193</v>
      </c>
      <c r="L8" s="153" t="s">
        <v>194</v>
      </c>
      <c r="M8" s="22"/>
    </row>
    <row r="9" spans="1:22" ht="40.5" customHeight="1" thickBot="1" x14ac:dyDescent="0.25">
      <c r="A9" s="151"/>
      <c r="B9" s="152"/>
      <c r="C9" s="207"/>
      <c r="D9" s="207"/>
      <c r="E9" s="207"/>
      <c r="F9" s="207"/>
      <c r="G9" s="207"/>
      <c r="H9" s="154"/>
      <c r="I9" s="154"/>
      <c r="J9" s="154"/>
      <c r="K9" s="154"/>
      <c r="L9" s="154"/>
      <c r="M9" s="22"/>
    </row>
    <row r="10" spans="1:22" ht="49.5" customHeight="1" x14ac:dyDescent="0.2">
      <c r="A10" s="143">
        <v>1</v>
      </c>
      <c r="B10" s="144"/>
      <c r="C10" s="38" t="s">
        <v>195</v>
      </c>
      <c r="D10" s="38" t="s">
        <v>196</v>
      </c>
      <c r="E10" s="38" t="s">
        <v>197</v>
      </c>
      <c r="F10" s="38" t="s">
        <v>198</v>
      </c>
      <c r="G10" s="39" t="s">
        <v>199</v>
      </c>
      <c r="H10" s="30" t="s">
        <v>16</v>
      </c>
      <c r="I10" s="31" t="s">
        <v>17</v>
      </c>
      <c r="J10" s="31" t="s">
        <v>18</v>
      </c>
      <c r="K10" s="40" t="s">
        <v>200</v>
      </c>
      <c r="L10" s="32" t="s">
        <v>201</v>
      </c>
      <c r="M10" s="22"/>
    </row>
    <row r="11" spans="1:22" ht="64.5" customHeight="1" x14ac:dyDescent="0.2">
      <c r="A11" s="145">
        <v>2</v>
      </c>
      <c r="B11" s="146"/>
      <c r="C11" s="24" t="s">
        <v>202</v>
      </c>
      <c r="D11" s="24" t="s">
        <v>203</v>
      </c>
      <c r="E11" s="38" t="s">
        <v>204</v>
      </c>
      <c r="F11" s="24" t="s">
        <v>205</v>
      </c>
      <c r="G11" s="28" t="s">
        <v>162</v>
      </c>
      <c r="H11" s="33" t="s">
        <v>19</v>
      </c>
      <c r="I11" s="34" t="s">
        <v>20</v>
      </c>
      <c r="J11" s="34" t="s">
        <v>21</v>
      </c>
      <c r="K11" s="35" t="s">
        <v>206</v>
      </c>
      <c r="L11" s="36" t="s">
        <v>207</v>
      </c>
      <c r="M11" s="22"/>
    </row>
    <row r="12" spans="1:22" ht="69" customHeight="1" x14ac:dyDescent="0.2">
      <c r="A12" s="145">
        <v>3</v>
      </c>
      <c r="B12" s="146"/>
      <c r="C12" s="24" t="s">
        <v>163</v>
      </c>
      <c r="D12" s="24" t="s">
        <v>208</v>
      </c>
      <c r="E12" s="38" t="s">
        <v>164</v>
      </c>
      <c r="F12" s="24" t="s">
        <v>209</v>
      </c>
      <c r="G12" s="28" t="s">
        <v>165</v>
      </c>
      <c r="H12" s="33" t="s">
        <v>22</v>
      </c>
      <c r="I12" s="34" t="s">
        <v>23</v>
      </c>
      <c r="J12" s="35" t="s">
        <v>24</v>
      </c>
      <c r="K12" s="35" t="s">
        <v>210</v>
      </c>
      <c r="L12" s="41" t="s">
        <v>211</v>
      </c>
      <c r="M12" s="22"/>
    </row>
    <row r="13" spans="1:22" ht="78.75" customHeight="1" x14ac:dyDescent="0.2">
      <c r="A13" s="145">
        <v>4</v>
      </c>
      <c r="B13" s="146"/>
      <c r="C13" s="24" t="s">
        <v>166</v>
      </c>
      <c r="D13" s="24" t="s">
        <v>212</v>
      </c>
      <c r="E13" s="38" t="s">
        <v>167</v>
      </c>
      <c r="F13" s="24" t="s">
        <v>213</v>
      </c>
      <c r="G13" s="28" t="s">
        <v>168</v>
      </c>
      <c r="H13" s="33" t="s">
        <v>25</v>
      </c>
      <c r="I13" s="35" t="s">
        <v>26</v>
      </c>
      <c r="J13" s="35" t="s">
        <v>27</v>
      </c>
      <c r="K13" s="42" t="s">
        <v>214</v>
      </c>
      <c r="L13" s="41" t="s">
        <v>215</v>
      </c>
      <c r="M13" s="22"/>
    </row>
    <row r="14" spans="1:22" ht="75" customHeight="1" thickBot="1" x14ac:dyDescent="0.25">
      <c r="A14" s="141">
        <v>5</v>
      </c>
      <c r="B14" s="142"/>
      <c r="C14" s="25" t="s">
        <v>169</v>
      </c>
      <c r="D14" s="25" t="s">
        <v>216</v>
      </c>
      <c r="E14" s="25" t="s">
        <v>217</v>
      </c>
      <c r="F14" s="25" t="s">
        <v>170</v>
      </c>
      <c r="G14" s="29" t="s">
        <v>171</v>
      </c>
      <c r="H14" s="45" t="s">
        <v>28</v>
      </c>
      <c r="I14" s="37" t="s">
        <v>29</v>
      </c>
      <c r="J14" s="43" t="s">
        <v>30</v>
      </c>
      <c r="K14" s="43" t="s">
        <v>218</v>
      </c>
      <c r="L14" s="44" t="s">
        <v>219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2019-11-08T16:01:37Z</cp:lastPrinted>
  <dcterms:created xsi:type="dcterms:W3CDTF">2011-02-21T14:14:41Z</dcterms:created>
  <dcterms:modified xsi:type="dcterms:W3CDTF">2025-02-26T14:36:38Z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