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Vladislav\Desktop\SMS BOLLARD\Формы SMS\Forms 09 Система управления охраной труда\Стандартный JHA\"/>
    </mc:Choice>
  </mc:AlternateContent>
  <xr:revisionPtr revIDLastSave="0" documentId="13_ncr:1_{CB643926-6BA7-45D3-B7A8-BC045F5BA104}" xr6:coauthVersionLast="47" xr6:coauthVersionMax="47" xr10:uidLastSave="{00000000-0000-0000-0000-000000000000}"/>
  <bookViews>
    <workbookView xWindow="-120" yWindow="-120" windowWidth="29040" windowHeight="15720" tabRatio="307" activeTab="1" xr2:uid="{00000000-000D-0000-FFFF-FFFF00000000}"/>
  </bookViews>
  <sheets>
    <sheet name="АСОР" sheetId="1" r:id="rId1"/>
    <sheet name="МОР" sheetId="4" r:id="rId2"/>
  </sheets>
  <definedNames>
    <definedName name="Strongly_emphasise_each_individual_s__71" localSheetId="0">АСОР!$O$55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АСОР!$A$1:$M$56</definedName>
    <definedName name="_xlnm.Print_Area" localSheetId="1">МОР!$A$1:$V$34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1" l="1"/>
  <c r="V22" i="1"/>
  <c r="S22" i="1"/>
  <c r="U22" i="1"/>
  <c r="M22" i="1"/>
  <c r="F22" i="1"/>
  <c r="T21" i="1"/>
  <c r="V21" i="1"/>
  <c r="M21" i="1"/>
  <c r="S21" i="1"/>
  <c r="U21" i="1"/>
  <c r="F21" i="1"/>
  <c r="T20" i="1"/>
  <c r="V20" i="1"/>
  <c r="M20" i="1"/>
  <c r="S20" i="1"/>
  <c r="U20" i="1"/>
  <c r="F20" i="1"/>
  <c r="T19" i="1"/>
  <c r="V19" i="1"/>
  <c r="M19" i="1"/>
  <c r="S19" i="1"/>
  <c r="U19" i="1"/>
  <c r="F19" i="1"/>
  <c r="T18" i="1"/>
  <c r="V18" i="1"/>
  <c r="M18" i="1"/>
  <c r="S18" i="1"/>
  <c r="U18" i="1"/>
  <c r="F18" i="1"/>
  <c r="T17" i="1"/>
  <c r="V17" i="1"/>
  <c r="M17" i="1"/>
  <c r="S17" i="1"/>
  <c r="U17" i="1"/>
  <c r="F17" i="1"/>
  <c r="T16" i="1"/>
  <c r="V16" i="1"/>
  <c r="M16" i="1"/>
  <c r="S16" i="1"/>
  <c r="U16" i="1"/>
  <c r="F16" i="1"/>
  <c r="T15" i="1"/>
  <c r="V15" i="1"/>
  <c r="M15" i="1"/>
  <c r="S15" i="1"/>
  <c r="U15" i="1"/>
  <c r="F15" i="1"/>
  <c r="T14" i="1"/>
  <c r="V14" i="1"/>
  <c r="M14" i="1"/>
  <c r="S14" i="1"/>
  <c r="U14" i="1"/>
  <c r="F14" i="1"/>
  <c r="T13" i="1"/>
  <c r="V13" i="1"/>
  <c r="M13" i="1"/>
  <c r="S13" i="1"/>
  <c r="U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<sst xmlns="http://schemas.openxmlformats.org/spreadsheetml/2006/main" count="218" uniqueCount="196">
  <si>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</si>
  <si>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</si>
  <si>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</si>
  <si>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</si>
  <si>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</si>
  <si>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</si>
  <si>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</si>
  <si>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</si>
  <si>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</si>
  <si>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</si>
  <si>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</si>
  <si>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</si>
  <si>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</si>
  <si>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</si>
  <si>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</si>
  <si>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</si>
  <si>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</si>
  <si>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</si>
  <si>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</si>
  <si>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</si>
  <si>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</si>
  <si>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</si>
  <si>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</si>
  <si>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</si>
  <si>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</si>
  <si>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</si>
  <si>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</si>
  <si>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</si>
  <si>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</si>
  <si>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</si>
  <si>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</si>
  <si>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</si>
  <si>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</si>
  <si>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</si>
  <si>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</si>
  <si>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</si>
  <si>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</si>
  <si>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</si>
  <si>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</si>
  <si>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</si>
  <si>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</si>
  <si>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</si>
  <si>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</si>
  <si>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</si>
  <si>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</si>
  <si>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</si>
  <si>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</si>
  <si>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</si>
  <si>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</si>
  <si>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</si>
  <si>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</si>
  <si>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</si>
  <si>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</si>
  <si>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</si>
  <si>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</si>
  <si>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</si>
  <si>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</si>
  <si>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</si>
  <si>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</si>
  <si>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</si>
  <si>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</si>
  <si>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</si>
  <si>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</si>
  <si>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</si>
  <si>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</si>
  <si>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</si>
  <si>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</si>
  <si>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</si>
  <si>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</si>
  <si>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</si>
  <si>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</si>
  <si>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</si>
  <si>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</si>
  <si>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>АНАЛИЗ СТЕПЕНИ ОПАСНОСТИ РАБОТ (АСОР)</t>
  </si>
  <si>
    <t>Название судна</t>
  </si>
  <si>
    <t>Описание работ</t>
  </si>
  <si>
    <t>Бункеровка - топливо</t>
  </si>
  <si>
    <t>Номер оценки рисков</t>
  </si>
  <si>
    <t>Дата</t>
  </si>
  <si>
    <t>Исходный риск</t>
  </si>
  <si>
    <t xml:space="preserve"> Оборудование</t>
  </si>
  <si>
    <t xml:space="preserve"> Остаточный риск</t>
  </si>
  <si>
    <t xml:space="preserve"> Этап</t>
  </si>
  <si>
    <t>Этапы работ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</si>
  <si>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</si>
  <si>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</si>
  <si>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</si>
  <si>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>Меры контроля для снижения риска</t>
  </si>
  <si>
    <t>Риск</t>
  </si>
  <si>
    <t>До начала бункеровки</t>
  </si>
  <si>
    <t>Пренебрежение мерами предосторожности</t>
  </si>
  <si>
    <t xml:space="preserve">До начала операций заполнить проверочный лист бункеровки. </t>
  </si>
  <si>
    <t>Обращение с бункеровочными шлангами</t>
  </si>
  <si>
    <t>Травмы в результате напряжения</t>
  </si>
  <si>
    <t>1)  Применяйте безопасные методы пеермещения грузов вручную.
2)  Обеспечьте достаточное освещение на участке.  На судне и на причале.</t>
  </si>
  <si>
    <t>Соединение шланга с судовым манифольдом</t>
  </si>
  <si>
    <t>Пролив топлива (демонтаж заглушки шланга для соединения с судовым манифольдом) - локальный разлив</t>
  </si>
  <si>
    <t>1)  Обеспечьте наличие у манифольда абсорбирующих матов и ящиков для отходов
2)  Обеспечьте, чтобы шланг был надежно присоединен во избежание случайного движения.</t>
  </si>
  <si>
    <t>Движения судна относительно причала</t>
  </si>
  <si>
    <t>1)  Поднимите сигнал бункеровки (браво-флаг/красный свет)
2)  Проверьте надежность швартовов.
3)  Обеспечьте постоянный мониторинг швартовки/погодных условий.
4)  Обеспечьте вахту на бункеровочном посту в продолжение всей операции, а также связь с поставщиком и четкое понимание обязанностей.
5)  Обеспечьте наличие на борту достаточного количества персонала для принятия мер при возможных движениях судна и разливах.</t>
  </si>
  <si>
    <t>Травмы персонала - защемления, спотыкания, раздавливания, напряжение</t>
  </si>
  <si>
    <t xml:space="preserve">1) Используйте надлежащие СИЗ для работы, в том числе спецобувь/ботинки, спецодежду, перчатки и защитные каски.
2)  Закрепите шланг до начала работ по соединению фланцев. 
</t>
  </si>
  <si>
    <t>Начало бункеровки</t>
  </si>
  <si>
    <t>Разлив топлива снаружи судна</t>
  </si>
  <si>
    <t>1)  До бункеровки убедитесь, что сливные клапаны незаполненных танков закрыты.
2)  Контролируйте давление подачи во время бункеровки.
3)  Убедитесь, что переливной танк пустой и измерительная трубка закрыта клапаном/крышкой</t>
  </si>
  <si>
    <t>1)  Встреча с поставщиком до бункеровки - согласуйте количество, качество, начальную скорость, скорость закачки, давление подачи, способы связи/сигналы, какой использовать язык. Согласуйте способ очистки шланга после выполнения операции - продувка или осушение обратного шланга.
2)  Все соответствующие шпигаты должны быть закупорены.
3)  Убедитесь, что погрузочное соединение на противоположном борту надежно закрыто/заглушено.
4)  Убедитесь, что открыты только необходимые клапаны.
5)  Осмотрите шланг, соединение/прокладку на наличие повреждений
6)  Подтвердите, что оставшегося пространства достаточно.
7)  Убедитесь, что материалы судового плана чрезвычайных мер по борьбе с загрязнением нефтью (SOPEP) в наличии.
8)  Убедитесь, что все крышки измерительных трубок закреплены.
9)  Установите связь с поставщиком.
10)  Во время пуска наблюдайте за давлением, шлангом и соединениями.
11)  Убедитесь, что поблизости не ведутся огневые работы и отсутствует открытое пламя.
12)  Заполните отдельные танки не более чем на 90% вместимости</t>
  </si>
  <si>
    <t>Взятие проб топлива - аварийный разлив, локализованный разлив, физическая травма</t>
  </si>
  <si>
    <t>1)  Проявляйте осторожность при использовании крана для отбора проб, чтобы обеспечить капельное стекание топлива в пробоотборный сосуд.
2)  Держите абсорбирующие материалы под рукой.
3)  Используйте надлежащие СИЗ в случае контакта/распыла судового топлива (очки, неопреновые перчатки).</t>
  </si>
  <si>
    <t>Бункеровка</t>
  </si>
  <si>
    <t>Разлив топлива</t>
  </si>
  <si>
    <t>1)  Согласуйте последовательность заполнения танков и максимальное количество для каждого танка (менее 95% объема).
2)  Убедитесь, что все датчики сигнализации аварийно высокого уровня работают.</t>
  </si>
  <si>
    <t>Ненадлежащее/несовместимое качество топлива</t>
  </si>
  <si>
    <t>1)  После начала операции возьмите и оставьте на борту образец судового топлива с соответствующим обозначением.  
2)  Запросите и оставьте на борту образец поставщика с соответствующим обозначением.</t>
  </si>
  <si>
    <t xml:space="preserve"> Завершение бункеровки</t>
  </si>
  <si>
    <t>Получено несоответствующее количество.</t>
  </si>
  <si>
    <t>1)  Запишите все исходные показания и сравните с последними показаниями/поставленным количеством.                                       2)  Зафиксируйте все расхождения для сообщения судовладельцам.</t>
  </si>
  <si>
    <t>Отсоединение шланга от судна</t>
  </si>
  <si>
    <t>Пролив топлива (демонтаж заглушки шланга для соединения с судовым манифольдом) - Загрязнение</t>
  </si>
  <si>
    <t>1)  Обеспечьте наличие у манифольда абсорбирующих матов и баков для отходов
2)  Обеспечьте, чтобы шланг был надежно присоединен во избежание случайного движения.
3)  Убедитесь, что бункеровка завершена и шланг был опорожнен согласно оговоренному с поставщиком плану.
4) Убедитесь, что заглушки закреплены и все приемные клапаны установлены в штатное положение.</t>
  </si>
  <si>
    <t>Завершение операции.</t>
  </si>
  <si>
    <t>Несоблюдение требований надзорных органов</t>
  </si>
  <si>
    <t xml:space="preserve">  Внесите запись в журнал учета операций с нефтью и официальный судовой журнал /журнал машинного отделения.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</si>
  <si>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</si>
  <si>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 xml:space="preserve"> Учетная документация по инструктажам на рабочем месте</t>
  </si>
  <si>
    <r>
      <rPr>
        <b/>
        <sz val="10"/>
        <color rgb="FF000000"/>
        <rFont val="Arial"/>
        <family val="2"/>
        <charset val="204"/>
      </rPr>
      <t xml:space="preserve">В рамках процедур ООО БОЛЛАРД по предварительному планированию работ, </t>
    </r>
    <r>
      <rPr>
        <b/>
        <i/>
        <sz val="10"/>
        <color rgb="FF000000"/>
        <rFont val="Arial"/>
        <family val="2"/>
        <charset val="204"/>
      </rPr>
      <t>необходимо</t>
    </r>
    <r>
      <rPr>
        <b/>
        <sz val="10"/>
        <color rgb="FF000000"/>
        <rFont val="Arial"/>
        <family val="2"/>
        <charset val="204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  <family val="2"/>
        <charset val="204"/>
      </rPr>
      <t>следует</t>
    </r>
    <r>
      <rPr>
        <b/>
        <sz val="10"/>
        <color rgb="FF000000"/>
        <rFont val="Arial"/>
        <family val="2"/>
        <charset val="204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</si>
  <si>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</si>
  <si>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</si>
  <si>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</si>
  <si>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</si>
  <si>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 xml:space="preserve"> 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</si>
  <si>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</si>
  <si>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</si>
  <si>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</si>
  <si>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</si>
  <si>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 xml:space="preserve"> 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</si>
  <si>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</si>
  <si>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</si>
  <si>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</si>
  <si>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</si>
  <si>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</si>
  <si>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</si>
  <si>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</si>
  <si>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</si>
  <si>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</si>
  <si>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</si>
  <si>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</si>
  <si>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</si>
  <si>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</si>
  <si>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</si>
  <si>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</si>
  <si>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</si>
  <si>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</si>
  <si>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</si>
  <si>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</si>
  <si>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</si>
  <si>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</si>
  <si>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</si>
  <si>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</si>
  <si>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</si>
  <si>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</si>
  <si>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>Маловероятно</t>
  </si>
  <si>
    <t>Возможно</t>
  </si>
  <si>
    <t>Незначительное воздействие</t>
  </si>
  <si>
    <t>Незначительное повреждение 
&lt; 500€ / евро</t>
  </si>
  <si>
    <t>Незначительное негативное воздействие</t>
  </si>
  <si>
    <t>Задержка 1 час</t>
  </si>
  <si>
    <t>Медицинская помощь, травма с ограничением рабочих функций</t>
  </si>
  <si>
    <t>Несущественное негативное воздействие</t>
  </si>
  <si>
    <t>Умеренное повреждение 
&lt;50.000€ / евро</t>
  </si>
  <si>
    <t>Умеренное негативное воздействие</t>
  </si>
  <si>
    <t>Постоянная утрата трудоспособности или летальный исход</t>
  </si>
  <si>
    <t xml:space="preserve"> Значительное повреждение 
&lt;500.000€ / евро</t>
  </si>
  <si>
    <t>Значительное негативное воздействие</t>
  </si>
  <si>
    <t>Задержка 48 часов – 7 дней</t>
  </si>
  <si>
    <t>Более 1 смертельного случая</t>
  </si>
  <si>
    <t>Обширное повреждение
&gt; 500.000€ / евро</t>
  </si>
  <si>
    <t>Сильное негативное воздействие</t>
  </si>
  <si>
    <t>Задержка более 7 дней</t>
  </si>
  <si>
    <t>Инструменты, СИЗ, связь</t>
  </si>
  <si>
    <t xml:space="preserve"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</si>
  <si>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r>
      <rPr>
        <i/>
        <sz val="10"/>
        <color rgb="FF000000"/>
        <rFont val="Arial"/>
        <family val="2"/>
        <charset val="204"/>
      </rPr>
      <t>Необходимо</t>
    </r>
    <r>
      <rPr>
        <sz val="10"/>
        <color rgb="FF000000"/>
        <rFont val="Arial"/>
        <family val="2"/>
        <charset val="204"/>
      </rPr>
      <t xml:space="preserve"> проверить следующие пункты:</t>
    </r>
  </si>
  <si>
    <t>File 09 / Папка 09</t>
  </si>
  <si>
    <t>Retention 3 Year / Срок хранения документа 3 года</t>
  </si>
  <si>
    <t>BL_FRM-VSL-09-1312-005</t>
  </si>
  <si>
    <t xml:space="preserve"> Репутация</t>
  </si>
  <si>
    <t xml:space="preserve"> График</t>
  </si>
  <si>
    <t xml:space="preserve"> Крайне маловероятно</t>
  </si>
  <si>
    <t>Травмы с оказанием доврачебной помощи</t>
  </si>
  <si>
    <t>Несущественное воздействие 
&lt; 10 литров</t>
  </si>
  <si>
    <t>Несущественное повреждение 
&lt; 5000€ / евро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</si>
  <si>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</si>
  <si>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</si>
  <si>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>Умеренное воздействие
 менее - 1 баррель</t>
  </si>
  <si>
    <t xml:space="preserve"> Задержка 12–48 часов</t>
  </si>
  <si>
    <t>Значительное воздействие
1-10 баррелей</t>
  </si>
  <si>
    <t>Сильное воздействие
&gt; 10  баррелей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</si>
</sst>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4"/>
      <color indexed="62"/>
      <name val="Arial Black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sz val="12"/>
      <name val="Arial"/>
      <family val="2"/>
      <charset val="204"/>
    </font>
    <font>
      <sz val="8"/>
      <color rgb="FF006666"/>
      <name val="Arial Black"/>
      <family val="2"/>
      <charset val="204"/>
    </font>
    <font>
      <sz val="8"/>
      <color rgb="FF333399"/>
      <name val="Arial Black"/>
      <family val="2"/>
      <charset val="204"/>
    </font>
    <font>
      <sz val="11"/>
      <color theme="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8E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1" fillId="2" borderId="0" xfId="0" applyFont="1" applyFill="1"/>
    <xf numFmtId="0" fontId="1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3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5" fillId="0" borderId="6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25" fillId="6" borderId="15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23" fillId="2" borderId="18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11" fillId="2" borderId="19" xfId="0" applyFont="1" applyFill="1" applyBorder="1"/>
    <xf numFmtId="0" fontId="11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3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1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3" fillId="2" borderId="8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7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left" vertical="center" wrapText="1" shrinkToFi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1" fillId="0" borderId="4" xfId="0" applyFont="1" applyBorder="1" applyAlignment="1" applyProtection="1">
      <alignment horizontal="left" vertical="center" wrapText="1"/>
      <protection locked="0"/>
    </xf>
    <xf numFmtId="0" fontId="31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6" fillId="2" borderId="18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3" fillId="2" borderId="8" xfId="0" applyFont="1" applyFill="1" applyBorder="1" applyAlignment="1" applyProtection="1">
      <alignment horizontal="center" vertical="center" wrapText="1" shrinkToFit="1"/>
      <protection locked="0"/>
    </xf>
    <xf numFmtId="0" fontId="3" fillId="2" borderId="17" xfId="0" applyFont="1" applyFill="1" applyBorder="1" applyAlignment="1" applyProtection="1">
      <alignment horizontal="center" vertical="center" wrapText="1" shrinkToFit="1"/>
      <protection locked="0"/>
    </xf>
    <xf numFmtId="0" fontId="0" fillId="0" borderId="17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9" fillId="2" borderId="2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5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7" xfId="0" applyFont="1" applyFill="1" applyBorder="1" applyAlignment="1" applyProtection="1">
      <alignment horizontal="left" vertical="center" wrapText="1" shrinkToFit="1"/>
      <protection locked="0"/>
    </xf>
    <xf numFmtId="0" fontId="4" fillId="0" borderId="17" xfId="0" applyFont="1" applyBorder="1" applyAlignment="1">
      <alignment horizontal="left" vertical="center" wrapText="1" shrinkToFit="1"/>
    </xf>
    <xf numFmtId="0" fontId="4" fillId="0" borderId="4" xfId="0" applyFont="1" applyBorder="1" applyAlignment="1">
      <alignment horizontal="left" vertical="center" wrapText="1" shrinkToFit="1"/>
    </xf>
    <xf numFmtId="0" fontId="34" fillId="2" borderId="8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4" fillId="2" borderId="8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3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39" fillId="2" borderId="8" xfId="0" applyFont="1" applyFill="1" applyBorder="1" applyAlignment="1">
      <alignment horizontal="left" vertical="center" wrapText="1"/>
    </xf>
    <xf numFmtId="0" fontId="41" fillId="2" borderId="17" xfId="0" applyFont="1" applyFill="1" applyBorder="1" applyAlignment="1">
      <alignment horizontal="left" vertical="center" wrapText="1"/>
    </xf>
    <xf numFmtId="0" fontId="41" fillId="2" borderId="4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6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7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7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37" fillId="2" borderId="0" xfId="0" applyFont="1" applyFill="1" applyAlignment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22" fillId="8" borderId="1" xfId="0" applyFont="1" applyFill="1" applyBorder="1" applyAlignment="1">
      <alignment horizontal="right" vertical="center" wrapText="1"/>
    </xf>
    <xf numFmtId="0" fontId="22" fillId="8" borderId="8" xfId="0" applyFont="1" applyFill="1" applyBorder="1" applyAlignment="1">
      <alignment horizontal="right" vertical="center" wrapText="1"/>
    </xf>
    <xf numFmtId="0" fontId="22" fillId="8" borderId="4" xfId="0" applyFont="1" applyFill="1" applyBorder="1" applyAlignment="1">
      <alignment horizontal="right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textRotation="90" wrapText="1"/>
    </xf>
    <xf numFmtId="0" fontId="26" fillId="8" borderId="8" xfId="0" applyFont="1" applyFill="1" applyBorder="1" applyAlignment="1">
      <alignment horizontal="center" vertical="center" wrapText="1"/>
    </xf>
    <xf numFmtId="0" fontId="26" fillId="8" borderId="17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14" fontId="22" fillId="8" borderId="8" xfId="0" applyNumberFormat="1" applyFont="1" applyFill="1" applyBorder="1" applyAlignment="1">
      <alignment horizontal="center" vertical="center" wrapText="1"/>
    </xf>
    <xf numFmtId="14" fontId="22" fillId="8" borderId="17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right" vertical="center" wrapText="1"/>
    </xf>
    <xf numFmtId="0" fontId="22" fillId="8" borderId="1" xfId="0" applyFont="1" applyFill="1" applyBorder="1" applyAlignment="1" applyProtection="1">
      <alignment horizontal="center" vertical="center" wrapText="1"/>
      <protection locked="0"/>
    </xf>
    <xf numFmtId="14" fontId="22" fillId="8" borderId="4" xfId="0" applyNumberFormat="1" applyFont="1" applyFill="1" applyBorder="1" applyAlignment="1">
      <alignment horizontal="center" vertical="center" wrapText="1"/>
    </xf>
    <xf numFmtId="0" fontId="38" fillId="8" borderId="19" xfId="0" applyFont="1" applyFill="1" applyBorder="1" applyAlignment="1">
      <alignment horizontal="left" vertical="center" wrapText="1"/>
    </xf>
    <xf numFmtId="0" fontId="27" fillId="8" borderId="19" xfId="0" applyFont="1" applyFill="1" applyBorder="1" applyAlignment="1">
      <alignment horizontal="left" vertical="center" wrapText="1"/>
    </xf>
    <xf numFmtId="0" fontId="28" fillId="8" borderId="18" xfId="0" applyFont="1" applyFill="1" applyBorder="1" applyAlignment="1">
      <alignment vertical="center"/>
    </xf>
    <xf numFmtId="0" fontId="28" fillId="8" borderId="19" xfId="0" applyFont="1" applyFill="1" applyBorder="1" applyAlignment="1">
      <alignment vertical="center"/>
    </xf>
    <xf numFmtId="0" fontId="29" fillId="8" borderId="19" xfId="0" applyFont="1" applyFill="1" applyBorder="1" applyAlignment="1">
      <alignment horizontal="center"/>
    </xf>
    <xf numFmtId="0" fontId="30" fillId="8" borderId="19" xfId="0" applyFont="1" applyFill="1" applyBorder="1" applyAlignment="1">
      <alignment horizontal="left" vertical="center" indent="1"/>
    </xf>
    <xf numFmtId="0" fontId="26" fillId="8" borderId="19" xfId="0" applyFont="1" applyFill="1" applyBorder="1" applyAlignment="1">
      <alignment vertical="center"/>
    </xf>
    <xf numFmtId="0" fontId="26" fillId="8" borderId="19" xfId="0" applyFont="1" applyFill="1" applyBorder="1" applyAlignment="1">
      <alignment horizontal="left" vertical="center"/>
    </xf>
    <xf numFmtId="0" fontId="26" fillId="8" borderId="21" xfId="0" applyFont="1" applyFill="1" applyBorder="1" applyAlignment="1">
      <alignment horizontal="right" vertical="center"/>
    </xf>
    <xf numFmtId="0" fontId="21" fillId="8" borderId="8" xfId="0" applyFont="1" applyFill="1" applyBorder="1" applyAlignment="1">
      <alignment horizontal="left" vertical="center" wrapText="1"/>
    </xf>
    <xf numFmtId="0" fontId="21" fillId="8" borderId="4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21" fillId="8" borderId="17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vertical="center" wrapText="1"/>
    </xf>
    <xf numFmtId="0" fontId="21" fillId="8" borderId="1" xfId="0" applyFont="1" applyFill="1" applyBorder="1" applyAlignment="1">
      <alignment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9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22" xfId="0" applyFont="1" applyFill="1" applyBorder="1" applyAlignment="1">
      <alignment horizontal="center" vertical="center" wrapText="1"/>
    </xf>
    <xf numFmtId="0" fontId="21" fillId="8" borderId="23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42" fillId="3" borderId="6" xfId="0" applyFont="1" applyFill="1" applyBorder="1" applyAlignment="1">
      <alignment horizontal="center" textRotation="90" wrapText="1"/>
    </xf>
    <xf numFmtId="0" fontId="42" fillId="3" borderId="24" xfId="0" applyFont="1" applyFill="1" applyBorder="1" applyAlignment="1">
      <alignment horizontal="center" textRotation="90" wrapText="1"/>
    </xf>
    <xf numFmtId="0" fontId="42" fillId="3" borderId="25" xfId="0" applyFont="1" applyFill="1" applyBorder="1" applyAlignment="1">
      <alignment horizontal="center" textRotation="90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19</xdr:row>
      <xdr:rowOff>0</xdr:rowOff>
    </xdr:from>
    <xdr:ext cx="184731" cy="264560"/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91350" y="1373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154782</xdr:colOff>
      <xdr:row>2</xdr:row>
      <xdr:rowOff>59531</xdr:rowOff>
    </xdr:from>
    <xdr:ext cx="2071687" cy="183041"/>
    <xdr:pic>
      <xdr:nvPicPr>
        <xdr:cNvPr id="2" name="Рисунок 1" descr="bollard">
          <a:extLst>
            <a:ext uri="{FF2B5EF4-FFF2-40B4-BE49-F238E27FC236}">
              <a16:creationId xmlns:a16="http://schemas.microsoft.com/office/drawing/2014/main" id="{C8EAAC3F-9D76-4B87-A7E0-E1ADB903181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2" y="523875"/>
          <a:ext cx="2071687" cy="183041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2" name="Text Box 30">
          <a:extLst>
            <a:ext uri="{FF2B5EF4-FFF2-40B4-BE49-F238E27FC236}">
              <a16:creationId xmlns:a16="http://schemas.microsoft.com/office/drawing/2014/main" id="{5956B9C6-26C9-4809-9BD8-6D5E2B665783}"/>
            </a:ext>
          </a:extLst>
        </xdr:cNvPr>
        <xdr:cNvSpPr txBox="1">
          <a:spLocks noChangeArrowheads="1"/>
        </xdr:cNvSpPr>
      </xdr:nvSpPr>
      <xdr:spPr bwMode="auto">
        <a:xfrm>
          <a:off x="19050" y="8467725"/>
          <a:ext cx="2888192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3" name="Text Box 31">
          <a:extLst>
            <a:ext uri="{FF2B5EF4-FFF2-40B4-BE49-F238E27FC236}">
              <a16:creationId xmlns:a16="http://schemas.microsoft.com/office/drawing/2014/main" id="{B02CDC58-6A1A-4251-99AE-E6A2CA487592}"/>
            </a:ext>
          </a:extLst>
        </xdr:cNvPr>
        <xdr:cNvSpPr txBox="1">
          <a:spLocks noChangeArrowheads="1"/>
        </xdr:cNvSpPr>
      </xdr:nvSpPr>
      <xdr:spPr bwMode="auto">
        <a:xfrm>
          <a:off x="28575" y="9534525"/>
          <a:ext cx="2878667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4" name="Text Box 32">
          <a:extLst>
            <a:ext uri="{FF2B5EF4-FFF2-40B4-BE49-F238E27FC236}">
              <a16:creationId xmlns:a16="http://schemas.microsoft.com/office/drawing/2014/main" id="{73D388A3-90BD-4D22-9D59-A5EA05C367E0}"/>
            </a:ext>
          </a:extLst>
        </xdr:cNvPr>
        <xdr:cNvSpPr txBox="1">
          <a:spLocks noChangeArrowheads="1"/>
        </xdr:cNvSpPr>
      </xdr:nvSpPr>
      <xdr:spPr bwMode="auto">
        <a:xfrm>
          <a:off x="2117" y="10496550"/>
          <a:ext cx="2905125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27214</xdr:colOff>
      <xdr:row>15</xdr:row>
      <xdr:rowOff>85727</xdr:rowOff>
    </xdr:from>
    <xdr:to>
      <xdr:col>10</xdr:col>
      <xdr:colOff>0</xdr:colOff>
      <xdr:row>19</xdr:row>
      <xdr:rowOff>197304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0E8494-030A-4422-9C22-F51DF2A091EA}"/>
            </a:ext>
          </a:extLst>
        </xdr:cNvPr>
        <xdr:cNvSpPr txBox="1"/>
      </xdr:nvSpPr>
      <xdr:spPr>
        <a:xfrm>
          <a:off x="2932339" y="8391527"/>
          <a:ext cx="5678261" cy="7592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57831</xdr:rowOff>
    </xdr:from>
    <xdr:to>
      <xdr:col>21</xdr:col>
      <xdr:colOff>27215</xdr:colOff>
      <xdr:row>25</xdr:row>
      <xdr:rowOff>360591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FCA08AC-5170-4AAA-86F6-2CCDAF8D8520}"/>
            </a:ext>
          </a:extLst>
        </xdr:cNvPr>
        <xdr:cNvSpPr txBox="1"/>
      </xdr:nvSpPr>
      <xdr:spPr>
        <a:xfrm>
          <a:off x="2934457" y="9401856"/>
          <a:ext cx="5703358" cy="101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224518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D1C9679-AF0E-419A-A2EC-7EBBF6D5299D}"/>
            </a:ext>
          </a:extLst>
        </xdr:cNvPr>
        <xdr:cNvSpPr txBox="1"/>
      </xdr:nvSpPr>
      <xdr:spPr>
        <a:xfrm>
          <a:off x="2907242" y="10439400"/>
          <a:ext cx="5703358" cy="1177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312964</xdr:rowOff>
    </xdr:from>
    <xdr:to>
      <xdr:col>9</xdr:col>
      <xdr:colOff>843643</xdr:colOff>
      <xdr:row>32</xdr:row>
      <xdr:rowOff>809625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B050009-4F45-412A-A771-3C6A00D0C953}"/>
            </a:ext>
          </a:extLst>
        </xdr:cNvPr>
        <xdr:cNvSpPr txBox="1"/>
      </xdr:nvSpPr>
      <xdr:spPr>
        <a:xfrm>
          <a:off x="2862943" y="11704864"/>
          <a:ext cx="5667375" cy="4871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  <xdr:oneCellAnchor>
    <xdr:from>
      <xdr:col>0</xdr:col>
      <xdr:colOff>171450</xdr:colOff>
      <xdr:row>1</xdr:row>
      <xdr:rowOff>66675</xdr:rowOff>
    </xdr:from>
    <xdr:ext cx="2071687" cy="183041"/>
    <xdr:pic>
      <xdr:nvPicPr>
        <xdr:cNvPr id="9" name="Рисунок 8" descr="bollard">
          <a:extLst>
            <a:ext uri="{FF2B5EF4-FFF2-40B4-BE49-F238E27FC236}">
              <a16:creationId xmlns:a16="http://schemas.microsoft.com/office/drawing/2014/main" id="{CFAEB838-968E-4F2A-BC87-E59CBB97587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0525"/>
          <a:ext cx="2071687" cy="183041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56"/>
  <sheetViews>
    <sheetView zoomScale="80" zoomScaleNormal="80" zoomScalePageLayoutView="70" workbookViewId="0">
      <selection activeCell="A55" activeCellId="2" sqref="A52:C52 D52:F53 A55:B55"/>
    </sheetView>
  </sheetViews>
  <sheetFormatPr defaultColWidth="9.140625" defaultRowHeight="12.75" x14ac:dyDescent="0.2"/>
  <cols>
    <col min="1" max="1" width="6.85546875" style="3" customWidth="1"/>
    <col min="2" max="2" width="28.7109375" style="3" customWidth="1"/>
    <col min="3" max="3" width="66.140625" style="3" customWidth="1"/>
    <col min="4" max="4" width="4.85546875" style="3" customWidth="1"/>
    <col min="5" max="5" width="5.140625" style="3" customWidth="1"/>
    <col min="6" max="6" width="5.285156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285156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82"/>
      <c r="B1" s="83"/>
      <c r="C1" s="51"/>
      <c r="D1" s="52"/>
      <c r="E1" s="52"/>
      <c r="F1" s="52"/>
      <c r="G1" s="53"/>
      <c r="H1" s="54"/>
      <c r="I1" s="1"/>
      <c r="J1" s="59"/>
      <c r="K1" s="53"/>
      <c r="L1" s="53"/>
      <c r="M1" s="60"/>
      <c r="Q1" s="14" t="s">
        <v>26</v>
      </c>
      <c r="R1" s="14" t="s">
        <v>27</v>
      </c>
      <c r="S1" s="14" t="s">
        <v>28</v>
      </c>
      <c r="T1" s="14" t="s">
        <v>29</v>
      </c>
      <c r="U1" s="14" t="s">
        <v>30</v>
      </c>
      <c r="V1" s="14" t="s">
        <v>31</v>
      </c>
      <c r="W1" s="18" t="s">
        <v>32</v>
      </c>
    </row>
    <row r="2" spans="1:23" ht="25.5" customHeight="1" x14ac:dyDescent="0.2">
      <c r="A2" s="84"/>
      <c r="B2" s="85"/>
      <c r="C2" s="55"/>
      <c r="D2" s="50"/>
      <c r="E2" s="50"/>
      <c r="F2" s="50"/>
      <c r="G2" s="50"/>
      <c r="H2" s="56"/>
      <c r="I2" s="4"/>
      <c r="J2" s="98" t="s">
        <v>183</v>
      </c>
      <c r="K2" s="99"/>
      <c r="L2" s="99"/>
      <c r="M2" s="100"/>
      <c r="P2" s="7"/>
      <c r="Q2" s="14">
        <v>1</v>
      </c>
      <c r="R2" s="14" t="s">
        <v>33</v>
      </c>
      <c r="S2" s="15"/>
      <c r="T2" s="15"/>
      <c r="U2" s="15"/>
      <c r="V2" s="15"/>
      <c r="W2" s="18" t="s">
        <v>34</v>
      </c>
    </row>
    <row r="3" spans="1:23" ht="25.5" customHeight="1" x14ac:dyDescent="0.2">
      <c r="A3" s="84"/>
      <c r="B3" s="85"/>
      <c r="C3" s="104" t="s">
        <v>73</v>
      </c>
      <c r="D3" s="105"/>
      <c r="E3" s="105"/>
      <c r="F3" s="105"/>
      <c r="G3" s="105"/>
      <c r="H3" s="106"/>
      <c r="J3" s="98" t="s">
        <v>181</v>
      </c>
      <c r="K3" s="99"/>
      <c r="L3" s="99"/>
      <c r="M3" s="100"/>
      <c r="P3" s="7"/>
      <c r="Q3" s="14">
        <v>2</v>
      </c>
      <c r="R3" s="14" t="s">
        <v>35</v>
      </c>
      <c r="S3" s="15"/>
      <c r="T3" s="15"/>
      <c r="U3" s="15"/>
      <c r="V3" s="15"/>
      <c r="W3" s="18" t="s">
        <v>36</v>
      </c>
    </row>
    <row r="4" spans="1:23" ht="33.75" customHeight="1" x14ac:dyDescent="0.2">
      <c r="A4" s="86"/>
      <c r="B4" s="87"/>
      <c r="C4" s="58"/>
      <c r="H4" s="57"/>
      <c r="J4" s="101" t="s">
        <v>182</v>
      </c>
      <c r="K4" s="102"/>
      <c r="L4" s="102"/>
      <c r="M4" s="103"/>
      <c r="P4" s="7"/>
      <c r="Q4" s="14"/>
      <c r="R4" s="14"/>
      <c r="S4" s="15"/>
      <c r="T4" s="15"/>
      <c r="U4" s="15"/>
      <c r="V4" s="15"/>
      <c r="W4" s="18"/>
    </row>
    <row r="5" spans="1:23" ht="8.4499999999999993" customHeight="1" x14ac:dyDescent="0.2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P5" s="7"/>
      <c r="Q5" s="14">
        <v>3</v>
      </c>
      <c r="R5" s="14" t="s">
        <v>37</v>
      </c>
      <c r="S5" s="15"/>
      <c r="T5" s="15"/>
      <c r="U5" s="15"/>
      <c r="V5" s="15"/>
      <c r="W5" s="18" t="s">
        <v>38</v>
      </c>
    </row>
    <row r="6" spans="1:23" s="7" customFormat="1" ht="36" customHeight="1" x14ac:dyDescent="0.2">
      <c r="A6" s="169" t="s">
        <v>74</v>
      </c>
      <c r="B6" s="169"/>
      <c r="C6" s="72"/>
      <c r="D6" s="62"/>
      <c r="E6" s="62"/>
      <c r="F6" s="63"/>
      <c r="G6" s="180" t="s">
        <v>75</v>
      </c>
      <c r="H6" s="74" t="s">
        <v>76</v>
      </c>
      <c r="I6" s="62"/>
      <c r="J6" s="181" t="s">
        <v>77</v>
      </c>
      <c r="K6" s="92" t="s">
        <v>183</v>
      </c>
      <c r="L6" s="92"/>
      <c r="M6" s="93"/>
      <c r="Q6" s="14">
        <v>4</v>
      </c>
      <c r="R6" s="14" t="s">
        <v>39</v>
      </c>
      <c r="S6" s="14"/>
      <c r="T6" s="14"/>
      <c r="U6" s="14"/>
      <c r="V6" s="14"/>
    </row>
    <row r="7" spans="1:23" s="7" customFormat="1" ht="36" customHeight="1" x14ac:dyDescent="0.2">
      <c r="A7" s="170" t="s">
        <v>78</v>
      </c>
      <c r="B7" s="171"/>
      <c r="C7" s="71"/>
      <c r="D7" s="178" t="s">
        <v>79</v>
      </c>
      <c r="E7" s="179"/>
      <c r="F7" s="179"/>
      <c r="G7" s="180" t="s">
        <v>80</v>
      </c>
      <c r="H7" s="145" t="s">
        <v>178</v>
      </c>
      <c r="I7" s="146"/>
      <c r="J7" s="147"/>
      <c r="K7" s="178" t="s">
        <v>81</v>
      </c>
      <c r="L7" s="179"/>
      <c r="M7" s="182"/>
      <c r="Q7" s="14">
        <v>5</v>
      </c>
      <c r="R7" s="14" t="s">
        <v>40</v>
      </c>
      <c r="S7" s="14"/>
      <c r="T7" s="14"/>
      <c r="U7" s="14"/>
      <c r="V7" s="14"/>
    </row>
    <row r="8" spans="1:23" ht="155.25" customHeight="1" x14ac:dyDescent="0.2">
      <c r="A8" s="172" t="s">
        <v>82</v>
      </c>
      <c r="B8" s="172" t="s">
        <v>83</v>
      </c>
      <c r="C8" s="172" t="s">
        <v>84</v>
      </c>
      <c r="D8" s="173" t="s">
        <v>85</v>
      </c>
      <c r="E8" s="173" t="s">
        <v>86</v>
      </c>
      <c r="F8" s="173" t="s">
        <v>79</v>
      </c>
      <c r="G8" s="174" t="s">
        <v>87</v>
      </c>
      <c r="H8" s="175"/>
      <c r="I8" s="176"/>
      <c r="J8" s="177"/>
      <c r="K8" s="173" t="s">
        <v>85</v>
      </c>
      <c r="L8" s="173" t="s">
        <v>86</v>
      </c>
      <c r="M8" s="173" t="s">
        <v>88</v>
      </c>
      <c r="Q8" s="14"/>
      <c r="R8" s="15"/>
      <c r="S8" s="15"/>
      <c r="T8" s="15"/>
      <c r="U8" s="15" t="str">
        <f>IF(L11="","",IF(N11="","",IF(M11+O11&lt;=5,$W$12,IF(M11+O11=6,$W$13,IF(M11+O11=7,$W$13,IF(M11+O11&gt;=8,$W$14,""))))))</f>
        <v/>
      </c>
      <c r="V8" s="15"/>
    </row>
    <row r="9" spans="1:23" ht="87" customHeight="1" x14ac:dyDescent="0.2">
      <c r="A9" s="73">
        <v>1</v>
      </c>
      <c r="B9" s="77" t="s">
        <v>89</v>
      </c>
      <c r="C9" s="78" t="s">
        <v>90</v>
      </c>
      <c r="D9" s="20">
        <v>4</v>
      </c>
      <c r="E9" s="13" t="s">
        <v>0</v>
      </c>
      <c r="F9" s="68" t="str">
        <f t="shared" ref="F9:F22" si="0">IF(D9="","",(IF(E9="","",IF(U9&lt;=1,"",IF(U9&lt;=5,$W$2,IF(U9=6,$W$3,IF(U9=7,$W$3,IF(U9&gt;=8,$W$5,""))))))))</f>
        <v>M</v>
      </c>
      <c r="G9" s="94" t="s">
        <v>91</v>
      </c>
      <c r="H9" s="95"/>
      <c r="I9" s="96"/>
      <c r="J9" s="97"/>
      <c r="K9" s="20">
        <v>1</v>
      </c>
      <c r="L9" s="13" t="s">
        <v>1</v>
      </c>
      <c r="M9" s="64" t="str">
        <f t="shared" ref="M9:M22" si="1">IF(K9="","",(IF(L9="","",IF(V9&lt;=1,"",IF(V9&lt;=5,$W$2,IF(V9=6,$W$3,IF(V9=7,$W$3,IF(V9&gt;=8,$W$5,""))))))))</f>
        <v>L</v>
      </c>
      <c r="Q9" s="14"/>
      <c r="R9" s="15"/>
      <c r="S9" s="19">
        <f t="shared" ref="S9:S22" si="2">IF(E9="A",1,IF(E9="B",2,IF(E9="C",3,IF(E9="D",4,IF(E9="E",5,"")))))</f>
        <v>3</v>
      </c>
      <c r="T9" s="19">
        <f t="shared" ref="T9:T22" si="3">IF(L9="A",1,IF(L9="B",2,IF(L9="C",3,IF(L9="D",4,IF(L9="E",5,"")))))</f>
        <v>3</v>
      </c>
      <c r="U9" s="15">
        <f t="shared" ref="U9:U22" si="4">D9+S9</f>
        <v>7</v>
      </c>
      <c r="V9" s="15">
        <f t="shared" ref="V9:V22" si="5">K9+T9</f>
        <v>4</v>
      </c>
    </row>
    <row r="10" spans="1:23" ht="87" customHeight="1" x14ac:dyDescent="0.2">
      <c r="A10" s="73">
        <v>2</v>
      </c>
      <c r="B10" s="77" t="s">
        <v>92</v>
      </c>
      <c r="C10" s="79" t="s">
        <v>93</v>
      </c>
      <c r="D10" s="20">
        <v>3</v>
      </c>
      <c r="E10" s="13" t="s">
        <v>2</v>
      </c>
      <c r="F10" s="68" t="str">
        <f t="shared" si="0"/>
        <v>M</v>
      </c>
      <c r="G10" s="94" t="s">
        <v>94</v>
      </c>
      <c r="H10" s="95"/>
      <c r="I10" s="96"/>
      <c r="J10" s="97"/>
      <c r="K10" s="20">
        <v>1</v>
      </c>
      <c r="L10" s="13" t="s">
        <v>3</v>
      </c>
      <c r="M10" s="64" t="str">
        <f t="shared" si="1"/>
        <v>L</v>
      </c>
      <c r="Q10" s="14"/>
      <c r="R10" s="15"/>
      <c r="S10" s="19">
        <f t="shared" si="2"/>
        <v>3</v>
      </c>
      <c r="T10" s="19">
        <f t="shared" si="3"/>
        <v>3</v>
      </c>
      <c r="U10" s="15">
        <f t="shared" si="4"/>
        <v>6</v>
      </c>
      <c r="V10" s="15">
        <f t="shared" si="5"/>
        <v>4</v>
      </c>
    </row>
    <row r="11" spans="1:23" ht="87" customHeight="1" x14ac:dyDescent="0.2">
      <c r="A11" s="73">
        <v>3</v>
      </c>
      <c r="B11" s="79" t="s">
        <v>95</v>
      </c>
      <c r="C11" s="79" t="s">
        <v>96</v>
      </c>
      <c r="D11" s="20">
        <v>3</v>
      </c>
      <c r="E11" s="13" t="s">
        <v>4</v>
      </c>
      <c r="F11" s="68" t="str">
        <f t="shared" si="0"/>
        <v>L</v>
      </c>
      <c r="G11" s="94" t="s">
        <v>97</v>
      </c>
      <c r="H11" s="95"/>
      <c r="I11" s="96"/>
      <c r="J11" s="97"/>
      <c r="K11" s="20">
        <v>2</v>
      </c>
      <c r="L11" s="13" t="s">
        <v>5</v>
      </c>
      <c r="M11" s="64" t="str">
        <f t="shared" si="1"/>
        <v>L</v>
      </c>
      <c r="Q11" s="14"/>
      <c r="R11" s="15"/>
      <c r="S11" s="19">
        <f t="shared" si="2"/>
        <v>2</v>
      </c>
      <c r="T11" s="19">
        <f t="shared" si="3"/>
        <v>2</v>
      </c>
      <c r="U11" s="15">
        <f t="shared" si="4"/>
        <v>5</v>
      </c>
      <c r="V11" s="15">
        <f t="shared" si="5"/>
        <v>4</v>
      </c>
    </row>
    <row r="12" spans="1:23" ht="151.5" customHeight="1" x14ac:dyDescent="0.2">
      <c r="A12" s="73">
        <v>4</v>
      </c>
      <c r="B12" s="79" t="s">
        <v>95</v>
      </c>
      <c r="C12" s="79" t="s">
        <v>98</v>
      </c>
      <c r="D12" s="20">
        <v>3</v>
      </c>
      <c r="E12" s="13" t="s">
        <v>6</v>
      </c>
      <c r="F12" s="68" t="str">
        <f t="shared" si="0"/>
        <v>M</v>
      </c>
      <c r="G12" s="94" t="s">
        <v>99</v>
      </c>
      <c r="H12" s="95"/>
      <c r="I12" s="96"/>
      <c r="J12" s="97"/>
      <c r="K12" s="20">
        <v>1</v>
      </c>
      <c r="L12" s="13" t="s">
        <v>7</v>
      </c>
      <c r="M12" s="64" t="str">
        <f t="shared" si="1"/>
        <v>L</v>
      </c>
      <c r="Q12" s="14"/>
      <c r="R12" s="15"/>
      <c r="S12" s="19">
        <f t="shared" si="2"/>
        <v>4</v>
      </c>
      <c r="T12" s="19">
        <f t="shared" si="3"/>
        <v>4</v>
      </c>
      <c r="U12" s="15">
        <f t="shared" si="4"/>
        <v>7</v>
      </c>
      <c r="V12" s="15">
        <f t="shared" si="5"/>
        <v>5</v>
      </c>
    </row>
    <row r="13" spans="1:23" ht="87" customHeight="1" x14ac:dyDescent="0.2">
      <c r="A13" s="73">
        <v>5</v>
      </c>
      <c r="B13" s="79" t="s">
        <v>95</v>
      </c>
      <c r="C13" s="79" t="s">
        <v>100</v>
      </c>
      <c r="D13" s="20">
        <v>3</v>
      </c>
      <c r="E13" s="13" t="s">
        <v>8</v>
      </c>
      <c r="F13" s="68" t="str">
        <f t="shared" si="0"/>
        <v>M</v>
      </c>
      <c r="G13" s="94" t="s">
        <v>101</v>
      </c>
      <c r="H13" s="95"/>
      <c r="I13" s="96"/>
      <c r="J13" s="97"/>
      <c r="K13" s="20">
        <v>1</v>
      </c>
      <c r="L13" s="13" t="s">
        <v>9</v>
      </c>
      <c r="M13" s="64" t="str">
        <f t="shared" si="1"/>
        <v>L</v>
      </c>
      <c r="Q13" s="14"/>
      <c r="R13" s="15"/>
      <c r="S13" s="19">
        <f t="shared" si="2"/>
        <v>3</v>
      </c>
      <c r="T13" s="19">
        <f t="shared" si="3"/>
        <v>3</v>
      </c>
      <c r="U13" s="15">
        <f t="shared" si="4"/>
        <v>6</v>
      </c>
      <c r="V13" s="15">
        <f t="shared" si="5"/>
        <v>4</v>
      </c>
    </row>
    <row r="14" spans="1:23" ht="326.25" customHeight="1" x14ac:dyDescent="0.2">
      <c r="A14" s="73">
        <v>6</v>
      </c>
      <c r="B14" s="79" t="s">
        <v>102</v>
      </c>
      <c r="C14" s="79" t="s">
        <v>103</v>
      </c>
      <c r="D14" s="20">
        <v>4</v>
      </c>
      <c r="E14" s="13" t="s">
        <v>10</v>
      </c>
      <c r="F14" s="68" t="str">
        <f t="shared" si="0"/>
        <v>H</v>
      </c>
      <c r="G14" s="107" t="s">
        <v>105</v>
      </c>
      <c r="H14" s="108"/>
      <c r="I14" s="109"/>
      <c r="J14" s="110"/>
      <c r="K14" s="20">
        <v>2</v>
      </c>
      <c r="L14" s="13" t="s">
        <v>11</v>
      </c>
      <c r="M14" s="64" t="str">
        <f t="shared" si="1"/>
        <v>M</v>
      </c>
      <c r="Q14" s="14"/>
      <c r="R14" s="15"/>
      <c r="S14" s="19">
        <f t="shared" si="2"/>
        <v>4</v>
      </c>
      <c r="T14" s="19">
        <f t="shared" si="3"/>
        <v>4</v>
      </c>
      <c r="U14" s="15">
        <f t="shared" si="4"/>
        <v>8</v>
      </c>
      <c r="V14" s="15">
        <f t="shared" si="5"/>
        <v>6</v>
      </c>
    </row>
    <row r="15" spans="1:23" ht="87" customHeight="1" x14ac:dyDescent="0.2">
      <c r="A15" s="73">
        <v>7</v>
      </c>
      <c r="B15" s="79" t="s">
        <v>102</v>
      </c>
      <c r="C15" s="79" t="s">
        <v>103</v>
      </c>
      <c r="D15" s="20">
        <v>3</v>
      </c>
      <c r="E15" s="13" t="s">
        <v>12</v>
      </c>
      <c r="F15" s="68" t="str">
        <f t="shared" si="0"/>
        <v>M</v>
      </c>
      <c r="G15" s="94" t="s">
        <v>104</v>
      </c>
      <c r="H15" s="95"/>
      <c r="I15" s="96"/>
      <c r="J15" s="97"/>
      <c r="K15" s="20">
        <v>1</v>
      </c>
      <c r="L15" s="13" t="s">
        <v>13</v>
      </c>
      <c r="M15" s="64" t="str">
        <f t="shared" si="1"/>
        <v>L</v>
      </c>
      <c r="Q15" s="14"/>
      <c r="R15" s="15"/>
      <c r="S15" s="19">
        <f t="shared" si="2"/>
        <v>3</v>
      </c>
      <c r="T15" s="19">
        <f t="shared" si="3"/>
        <v>3</v>
      </c>
      <c r="U15" s="15">
        <f t="shared" si="4"/>
        <v>6</v>
      </c>
      <c r="V15" s="15">
        <f t="shared" si="5"/>
        <v>4</v>
      </c>
    </row>
    <row r="16" spans="1:23" ht="91.5" customHeight="1" x14ac:dyDescent="0.2">
      <c r="A16" s="73">
        <v>8</v>
      </c>
      <c r="B16" s="79" t="s">
        <v>102</v>
      </c>
      <c r="C16" s="79" t="s">
        <v>106</v>
      </c>
      <c r="D16" s="20">
        <v>3</v>
      </c>
      <c r="E16" s="13" t="s">
        <v>14</v>
      </c>
      <c r="F16" s="68" t="str">
        <f t="shared" si="0"/>
        <v>M</v>
      </c>
      <c r="G16" s="94" t="s">
        <v>107</v>
      </c>
      <c r="H16" s="95"/>
      <c r="I16" s="96"/>
      <c r="J16" s="97"/>
      <c r="K16" s="20">
        <v>1</v>
      </c>
      <c r="L16" s="13" t="s">
        <v>15</v>
      </c>
      <c r="M16" s="64" t="str">
        <f t="shared" si="1"/>
        <v>L</v>
      </c>
      <c r="Q16" s="14"/>
      <c r="R16" s="15"/>
      <c r="S16" s="19">
        <f t="shared" si="2"/>
        <v>3</v>
      </c>
      <c r="T16" s="19">
        <f t="shared" si="3"/>
        <v>3</v>
      </c>
      <c r="U16" s="15">
        <f t="shared" si="4"/>
        <v>6</v>
      </c>
      <c r="V16" s="15">
        <f t="shared" si="5"/>
        <v>4</v>
      </c>
    </row>
    <row r="17" spans="1:22" ht="87" customHeight="1" x14ac:dyDescent="0.2">
      <c r="A17" s="73">
        <v>9</v>
      </c>
      <c r="B17" s="77" t="s">
        <v>108</v>
      </c>
      <c r="C17" s="79" t="s">
        <v>109</v>
      </c>
      <c r="D17" s="20">
        <v>3</v>
      </c>
      <c r="E17" s="13" t="s">
        <v>16</v>
      </c>
      <c r="F17" s="68" t="str">
        <f t="shared" si="0"/>
        <v>M</v>
      </c>
      <c r="G17" s="94" t="s">
        <v>110</v>
      </c>
      <c r="H17" s="95"/>
      <c r="I17" s="96"/>
      <c r="J17" s="97"/>
      <c r="K17" s="20">
        <v>1</v>
      </c>
      <c r="L17" s="13" t="s">
        <v>17</v>
      </c>
      <c r="M17" s="64" t="str">
        <f t="shared" si="1"/>
        <v>L</v>
      </c>
      <c r="Q17" s="14"/>
      <c r="R17" s="15"/>
      <c r="S17" s="19">
        <f t="shared" si="2"/>
        <v>4</v>
      </c>
      <c r="T17" s="19">
        <f t="shared" si="3"/>
        <v>4</v>
      </c>
      <c r="U17" s="15">
        <f t="shared" si="4"/>
        <v>7</v>
      </c>
      <c r="V17" s="15">
        <f t="shared" si="5"/>
        <v>5</v>
      </c>
    </row>
    <row r="18" spans="1:22" ht="87" customHeight="1" x14ac:dyDescent="0.2">
      <c r="A18" s="73">
        <v>10</v>
      </c>
      <c r="B18" s="79" t="s">
        <v>108</v>
      </c>
      <c r="C18" s="79" t="s">
        <v>111</v>
      </c>
      <c r="D18" s="20">
        <v>3</v>
      </c>
      <c r="E18" s="13" t="s">
        <v>18</v>
      </c>
      <c r="F18" s="68" t="str">
        <f t="shared" si="0"/>
        <v>M</v>
      </c>
      <c r="G18" s="94" t="s">
        <v>112</v>
      </c>
      <c r="H18" s="95"/>
      <c r="I18" s="96"/>
      <c r="J18" s="97"/>
      <c r="K18" s="20">
        <v>1</v>
      </c>
      <c r="L18" s="13" t="s">
        <v>19</v>
      </c>
      <c r="M18" s="64" t="str">
        <f t="shared" si="1"/>
        <v>L</v>
      </c>
      <c r="Q18" s="14"/>
      <c r="R18" s="15"/>
      <c r="S18" s="19">
        <f t="shared" si="2"/>
        <v>4</v>
      </c>
      <c r="T18" s="19">
        <f t="shared" si="3"/>
        <v>4</v>
      </c>
      <c r="U18" s="15">
        <f t="shared" si="4"/>
        <v>7</v>
      </c>
      <c r="V18" s="15">
        <f t="shared" si="5"/>
        <v>5</v>
      </c>
    </row>
    <row r="19" spans="1:22" ht="87" customHeight="1" x14ac:dyDescent="0.2">
      <c r="A19" s="73">
        <v>11</v>
      </c>
      <c r="B19" s="77" t="s">
        <v>113</v>
      </c>
      <c r="C19" s="80" t="s">
        <v>114</v>
      </c>
      <c r="D19" s="20">
        <v>3</v>
      </c>
      <c r="E19" s="13" t="s">
        <v>20</v>
      </c>
      <c r="F19" s="68" t="str">
        <f t="shared" si="0"/>
        <v>M</v>
      </c>
      <c r="G19" s="94" t="s">
        <v>115</v>
      </c>
      <c r="H19" s="95"/>
      <c r="I19" s="96"/>
      <c r="J19" s="97"/>
      <c r="K19" s="20">
        <v>1</v>
      </c>
      <c r="L19" s="13" t="s">
        <v>21</v>
      </c>
      <c r="M19" s="64" t="str">
        <f t="shared" si="1"/>
        <v>L</v>
      </c>
      <c r="Q19" s="14"/>
      <c r="R19" s="15"/>
      <c r="S19" s="19">
        <f t="shared" si="2"/>
        <v>3</v>
      </c>
      <c r="T19" s="19">
        <f t="shared" si="3"/>
        <v>3</v>
      </c>
      <c r="U19" s="15">
        <f t="shared" si="4"/>
        <v>6</v>
      </c>
      <c r="V19" s="15">
        <f t="shared" si="5"/>
        <v>4</v>
      </c>
    </row>
    <row r="20" spans="1:22" ht="123" customHeight="1" x14ac:dyDescent="0.2">
      <c r="A20" s="73">
        <v>12</v>
      </c>
      <c r="B20" s="77" t="s">
        <v>116</v>
      </c>
      <c r="C20" s="81" t="s">
        <v>117</v>
      </c>
      <c r="D20" s="20">
        <v>4</v>
      </c>
      <c r="E20" s="13" t="s">
        <v>22</v>
      </c>
      <c r="F20" s="68" t="str">
        <f t="shared" si="0"/>
        <v>M</v>
      </c>
      <c r="G20" s="94" t="s">
        <v>118</v>
      </c>
      <c r="H20" s="95"/>
      <c r="I20" s="96"/>
      <c r="J20" s="97"/>
      <c r="K20" s="20">
        <v>1</v>
      </c>
      <c r="L20" s="13" t="s">
        <v>23</v>
      </c>
      <c r="M20" s="64" t="str">
        <f t="shared" si="1"/>
        <v>L</v>
      </c>
      <c r="Q20" s="14"/>
      <c r="R20" s="15"/>
      <c r="S20" s="19">
        <f t="shared" si="2"/>
        <v>3</v>
      </c>
      <c r="T20" s="19">
        <f t="shared" si="3"/>
        <v>3</v>
      </c>
      <c r="U20" s="15">
        <f t="shared" si="4"/>
        <v>7</v>
      </c>
      <c r="V20" s="15">
        <f t="shared" si="5"/>
        <v>4</v>
      </c>
    </row>
    <row r="21" spans="1:22" ht="87" customHeight="1" x14ac:dyDescent="0.2">
      <c r="A21" s="73">
        <v>13</v>
      </c>
      <c r="B21" s="77" t="s">
        <v>119</v>
      </c>
      <c r="C21" s="77" t="s">
        <v>120</v>
      </c>
      <c r="D21" s="20">
        <v>3</v>
      </c>
      <c r="E21" s="13" t="s">
        <v>24</v>
      </c>
      <c r="F21" s="68" t="str">
        <f t="shared" si="0"/>
        <v>M</v>
      </c>
      <c r="G21" s="94" t="s">
        <v>121</v>
      </c>
      <c r="H21" s="95"/>
      <c r="I21" s="96"/>
      <c r="J21" s="97"/>
      <c r="K21" s="20">
        <v>1</v>
      </c>
      <c r="L21" s="13" t="s">
        <v>25</v>
      </c>
      <c r="M21" s="64" t="str">
        <f t="shared" si="1"/>
        <v>L</v>
      </c>
      <c r="Q21" s="14"/>
      <c r="R21" s="15"/>
      <c r="S21" s="19">
        <f t="shared" si="2"/>
        <v>3</v>
      </c>
      <c r="T21" s="19">
        <f t="shared" si="3"/>
        <v>3</v>
      </c>
      <c r="U21" s="15">
        <f t="shared" si="4"/>
        <v>6</v>
      </c>
      <c r="V21" s="15">
        <f t="shared" si="5"/>
        <v>4</v>
      </c>
    </row>
    <row r="22" spans="1:22" ht="15" x14ac:dyDescent="0.2">
      <c r="A22" s="73">
        <v>14</v>
      </c>
      <c r="B22" s="75"/>
      <c r="C22" s="76"/>
      <c r="D22" s="20"/>
      <c r="E22" s="13"/>
      <c r="F22" s="68" t="str">
        <f t="shared" si="0"/>
        <v/>
      </c>
      <c r="G22" s="88"/>
      <c r="H22" s="89"/>
      <c r="I22" s="90"/>
      <c r="J22" s="91"/>
      <c r="K22" s="20"/>
      <c r="L22" s="13"/>
      <c r="M22" s="64" t="str">
        <f t="shared" si="1"/>
        <v/>
      </c>
      <c r="Q22" s="14"/>
      <c r="R22" s="15"/>
      <c r="S22" s="19" t="str">
        <f t="shared" si="2"/>
        <v/>
      </c>
      <c r="T22" s="19" t="str">
        <f t="shared" si="3"/>
        <v/>
      </c>
      <c r="U22" s="15" t="e">
        <f t="shared" si="4"/>
        <v>#VALUE!</v>
      </c>
      <c r="V22" s="15" t="e">
        <f t="shared" si="5"/>
        <v>#VALUE!</v>
      </c>
    </row>
    <row r="23" spans="1:22" x14ac:dyDescent="0.2">
      <c r="A23" s="58"/>
      <c r="M23" s="57"/>
    </row>
    <row r="24" spans="1:22" ht="49.5" customHeight="1" x14ac:dyDescent="0.2">
      <c r="A24" s="148" t="s">
        <v>122</v>
      </c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</row>
    <row r="25" spans="1:22" ht="29.25" customHeight="1" x14ac:dyDescent="0.2">
      <c r="A25" s="183" t="s">
        <v>179</v>
      </c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</row>
    <row r="26" spans="1:22" ht="22.5" customHeight="1" x14ac:dyDescent="0.35">
      <c r="A26" s="185" t="s">
        <v>123</v>
      </c>
      <c r="B26" s="186"/>
      <c r="C26" s="186"/>
      <c r="D26" s="187"/>
      <c r="E26" s="187"/>
      <c r="F26" s="187"/>
      <c r="G26" s="188"/>
      <c r="H26" s="189"/>
      <c r="I26" s="189"/>
      <c r="J26" s="189"/>
      <c r="K26" s="189"/>
      <c r="L26" s="190"/>
      <c r="M26" s="191"/>
    </row>
    <row r="27" spans="1:22" ht="48" customHeight="1" x14ac:dyDescent="0.2">
      <c r="A27" s="131" t="s">
        <v>124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3"/>
    </row>
    <row r="28" spans="1:22" s="9" customFormat="1" ht="15" customHeight="1" x14ac:dyDescent="0.2">
      <c r="A28" s="136" t="s">
        <v>180</v>
      </c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8"/>
      <c r="N28" s="8"/>
      <c r="O28" s="8"/>
      <c r="P28" s="8"/>
      <c r="Q28" s="16"/>
    </row>
    <row r="29" spans="1:22" s="9" customFormat="1" ht="45" customHeight="1" x14ac:dyDescent="0.2">
      <c r="A29" s="65">
        <v>1</v>
      </c>
      <c r="B29" s="114" t="s">
        <v>125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6"/>
      <c r="N29" s="8"/>
      <c r="O29" s="8"/>
      <c r="P29" s="8"/>
      <c r="Q29" s="16"/>
    </row>
    <row r="30" spans="1:22" s="9" customFormat="1" ht="45" customHeight="1" x14ac:dyDescent="0.2">
      <c r="A30" s="65">
        <v>2</v>
      </c>
      <c r="B30" s="111" t="s">
        <v>126</v>
      </c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3"/>
      <c r="N30" s="8"/>
      <c r="O30" s="8"/>
      <c r="P30" s="8"/>
      <c r="Q30" s="16"/>
    </row>
    <row r="31" spans="1:22" s="9" customFormat="1" ht="45" customHeight="1" x14ac:dyDescent="0.2">
      <c r="A31" s="65">
        <v>3</v>
      </c>
      <c r="B31" s="114" t="s">
        <v>127</v>
      </c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6"/>
      <c r="N31" s="8"/>
      <c r="P31" s="8"/>
      <c r="Q31" s="16"/>
    </row>
    <row r="32" spans="1:22" s="9" customFormat="1" ht="45" customHeight="1" x14ac:dyDescent="0.2">
      <c r="A32" s="65">
        <v>4</v>
      </c>
      <c r="B32" s="111" t="s">
        <v>128</v>
      </c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3"/>
      <c r="N32" s="8"/>
      <c r="P32" s="8"/>
      <c r="Q32" s="16"/>
    </row>
    <row r="33" spans="1:17" s="9" customFormat="1" ht="45" customHeight="1" x14ac:dyDescent="0.2">
      <c r="A33" s="65">
        <v>5</v>
      </c>
      <c r="B33" s="114" t="s">
        <v>129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6"/>
      <c r="N33" s="8"/>
      <c r="P33" s="8"/>
      <c r="Q33" s="16"/>
    </row>
    <row r="34" spans="1:17" s="9" customFormat="1" ht="45" customHeight="1" x14ac:dyDescent="0.2">
      <c r="A34" s="65">
        <v>6</v>
      </c>
      <c r="B34" s="111" t="s">
        <v>130</v>
      </c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3"/>
      <c r="N34" s="8"/>
      <c r="P34" s="8"/>
      <c r="Q34" s="16"/>
    </row>
    <row r="35" spans="1:17" s="9" customFormat="1" ht="45" customHeight="1" x14ac:dyDescent="0.2">
      <c r="A35" s="65">
        <v>7</v>
      </c>
      <c r="B35" s="114" t="s">
        <v>131</v>
      </c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6"/>
      <c r="N35" s="8"/>
      <c r="P35" s="8"/>
      <c r="Q35" s="16"/>
    </row>
    <row r="36" spans="1:17" s="9" customFormat="1" ht="45" customHeight="1" x14ac:dyDescent="0.2">
      <c r="A36" s="65">
        <v>8</v>
      </c>
      <c r="B36" s="114" t="s">
        <v>132</v>
      </c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6"/>
      <c r="N36" s="8"/>
      <c r="P36" s="8"/>
      <c r="Q36" s="16"/>
    </row>
    <row r="37" spans="1:17" s="9" customFormat="1" ht="45" customHeight="1" x14ac:dyDescent="0.2">
      <c r="A37" s="65">
        <v>9</v>
      </c>
      <c r="B37" s="114" t="s">
        <v>133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6"/>
      <c r="N37" s="8"/>
      <c r="P37" s="8"/>
      <c r="Q37" s="16"/>
    </row>
    <row r="38" spans="1:17" s="9" customFormat="1" ht="45" customHeight="1" x14ac:dyDescent="0.2">
      <c r="A38" s="65">
        <v>10</v>
      </c>
      <c r="B38" s="117" t="s">
        <v>134</v>
      </c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9"/>
      <c r="N38" s="8"/>
      <c r="P38" s="8"/>
      <c r="Q38" s="16"/>
    </row>
    <row r="39" spans="1:17" s="9" customFormat="1" ht="45" customHeight="1" x14ac:dyDescent="0.2">
      <c r="A39" s="65">
        <v>11</v>
      </c>
      <c r="B39" s="114" t="s">
        <v>135</v>
      </c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6"/>
      <c r="N39" s="8"/>
      <c r="P39" s="8"/>
      <c r="Q39" s="16"/>
    </row>
    <row r="40" spans="1:17" s="9" customFormat="1" ht="45" customHeight="1" x14ac:dyDescent="0.2">
      <c r="A40" s="65">
        <v>12</v>
      </c>
      <c r="B40" s="114" t="s">
        <v>136</v>
      </c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6"/>
      <c r="N40" s="8"/>
      <c r="P40" s="8"/>
      <c r="Q40" s="16"/>
    </row>
    <row r="41" spans="1:17" s="9" customFormat="1" ht="45" customHeight="1" x14ac:dyDescent="0.2">
      <c r="A41" s="65">
        <v>13</v>
      </c>
      <c r="B41" s="114" t="s">
        <v>137</v>
      </c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6"/>
      <c r="N41" s="8"/>
      <c r="P41" s="8"/>
      <c r="Q41" s="16"/>
    </row>
    <row r="42" spans="1:17" s="9" customFormat="1" ht="45" customHeight="1" x14ac:dyDescent="0.2">
      <c r="A42" s="65">
        <v>14</v>
      </c>
      <c r="B42" s="114" t="s">
        <v>138</v>
      </c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6"/>
      <c r="N42" s="8"/>
      <c r="P42" s="8"/>
      <c r="Q42" s="16"/>
    </row>
    <row r="43" spans="1:17" s="9" customFormat="1" ht="45" customHeight="1" x14ac:dyDescent="0.2">
      <c r="A43" s="65">
        <v>15</v>
      </c>
      <c r="B43" s="114" t="s">
        <v>139</v>
      </c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6"/>
      <c r="Q43" s="17"/>
    </row>
    <row r="44" spans="1:17" ht="45" customHeight="1" x14ac:dyDescent="0.2">
      <c r="A44" s="134" t="s">
        <v>140</v>
      </c>
      <c r="B44" s="134"/>
      <c r="C44" s="134"/>
      <c r="D44" s="134"/>
      <c r="E44" s="134"/>
      <c r="F44" s="134"/>
      <c r="G44" s="134"/>
      <c r="H44" s="135"/>
      <c r="I44" s="135"/>
      <c r="J44" s="135"/>
      <c r="K44" s="135"/>
      <c r="L44" s="135"/>
      <c r="M44" s="135"/>
    </row>
    <row r="45" spans="1:17" ht="25.5" customHeight="1" x14ac:dyDescent="0.2">
      <c r="A45" s="192" t="s">
        <v>141</v>
      </c>
      <c r="B45" s="193"/>
      <c r="C45" s="194" t="s">
        <v>142</v>
      </c>
      <c r="D45" s="192" t="s">
        <v>143</v>
      </c>
      <c r="E45" s="195"/>
      <c r="F45" s="195"/>
      <c r="G45" s="193"/>
      <c r="H45" s="192" t="s">
        <v>144</v>
      </c>
      <c r="I45" s="195"/>
      <c r="J45" s="195"/>
      <c r="K45" s="195"/>
      <c r="L45" s="195"/>
      <c r="M45" s="193"/>
    </row>
    <row r="46" spans="1:17" ht="18" customHeight="1" x14ac:dyDescent="0.2">
      <c r="A46" s="120"/>
      <c r="B46" s="121"/>
      <c r="C46" s="6"/>
      <c r="D46" s="120"/>
      <c r="E46" s="125"/>
      <c r="F46" s="125"/>
      <c r="G46" s="121"/>
      <c r="H46" s="122"/>
      <c r="I46" s="123"/>
      <c r="J46" s="123"/>
      <c r="K46" s="123"/>
      <c r="L46" s="123"/>
      <c r="M46" s="124"/>
    </row>
    <row r="47" spans="1:17" ht="18" customHeight="1" x14ac:dyDescent="0.2">
      <c r="A47" s="120"/>
      <c r="B47" s="121"/>
      <c r="C47" s="6"/>
      <c r="D47" s="120"/>
      <c r="E47" s="125"/>
      <c r="F47" s="125"/>
      <c r="G47" s="121"/>
      <c r="H47" s="122"/>
      <c r="I47" s="123"/>
      <c r="J47" s="123"/>
      <c r="K47" s="123"/>
      <c r="L47" s="123"/>
      <c r="M47" s="124"/>
    </row>
    <row r="48" spans="1:17" ht="18" customHeight="1" x14ac:dyDescent="0.2">
      <c r="A48" s="120"/>
      <c r="B48" s="121"/>
      <c r="C48" s="6"/>
      <c r="D48" s="120"/>
      <c r="E48" s="125"/>
      <c r="F48" s="125"/>
      <c r="G48" s="121"/>
      <c r="H48" s="122"/>
      <c r="I48" s="123"/>
      <c r="J48" s="123"/>
      <c r="K48" s="123"/>
      <c r="L48" s="123"/>
      <c r="M48" s="124"/>
    </row>
    <row r="49" spans="1:13" ht="18" customHeight="1" x14ac:dyDescent="0.2">
      <c r="A49" s="120"/>
      <c r="B49" s="121"/>
      <c r="C49" s="6"/>
      <c r="D49" s="120"/>
      <c r="E49" s="125"/>
      <c r="F49" s="125"/>
      <c r="G49" s="121"/>
      <c r="H49" s="120"/>
      <c r="I49" s="125"/>
      <c r="J49" s="125"/>
      <c r="K49" s="125"/>
      <c r="L49" s="125"/>
      <c r="M49" s="121"/>
    </row>
    <row r="50" spans="1:13" ht="18" customHeight="1" x14ac:dyDescent="0.2">
      <c r="A50" s="120"/>
      <c r="B50" s="121"/>
      <c r="C50" s="6"/>
      <c r="D50" s="120"/>
      <c r="E50" s="125"/>
      <c r="F50" s="125"/>
      <c r="G50" s="124"/>
      <c r="H50" s="120"/>
      <c r="I50" s="125"/>
      <c r="J50" s="125"/>
      <c r="K50" s="125"/>
      <c r="L50" s="125"/>
      <c r="M50" s="121"/>
    </row>
    <row r="51" spans="1:13" ht="33.75" customHeight="1" x14ac:dyDescent="0.2">
      <c r="A51" s="117" t="s">
        <v>145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30"/>
    </row>
    <row r="52" spans="1:13" ht="20.25" customHeight="1" x14ac:dyDescent="0.2">
      <c r="A52" s="196" t="s">
        <v>146</v>
      </c>
      <c r="B52" s="196"/>
      <c r="C52" s="197" t="s">
        <v>147</v>
      </c>
      <c r="D52" s="198" t="s">
        <v>148</v>
      </c>
      <c r="E52" s="199"/>
      <c r="F52" s="200"/>
      <c r="G52" s="139"/>
      <c r="H52" s="140"/>
      <c r="I52" s="140"/>
      <c r="J52" s="140"/>
      <c r="K52" s="140"/>
      <c r="L52" s="140"/>
      <c r="M52" s="141"/>
    </row>
    <row r="53" spans="1:13" ht="45" customHeight="1" x14ac:dyDescent="0.2">
      <c r="A53" s="126"/>
      <c r="B53" s="128"/>
      <c r="C53" s="10"/>
      <c r="D53" s="201"/>
      <c r="E53" s="202"/>
      <c r="F53" s="203"/>
      <c r="G53" s="142"/>
      <c r="H53" s="143"/>
      <c r="I53" s="143"/>
      <c r="J53" s="143"/>
      <c r="K53" s="143"/>
      <c r="L53" s="143"/>
      <c r="M53" s="144"/>
    </row>
    <row r="54" spans="1:13" s="11" customFormat="1" ht="15" customHeight="1" x14ac:dyDescent="0.2">
      <c r="A54" s="66"/>
      <c r="M54" s="67"/>
    </row>
    <row r="55" spans="1:13" ht="85.5" customHeight="1" x14ac:dyDescent="0.2">
      <c r="A55" s="204" t="s">
        <v>149</v>
      </c>
      <c r="B55" s="177"/>
      <c r="C55" s="126"/>
      <c r="D55" s="127"/>
      <c r="E55" s="127"/>
      <c r="F55" s="127"/>
      <c r="G55" s="127"/>
      <c r="H55" s="127"/>
      <c r="I55" s="127"/>
      <c r="J55" s="127"/>
      <c r="K55" s="127"/>
      <c r="L55" s="127"/>
      <c r="M55" s="128"/>
    </row>
    <row r="56" spans="1:13" s="12" customFormat="1" ht="24" customHeight="1" x14ac:dyDescent="0.2">
      <c r="A56" s="134" t="s">
        <v>150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</row>
  </sheetData>
  <sheetProtection formatCells="0" formatColumns="0" formatRows="0" insertColumns="0" insertRows="0" insertHyperlinks="0" deleteColumns="0" deleteRows="0" sort="0" autoFilter="0" pivotTables="0"/>
  <mergeCells count="72">
    <mergeCell ref="G52:M53"/>
    <mergeCell ref="A6:B6"/>
    <mergeCell ref="H7:J7"/>
    <mergeCell ref="A56:M56"/>
    <mergeCell ref="A7:B7"/>
    <mergeCell ref="A24:M24"/>
    <mergeCell ref="B37:M37"/>
    <mergeCell ref="B42:M42"/>
    <mergeCell ref="B39:M39"/>
    <mergeCell ref="B40:M40"/>
    <mergeCell ref="B41:M41"/>
    <mergeCell ref="K7:M7"/>
    <mergeCell ref="D7:F7"/>
    <mergeCell ref="D45:G45"/>
    <mergeCell ref="D46:G46"/>
    <mergeCell ref="A55:B55"/>
    <mergeCell ref="C55:M55"/>
    <mergeCell ref="A51:M51"/>
    <mergeCell ref="A27:M27"/>
    <mergeCell ref="B29:M29"/>
    <mergeCell ref="B30:M30"/>
    <mergeCell ref="B31:M31"/>
    <mergeCell ref="A44:M44"/>
    <mergeCell ref="A52:B52"/>
    <mergeCell ref="B34:M34"/>
    <mergeCell ref="A53:B53"/>
    <mergeCell ref="A28:M28"/>
    <mergeCell ref="H50:M50"/>
    <mergeCell ref="D49:G49"/>
    <mergeCell ref="D50:G50"/>
    <mergeCell ref="D52:F53"/>
    <mergeCell ref="A50:B50"/>
    <mergeCell ref="A49:B49"/>
    <mergeCell ref="A48:B48"/>
    <mergeCell ref="D48:G48"/>
    <mergeCell ref="H47:M47"/>
    <mergeCell ref="H48:M48"/>
    <mergeCell ref="H49:M49"/>
    <mergeCell ref="D47:G47"/>
    <mergeCell ref="B38:M38"/>
    <mergeCell ref="B43:M43"/>
    <mergeCell ref="A47:B47"/>
    <mergeCell ref="H45:M45"/>
    <mergeCell ref="H46:M46"/>
    <mergeCell ref="A45:B45"/>
    <mergeCell ref="A46:B46"/>
    <mergeCell ref="A25:M25"/>
    <mergeCell ref="B32:M32"/>
    <mergeCell ref="B33:M33"/>
    <mergeCell ref="B36:M36"/>
    <mergeCell ref="B35:M35"/>
    <mergeCell ref="J3:M3"/>
    <mergeCell ref="J4:M4"/>
    <mergeCell ref="C3:H3"/>
    <mergeCell ref="G14:J14"/>
    <mergeCell ref="G13:J13"/>
    <mergeCell ref="A1:B4"/>
    <mergeCell ref="G22:J22"/>
    <mergeCell ref="K6:M6"/>
    <mergeCell ref="G8:J8"/>
    <mergeCell ref="G9:J9"/>
    <mergeCell ref="G10:J10"/>
    <mergeCell ref="G11:J11"/>
    <mergeCell ref="G12:J12"/>
    <mergeCell ref="G20:J20"/>
    <mergeCell ref="G21:J21"/>
    <mergeCell ref="G15:J15"/>
    <mergeCell ref="G16:J16"/>
    <mergeCell ref="G17:J17"/>
    <mergeCell ref="G18:J18"/>
    <mergeCell ref="G19:J19"/>
    <mergeCell ref="J2:M2"/>
  </mergeCells>
  <phoneticPr fontId="0" type="noConversion"/>
  <conditionalFormatting sqref="F9:F22 M9:M22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disablePrompts="1" count="2">
    <dataValidation type="list" allowBlank="1" showInputMessage="1" showErrorMessage="1" sqref="K9:K22 D9:D22" xr:uid="{00000000-0002-0000-0000-000000000000}">
      <formula1>$Q$2:$Q$7</formula1>
    </dataValidation>
    <dataValidation type="list" allowBlank="1" showInputMessage="1" showErrorMessage="1" sqref="L9:L22 E9:E22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horizontalDpi="300" verticalDpi="300" copies="3" r:id="rId1"/>
  <headerFooter>
    <oddFooter>&amp;L&amp;8&amp;K000000Issue date: 03-03-2017 Revision: 02Document owner: Group SHEQ Manager.&amp;R&amp;8&amp;P/&amp;N</oddFooter>
  </headerFooter>
  <rowBreaks count="1" manualBreakCount="1">
    <brk id="25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312E6-7734-4D2A-BD4B-B30C9BE4B608}">
  <dimension ref="A1:V34"/>
  <sheetViews>
    <sheetView tabSelected="1" showWhiteSpace="0" view="pageLayout" topLeftCell="A33" workbookViewId="0">
      <selection sqref="A1:C3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165"/>
      <c r="B1" s="165"/>
      <c r="C1" s="165"/>
      <c r="D1" s="205"/>
      <c r="E1" s="205"/>
      <c r="F1" s="205"/>
      <c r="G1" s="1"/>
      <c r="H1" s="1"/>
      <c r="I1" s="206"/>
      <c r="J1" s="206"/>
      <c r="O1" s="14" t="s">
        <v>26</v>
      </c>
      <c r="P1" s="14" t="s">
        <v>27</v>
      </c>
      <c r="Q1" s="14" t="s">
        <v>28</v>
      </c>
      <c r="R1" s="14" t="s">
        <v>29</v>
      </c>
      <c r="S1" s="14" t="s">
        <v>30</v>
      </c>
      <c r="T1" s="14" t="s">
        <v>31</v>
      </c>
      <c r="U1" s="18" t="s">
        <v>32</v>
      </c>
      <c r="V1" s="2"/>
    </row>
    <row r="2" spans="1:22" ht="25.5" customHeight="1" x14ac:dyDescent="0.2">
      <c r="A2" s="165"/>
      <c r="B2" s="165"/>
      <c r="C2" s="165"/>
      <c r="D2" s="207" t="s">
        <v>151</v>
      </c>
      <c r="E2" s="105"/>
      <c r="F2" s="105"/>
      <c r="G2" s="105"/>
      <c r="H2" s="105"/>
      <c r="I2" s="208"/>
      <c r="J2" s="208"/>
      <c r="N2" s="7"/>
      <c r="O2" s="14">
        <v>1</v>
      </c>
      <c r="P2" s="14" t="s">
        <v>33</v>
      </c>
      <c r="Q2" s="15"/>
      <c r="R2" s="15"/>
      <c r="S2" s="15"/>
      <c r="T2" s="15"/>
      <c r="U2" s="18" t="s">
        <v>34</v>
      </c>
      <c r="V2" s="5"/>
    </row>
    <row r="3" spans="1:22" ht="25.5" customHeight="1" x14ac:dyDescent="0.2">
      <c r="A3" s="165"/>
      <c r="B3" s="165"/>
      <c r="C3" s="165"/>
      <c r="D3" s="49"/>
      <c r="E3" s="49"/>
      <c r="F3" s="49"/>
      <c r="G3" s="49"/>
      <c r="H3" s="49"/>
      <c r="I3" s="209"/>
      <c r="J3" s="209"/>
      <c r="K3" s="49"/>
      <c r="L3" s="49"/>
      <c r="M3" s="22"/>
    </row>
    <row r="4" spans="1:22" ht="17.45" customHeight="1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25.15" customHeight="1" thickBot="1" x14ac:dyDescent="0.25">
      <c r="A5" s="157" t="s">
        <v>85</v>
      </c>
      <c r="B5" s="158"/>
      <c r="C5" s="166" t="s">
        <v>152</v>
      </c>
      <c r="D5" s="167"/>
      <c r="E5" s="167"/>
      <c r="F5" s="167"/>
      <c r="G5" s="168"/>
      <c r="H5" s="166" t="s">
        <v>153</v>
      </c>
      <c r="I5" s="167"/>
      <c r="J5" s="167"/>
      <c r="K5" s="167"/>
      <c r="L5" s="168"/>
      <c r="M5" s="22"/>
    </row>
    <row r="6" spans="1:22" ht="20.25" customHeight="1" thickBot="1" x14ac:dyDescent="0.25">
      <c r="A6" s="159"/>
      <c r="B6" s="160"/>
      <c r="C6" s="210" t="s">
        <v>154</v>
      </c>
      <c r="D6" s="210" t="s">
        <v>155</v>
      </c>
      <c r="E6" s="210" t="s">
        <v>156</v>
      </c>
      <c r="F6" s="210" t="s">
        <v>184</v>
      </c>
      <c r="G6" s="210" t="s">
        <v>185</v>
      </c>
      <c r="H6" s="69" t="s">
        <v>41</v>
      </c>
      <c r="I6" s="69" t="s">
        <v>42</v>
      </c>
      <c r="J6" s="69" t="s">
        <v>43</v>
      </c>
      <c r="K6" s="21" t="s">
        <v>39</v>
      </c>
      <c r="L6" s="21" t="s">
        <v>40</v>
      </c>
      <c r="M6" s="22"/>
    </row>
    <row r="7" spans="1:22" ht="112.5" x14ac:dyDescent="0.2">
      <c r="A7" s="159"/>
      <c r="B7" s="160"/>
      <c r="C7" s="211"/>
      <c r="D7" s="211"/>
      <c r="E7" s="211"/>
      <c r="F7" s="211"/>
      <c r="G7" s="211"/>
      <c r="H7" s="70" t="s">
        <v>157</v>
      </c>
      <c r="I7" s="70" t="s">
        <v>158</v>
      </c>
      <c r="J7" s="70" t="s">
        <v>159</v>
      </c>
      <c r="K7" s="23" t="s">
        <v>59</v>
      </c>
      <c r="L7" s="23" t="s">
        <v>60</v>
      </c>
      <c r="M7" s="22"/>
    </row>
    <row r="8" spans="1:22" ht="12.75" customHeight="1" x14ac:dyDescent="0.2">
      <c r="A8" s="159"/>
      <c r="B8" s="160"/>
      <c r="C8" s="211"/>
      <c r="D8" s="211"/>
      <c r="E8" s="211"/>
      <c r="F8" s="211"/>
      <c r="G8" s="211"/>
      <c r="H8" s="163" t="s">
        <v>186</v>
      </c>
      <c r="I8" s="163" t="s">
        <v>160</v>
      </c>
      <c r="J8" s="163" t="s">
        <v>161</v>
      </c>
      <c r="K8" s="163" t="s">
        <v>61</v>
      </c>
      <c r="L8" s="163" t="s">
        <v>62</v>
      </c>
      <c r="M8" s="22"/>
    </row>
    <row r="9" spans="1:22" ht="40.5" customHeight="1" thickBot="1" x14ac:dyDescent="0.25">
      <c r="A9" s="161"/>
      <c r="B9" s="162"/>
      <c r="C9" s="212"/>
      <c r="D9" s="212"/>
      <c r="E9" s="212"/>
      <c r="F9" s="212"/>
      <c r="G9" s="212"/>
      <c r="H9" s="164"/>
      <c r="I9" s="164"/>
      <c r="J9" s="164"/>
      <c r="K9" s="164"/>
      <c r="L9" s="164"/>
      <c r="M9" s="22"/>
    </row>
    <row r="10" spans="1:22" ht="49.5" customHeight="1" x14ac:dyDescent="0.2">
      <c r="A10" s="153">
        <v>1</v>
      </c>
      <c r="B10" s="154"/>
      <c r="C10" s="38" t="s">
        <v>187</v>
      </c>
      <c r="D10" s="38" t="s">
        <v>162</v>
      </c>
      <c r="E10" s="38" t="s">
        <v>163</v>
      </c>
      <c r="F10" s="38" t="s">
        <v>164</v>
      </c>
      <c r="G10" s="39" t="s">
        <v>165</v>
      </c>
      <c r="H10" s="30" t="s">
        <v>44</v>
      </c>
      <c r="I10" s="31" t="s">
        <v>45</v>
      </c>
      <c r="J10" s="31" t="s">
        <v>46</v>
      </c>
      <c r="K10" s="40" t="s">
        <v>63</v>
      </c>
      <c r="L10" s="32" t="s">
        <v>64</v>
      </c>
      <c r="M10" s="22"/>
    </row>
    <row r="11" spans="1:22" ht="64.5" customHeight="1" x14ac:dyDescent="0.2">
      <c r="A11" s="155">
        <v>2</v>
      </c>
      <c r="B11" s="156"/>
      <c r="C11" s="24" t="s">
        <v>166</v>
      </c>
      <c r="D11" s="24" t="s">
        <v>188</v>
      </c>
      <c r="E11" s="38" t="s">
        <v>189</v>
      </c>
      <c r="F11" s="24" t="s">
        <v>167</v>
      </c>
      <c r="G11" s="28" t="s">
        <v>190</v>
      </c>
      <c r="H11" s="33" t="s">
        <v>47</v>
      </c>
      <c r="I11" s="34" t="s">
        <v>48</v>
      </c>
      <c r="J11" s="34" t="s">
        <v>49</v>
      </c>
      <c r="K11" s="35" t="s">
        <v>65</v>
      </c>
      <c r="L11" s="36" t="s">
        <v>66</v>
      </c>
      <c r="M11" s="22"/>
    </row>
    <row r="12" spans="1:22" ht="69" customHeight="1" x14ac:dyDescent="0.2">
      <c r="A12" s="155">
        <v>3</v>
      </c>
      <c r="B12" s="156"/>
      <c r="C12" s="24" t="s">
        <v>191</v>
      </c>
      <c r="D12" s="24" t="s">
        <v>192</v>
      </c>
      <c r="E12" s="38" t="s">
        <v>168</v>
      </c>
      <c r="F12" s="24" t="s">
        <v>169</v>
      </c>
      <c r="G12" s="28" t="s">
        <v>193</v>
      </c>
      <c r="H12" s="33" t="s">
        <v>50</v>
      </c>
      <c r="I12" s="34" t="s">
        <v>51</v>
      </c>
      <c r="J12" s="35" t="s">
        <v>52</v>
      </c>
      <c r="K12" s="35" t="s">
        <v>67</v>
      </c>
      <c r="L12" s="41" t="s">
        <v>68</v>
      </c>
      <c r="M12" s="22"/>
    </row>
    <row r="13" spans="1:22" ht="78.75" customHeight="1" x14ac:dyDescent="0.2">
      <c r="A13" s="155">
        <v>4</v>
      </c>
      <c r="B13" s="156"/>
      <c r="C13" s="24" t="s">
        <v>170</v>
      </c>
      <c r="D13" s="24" t="s">
        <v>194</v>
      </c>
      <c r="E13" s="38" t="s">
        <v>171</v>
      </c>
      <c r="F13" s="24" t="s">
        <v>172</v>
      </c>
      <c r="G13" s="28" t="s">
        <v>173</v>
      </c>
      <c r="H13" s="33" t="s">
        <v>53</v>
      </c>
      <c r="I13" s="35" t="s">
        <v>54</v>
      </c>
      <c r="J13" s="35" t="s">
        <v>55</v>
      </c>
      <c r="K13" s="42" t="s">
        <v>69</v>
      </c>
      <c r="L13" s="41" t="s">
        <v>70</v>
      </c>
      <c r="M13" s="22"/>
    </row>
    <row r="14" spans="1:22" ht="75" customHeight="1" thickBot="1" x14ac:dyDescent="0.25">
      <c r="A14" s="151">
        <v>5</v>
      </c>
      <c r="B14" s="152"/>
      <c r="C14" s="25" t="s">
        <v>174</v>
      </c>
      <c r="D14" s="25" t="s">
        <v>195</v>
      </c>
      <c r="E14" s="25" t="s">
        <v>175</v>
      </c>
      <c r="F14" s="25" t="s">
        <v>176</v>
      </c>
      <c r="G14" s="29" t="s">
        <v>177</v>
      </c>
      <c r="H14" s="45" t="s">
        <v>56</v>
      </c>
      <c r="I14" s="37" t="s">
        <v>57</v>
      </c>
      <c r="J14" s="43" t="s">
        <v>58</v>
      </c>
      <c r="K14" s="43" t="s">
        <v>71</v>
      </c>
      <c r="L14" s="44" t="s">
        <v>72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30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ht="12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21.7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63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idden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A14:B14"/>
    <mergeCell ref="K8:K9"/>
    <mergeCell ref="L8:L9"/>
    <mergeCell ref="A10:B10"/>
    <mergeCell ref="A11:B11"/>
    <mergeCell ref="A12:B12"/>
    <mergeCell ref="A13:B13"/>
    <mergeCell ref="E6:E9"/>
    <mergeCell ref="F6:F9"/>
    <mergeCell ref="G6:G9"/>
    <mergeCell ref="H8:H9"/>
    <mergeCell ref="I8:I9"/>
    <mergeCell ref="J8:J9"/>
    <mergeCell ref="A1:C3"/>
    <mergeCell ref="I1:J1"/>
    <mergeCell ref="D2:H2"/>
    <mergeCell ref="I2:J2"/>
    <mergeCell ref="I3:J3"/>
    <mergeCell ref="A5:B9"/>
    <mergeCell ref="C5:G5"/>
    <mergeCell ref="H5:L5"/>
    <mergeCell ref="C6:C9"/>
    <mergeCell ref="D6:D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A5DBCF-E2DA-4D23-9549-E8E78AF171AB}">
  <ds:schemaRefs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faa5c77d-98fa-4e50-863f-182fb51ee117"/>
    <ds:schemaRef ds:uri="5470fdc2-d5b4-45ba-ae4a-b04105b307e7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Dolzhikov Vladislav</cp:lastModifiedBy>
  <cp:lastPrinted>2014-11-10T14:56:30Z</cp:lastPrinted>
  <dcterms:created xsi:type="dcterms:W3CDTF">2011-02-21T14:14:41Z</dcterms:created>
  <dcterms:modified xsi:type="dcterms:W3CDTF">2025-02-26T14:20:49Z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