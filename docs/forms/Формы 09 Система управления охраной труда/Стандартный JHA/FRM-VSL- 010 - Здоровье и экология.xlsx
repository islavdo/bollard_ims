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265" windowHeight="11700" tabRatio="307"/>
  </bookViews>
  <sheets>
    <sheet name="АСОР" sheetId="1" r:id="rId1"/>
    <sheet name="МОР" sheetId="3" r:id="rId2"/>
  </sheets>
  <definedNames>
    <definedName name="Strongly_emphasise_each_individual_s__71" localSheetId="0">АСОР!$O$63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АСОР!$A$1:$M$50</definedName>
    <definedName name="_xlnm.Print_Area" localSheetId="1">МОР!$A$1:$V$34</definedName>
  </definedNames>
  <calcPr calcId="162913" concurrentCalc="0"/>
</workbook>
</file>

<file path=xl/calcChain.xml><?xml version="1.0" encoding="utf-8"?>
<calcChain xmlns="http://schemas.openxmlformats.org/spreadsheetml/2006/main">
  <c r="T18" i="1" l="1"/>
  <c r="V18" i="1"/>
  <c r="S22" i="1"/>
  <c r="U22" i="1"/>
  <c r="S18" i="1"/>
  <c r="U18" i="1"/>
  <c r="T22" i="1"/>
  <c r="V22" i="1"/>
  <c r="T14" i="1"/>
  <c r="V14" i="1"/>
  <c r="S14" i="1"/>
  <c r="U14" i="1"/>
  <c r="M14" i="1"/>
  <c r="F14" i="1"/>
  <c r="T13" i="1"/>
  <c r="V13" i="1"/>
  <c r="S13" i="1"/>
  <c r="U13" i="1"/>
  <c r="M13" i="1"/>
  <c r="T12" i="1"/>
  <c r="V12" i="1"/>
  <c r="S12" i="1"/>
  <c r="U12" i="1"/>
  <c r="M12" i="1"/>
  <c r="T11" i="1"/>
  <c r="V11" i="1"/>
  <c r="S11" i="1"/>
  <c r="U11" i="1"/>
  <c r="M11" i="1"/>
  <c r="F11" i="1"/>
  <c r="T10" i="1"/>
  <c r="V10" i="1"/>
  <c r="S10" i="1"/>
  <c r="U10" i="1"/>
  <c r="M10" i="1"/>
  <c r="F10" i="1"/>
  <c r="S17" i="1"/>
  <c r="U17" i="1"/>
  <c r="T17" i="1"/>
  <c r="V17" i="1"/>
  <c r="M17" i="1"/>
  <c r="T16" i="1"/>
  <c r="V16" i="1"/>
  <c r="S16" i="1"/>
  <c r="U16" i="1"/>
  <c r="M16" i="1"/>
  <c r="F16" i="1"/>
  <c r="T30" i="1"/>
  <c r="V30" i="1"/>
  <c r="S30" i="1"/>
  <c r="U30" i="1"/>
  <c r="T29" i="1"/>
  <c r="V29" i="1"/>
  <c r="S29" i="1"/>
  <c r="U29" i="1"/>
  <c r="T28" i="1"/>
  <c r="V28" i="1"/>
  <c r="S28" i="1"/>
  <c r="U28" i="1"/>
  <c r="T27" i="1"/>
  <c r="V27" i="1"/>
  <c r="S27" i="1"/>
  <c r="U27" i="1"/>
  <c r="T26" i="1"/>
  <c r="V26" i="1"/>
  <c r="S26" i="1"/>
  <c r="U26" i="1"/>
  <c r="T25" i="1"/>
  <c r="V25" i="1"/>
  <c r="S25" i="1"/>
  <c r="U25" i="1"/>
  <c r="T24" i="1"/>
  <c r="V24" i="1"/>
  <c r="S24" i="1"/>
  <c r="U24" i="1"/>
  <c r="T23" i="1"/>
  <c r="V23" i="1"/>
  <c r="S23" i="1"/>
  <c r="U23" i="1"/>
  <c r="T15" i="1"/>
  <c r="V15" i="1"/>
  <c r="M15" i="1"/>
  <c r="S15" i="1"/>
  <c r="U15" i="1"/>
  <c r="F15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<sst xmlns="http://schemas.openxmlformats.org/spreadsheetml/2006/main" count="206" uniqueCount="186">
  <si>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</si>
  <si>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</si>
  <si>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</si>
  <si>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</si>
  <si>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</si>
  <si>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</si>
  <si>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</si>
  <si>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</si>
  <si>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</si>
  <si>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</si>
  <si>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</si>
  <si>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</si>
  <si>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</si>
  <si>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</si>
  <si>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</si>
  <si>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</si>
  <si>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</si>
  <si>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</si>
  <si>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</si>
  <si>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</si>
  <si>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</si>
  <si>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</si>
  <si>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</si>
  <si>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</si>
  <si>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</si>
  <si>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</si>
  <si>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</si>
  <si>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</si>
  <si>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</si>
  <si>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</si>
  <si>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</si>
  <si>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</si>
  <si>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</si>
  <si>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</si>
  <si>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</si>
  <si>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</si>
  <si>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</si>
  <si>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</si>
  <si>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</si>
  <si>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</si>
  <si>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</si>
  <si>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</si>
  <si>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</si>
  <si>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</si>
  <si>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</si>
  <si>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</si>
  <si>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</si>
  <si>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</si>
  <si>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</si>
  <si>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</si>
  <si>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</si>
  <si>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</si>
  <si>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</si>
  <si>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</si>
  <si>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</si>
  <si>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</si>
  <si>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</si>
  <si>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</si>
  <si>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</si>
  <si>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</si>
  <si>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</si>
  <si>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</si>
  <si>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</si>
  <si>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</si>
  <si>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</si>
  <si>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</si>
  <si>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FRM-VSL-010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</si>
  <si>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</si>
  <si>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ЗДОРОВЬЕ И ЭКОЛОГИЯ</t>
  </si>
  <si>
    <t xml:space="preserve"> СТЕПЕНИ ОПАСНОСТИ РАБОТ (АСОР)</t>
  </si>
  <si>
    <t>Название судна</t>
  </si>
  <si>
    <t xml:space="preserve"> Описание работ</t>
  </si>
  <si>
    <t>Номер оценки рисков</t>
  </si>
  <si>
    <t>Дата</t>
  </si>
  <si>
    <t xml:space="preserve"> Исходный риск</t>
  </si>
  <si>
    <t xml:space="preserve"> Оборудование</t>
  </si>
  <si>
    <t>Этапы работ</t>
  </si>
  <si>
    <t>Этап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</si>
  <si>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</si>
  <si>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</si>
  <si>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</si>
  <si>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</si>
  <si>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</si>
  <si>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</si>
  <si>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>Остаточный риск</t>
  </si>
  <si>
    <t>Файл 09</t>
  </si>
  <si>
    <t>Срок хранения 3 года</t>
  </si>
  <si>
    <t>Уборка палубы</t>
  </si>
  <si>
    <t>Химикаты для чистки судов и сточные воды для техобслуживания могут " попасть за борт". Влияние на море/водные пути при загрязнении сточных вод химикатами.</t>
  </si>
  <si>
    <t xml:space="preserve">Сократите ненужные работы по очистке. b. Используйте, где это возможно, экологически чистые чистящие средства. c. "Смывайте" воду вдали от береговых сооружений. d. Если это возможно, сливайте воду в танки для сбора сточных вод. e. Обсудите проблему с экипажем с помощью обсуждения </t>
  </si>
  <si>
    <t>СИЗ, моющие , ЛКМ и другие хим.средства</t>
  </si>
  <si>
    <t>Покрасочные работы</t>
  </si>
  <si>
    <t>Выброс летучих органических компонентов (ЛОС) в атмосферу. Образование отходов при зачистке и покраске (ветошь, банки, кисти и т. д.) Воздействие на море/водоемы и атмосферу в результате просачивания и выброса в атмосферу. Травмы с потерей рабочего времени. Постоянная потеря трудоспособности или летальный исход в случае пожара, взрыва, поражения электрическим током или " распыления".</t>
  </si>
  <si>
    <t>Рассматривать отходы краски как опасные материалы и соблюдать процедуру. b. Обеспечить централизованное и надлежащее хранение всех красок и лакокрасочных материалов, размещать маркировку. c. Свести к минимуму количество запасов и общее использование путем информирования экипажа.</t>
  </si>
  <si>
    <t xml:space="preserve"> 
Общие условия на борту судна</t>
  </si>
  <si>
    <t xml:space="preserve">
Проблемы со здоровьем персонала из-за недостатка отдыха / антисанитарии / заражения / питьевой воды / питания / кондиционирования воздуха. Возможна госпитализация.</t>
  </si>
  <si>
    <t xml:space="preserve">Питьевая вода должна регулярно проверяться в лаборатории. Жилые помещения, включая камбузы, должны содержаться в чистоте. Грязную рабочую одежду и обувь не должны использовать в жилых помещениях. Отходы должны регулярно отправляться на берег. Отходы, хранящиеся на палубе, должны быть закрыты. Кондиционеры должны промываться. Экипажи должны получать правильное/питательное питание. </t>
  </si>
  <si>
    <t>Легионелла (бактерия)</t>
  </si>
  <si>
    <t>Развитие бактерий Legionella на борту, что приводит к многочисленным инфекциям и возможным случаям заболевания. Опасность для здоровья работников с возможной потерей рабочего времени из-за болезней</t>
  </si>
  <si>
    <t>Установить план контроля Legionella Температура воды должна быть измеряемой. Водопроводные краны / душевые лейки / места нерегулярного использования должны регулярно промываться. Регулярно подавайте хлорид в систему пресной воды. Регулярно проверяйте танки для хранения FW (1 раз в 6 месяцев)</t>
  </si>
  <si>
    <t>Выбросы в атмосферу</t>
  </si>
  <si>
    <t xml:space="preserve">Судно должно использовать береговое питание, где это возможно. Расход топлива должен контролироваться и, где это возможно, сокращаться с помощью таких средств, как экономичное плавание. Управление качеством топлива, то есть использование топлива с низким содержанием серы. Надлежащее техническое обслуживание двигателей, особенно топливных форсунок. Управление движением двигателя, т.е. в холодное время не создавать резкой нагрузки на двигатель. </t>
  </si>
  <si>
    <t xml:space="preserve">Выхлопные газы двигателя судна при нормальной работе. Выхлопные газы палубного генератора. Местное ухудшение качества воздуха. Локальное воздействие с ограниченным влиянием на окружающую среду обитания. </t>
  </si>
  <si>
    <t xml:space="preserve">Генерируемые / сбрасываемые сточные воды. </t>
  </si>
  <si>
    <t>Сброс льяльных вод или утечки/разливы при переливе льяльных вод. Сброс балластной воды.  Сброс серой воды или утечки / проливы при перекачке серой воды. Сброс черной воды или утечки / разливы при перекачке серой воды. Местное загрязнение воды г. 
загрязняющими веществами (например, химикатами, маслами), содержащимися в льяльных/балластных водах</t>
  </si>
  <si>
    <t>Используйте сооружения для очистки сточных вод. Используйте сепаратор трюмов. Сбрасывать сточные воды / трюмы в береговой приемный пункт. Сбрасывать отходы на такое расстояние от берега, которое позволяет капитан и целесообразно / в соответствии с директивами порта Тамань. Соблюдать местные требования и требования МАРПОЛ. Контролировать объемы с целью выявления тенденций (пытаться сократить).</t>
  </si>
  <si>
    <t>Шумообразование</t>
  </si>
  <si>
    <t>Шум, создаваемый двигателями, компрессорами, кранами, абразивными установками и другими работами общего назначения. Потенциальное воздействие на человеческие ресурсы в связи с работой судна вблизи населенных пунктов.</t>
  </si>
  <si>
    <t>Ограничьте время работы оборудования только основным использованием и в обычные часы, то есть не поздним вечером. Проинструктируйте экипаж по этому вопросу. Используйте береговое питание, где это возможно.</t>
  </si>
  <si>
    <t>Использование ресурсов</t>
  </si>
  <si>
    <t>Использование неэкологичных и невозобновляемых ресурсов, таких как топливо, вода, краски, смазочные материалы, жиры и т. д.</t>
  </si>
  <si>
    <t>Минимизируйте потери за счет правильного управления, то есть: Не покупайте чрезмерное количество товара, который приходится выбрасывать из-за истечения срока годности или плохого хранения / порчи. Используйте правильные объемы, не применяйте чрезмерное количество краски / смазки (следуйте рекомендациям производителя). Обсудите все вышеперечисленное с членами экипажа во время судового совещания. По возможности используйте экологически чистые продукты.</t>
  </si>
  <si>
    <t>Утилизация и хранение твердых 
отходов</t>
  </si>
  <si>
    <t>Неправильное хранение и утилизация бытовых и опасных отходов. Разлив за борт или на причал из-за неправильного хранения / загрязнение водных путей. Сброс в нерегулируемые места утилизации / загрязнение почвы и возможных водных путей.</t>
  </si>
  <si>
    <t>Отходы должны быть утилизированы в соответствии с процедурой. Необходимо соблюдать правила МАРПОЛ. 
Обсудить вопросы хранения и утилизации с экипажем на собраниях, посвященных обсуждению вопросов утилизации. Старший офицер. Все опасные материалы должны иметь маркировку. Регулярно осматривать контейнеры/площадки для хранения, чтобы убедиться, что они находятся в надлежащем состоянии. Разработайте процедуру утилизации, обеспечьте ее выполнение и раздайте экипажу. Типы отходов должны быть четко обозначены.</t>
  </si>
  <si>
    <t>Анализ степени опасности работ подлежит обсуждению на инструктаже в начале каждой смены как минимум.</t>
  </si>
  <si>
    <t xml:space="preserve">ПРИМЕЧАНИЕ: 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</si>
  <si>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t>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</si>
  <si>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</si>
  <si>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 xml:space="preserve"> 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</si>
  <si>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</si>
  <si>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</si>
  <si>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</si>
  <si>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</si>
  <si>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</si>
  <si>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</si>
  <si>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</si>
  <si>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</si>
  <si>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</si>
  <si>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</si>
  <si>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</si>
  <si>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</si>
  <si>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</si>
  <si>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</si>
  <si>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</si>
  <si>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</si>
  <si>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</si>
  <si>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</si>
  <si>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</si>
  <si>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</si>
  <si>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</si>
  <si>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</si>
  <si>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</si>
  <si>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</si>
  <si>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</si>
  <si>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</si>
  <si>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 xml:space="preserve"> ФАЙЛ 09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</si>
  <si>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</si>
  <si>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</si>
  <si>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</si>
  <si>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</si>
  <si>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</si>
  <si>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Репутация</t>
  </si>
  <si>
    <t>График</t>
  </si>
  <si>
    <t xml:space="preserve"> 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</si>
  <si>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</si>
  <si>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</si>
  <si>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Возможно</t>
  </si>
  <si>
    <t xml:space="preserve"> Маловероятно</t>
  </si>
  <si>
    <t xml:space="preserve"> Крайне маловероятно</t>
  </si>
  <si>
    <t>Травмы с оказанием доврачебной помощи</t>
  </si>
  <si>
    <t>Незначительное воздействие</t>
  </si>
  <si>
    <t xml:space="preserve"> Незначительное повреждение 
&lt; 500€ / евро</t>
  </si>
  <si>
    <t xml:space="preserve"> Незначительное негативное воздействие</t>
  </si>
  <si>
    <t xml:space="preserve"> Задержка 1 час</t>
  </si>
  <si>
    <t xml:space="preserve"> Медицинская помощь, травма с ограничением рабочих функций</t>
  </si>
  <si>
    <t xml:space="preserve"> Несущественное воздействие 
&lt; 10 литров</t>
  </si>
  <si>
    <t xml:space="preserve"> Несущественное повреждение 
&lt; 5000€ / евро</t>
  </si>
  <si>
    <t xml:space="preserve"> Несущественное негативное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</si>
  <si>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</si>
  <si>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</si>
  <si>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Умеренное воздействие
10 литров - 1 баррель</t>
  </si>
  <si>
    <t xml:space="preserve"> Умеренное повреждение 
&lt;50.000€ / евро</t>
  </si>
  <si>
    <t xml:space="preserve"> Умеренное негативное воздействие</t>
  </si>
  <si>
    <t xml:space="preserve"> Задержка 12–48 часов</t>
  </si>
  <si>
    <t xml:space="preserve"> Постоянная утрата трудоспособности или летальный исход</t>
  </si>
  <si>
    <t xml:space="preserve"> Значительное воздействие
1-10 баррелей</t>
  </si>
  <si>
    <t xml:space="preserve"> Значительное повреждение 
&lt;500.000€ / евро</t>
  </si>
  <si>
    <t xml:space="preserve"> Значительное негативное воздействие</t>
  </si>
  <si>
    <t>Задержка 48 часов – 7 дней</t>
  </si>
  <si>
    <t>Более 1 смертельного случая</t>
  </si>
  <si>
    <t xml:space="preserve"> Сильное воздействие
&gt; 10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</si>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</sst>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b/>
      <sz val="8.5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Verdana"/>
      <family val="2"/>
      <charset val="204"/>
    </font>
    <font>
      <sz val="8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1" fillId="2" borderId="0" xfId="0" applyFont="1" applyFill="1"/>
    <xf numFmtId="0" fontId="15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4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6" fillId="0" borderId="6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7" fillId="2" borderId="0" xfId="0" applyFont="1" applyFill="1" applyBorder="1" applyAlignment="1">
      <alignment horizontal="center" wrapText="1"/>
    </xf>
    <xf numFmtId="0" fontId="20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4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30" fillId="8" borderId="19" xfId="0" applyFont="1" applyFill="1" applyBorder="1" applyAlignment="1">
      <alignment horizontal="center"/>
    </xf>
    <xf numFmtId="0" fontId="31" fillId="8" borderId="19" xfId="0" applyFont="1" applyFill="1" applyBorder="1" applyAlignment="1">
      <alignment horizontal="left" vertical="center" inden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3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2" fillId="0" borderId="4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29" fillId="8" borderId="18" xfId="0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37" fillId="0" borderId="1" xfId="0" applyFont="1" applyBorder="1" applyAlignment="1" applyProtection="1">
      <alignment horizontal="left" vertical="center" wrapText="1"/>
      <protection locked="0"/>
    </xf>
    <xf numFmtId="0" fontId="38" fillId="2" borderId="1" xfId="0" applyFont="1" applyFill="1" applyBorder="1" applyAlignment="1">
      <alignment horizontal="center" vertical="center"/>
    </xf>
    <xf numFmtId="0" fontId="39" fillId="0" borderId="1" xfId="0" applyFont="1" applyBorder="1" applyAlignment="1" applyProtection="1">
      <alignment horizontal="left" vertical="center" wrapText="1"/>
      <protection locked="0"/>
    </xf>
    <xf numFmtId="0" fontId="11" fillId="2" borderId="19" xfId="0" applyFont="1" applyFill="1" applyBorder="1" applyAlignment="1">
      <alignment wrapText="1"/>
    </xf>
    <xf numFmtId="0" fontId="24" fillId="2" borderId="19" xfId="0" applyFont="1" applyFill="1" applyBorder="1" applyAlignment="1">
      <alignment horizontal="center" wrapText="1"/>
    </xf>
    <xf numFmtId="0" fontId="24" fillId="2" borderId="18" xfId="0" applyFont="1" applyFill="1" applyBorder="1" applyAlignment="1">
      <alignment horizontal="center" wrapText="1"/>
    </xf>
    <xf numFmtId="0" fontId="11" fillId="2" borderId="21" xfId="0" applyFont="1" applyFill="1" applyBorder="1" applyAlignment="1">
      <alignment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left" vertical="center" wrapText="1"/>
    </xf>
    <xf numFmtId="0" fontId="41" fillId="2" borderId="18" xfId="0" applyFont="1" applyFill="1" applyBorder="1" applyAlignment="1" applyProtection="1">
      <alignment horizontal="center" vertical="center" wrapText="1"/>
    </xf>
    <xf numFmtId="0" fontId="10" fillId="2" borderId="21" xfId="0" applyFont="1" applyFill="1" applyBorder="1" applyAlignment="1" applyProtection="1">
      <alignment horizontal="center" vertical="center"/>
    </xf>
    <xf numFmtId="0" fontId="10" fillId="2" borderId="29" xfId="0" applyFont="1" applyFill="1" applyBorder="1" applyAlignment="1" applyProtection="1">
      <alignment horizontal="center" vertical="center"/>
    </xf>
    <xf numFmtId="0" fontId="10" fillId="2" borderId="30" xfId="0" applyFont="1" applyFill="1" applyBorder="1" applyAlignment="1" applyProtection="1">
      <alignment horizontal="center" vertical="center"/>
    </xf>
    <xf numFmtId="0" fontId="10" fillId="2" borderId="14" xfId="0" applyFont="1" applyFill="1" applyBorder="1" applyAlignment="1" applyProtection="1">
      <alignment horizontal="center" vertical="center"/>
    </xf>
    <xf numFmtId="0" fontId="10" fillId="2" borderId="23" xfId="0" applyFont="1" applyFill="1" applyBorder="1" applyAlignment="1" applyProtection="1">
      <alignment horizontal="center" vertical="center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9" fillId="2" borderId="29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2" borderId="4" xfId="0" applyFont="1" applyFill="1" applyBorder="1" applyAlignment="1" applyProtection="1">
      <alignment horizontal="left" vertical="center" wrapText="1" shrinkToFit="1"/>
      <protection locked="0"/>
    </xf>
    <xf numFmtId="0" fontId="42" fillId="8" borderId="19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35" fillId="2" borderId="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5" fillId="2" borderId="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2" fillId="8" borderId="8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4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3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14" fontId="23" fillId="8" borderId="4" xfId="0" applyNumberFormat="1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2" borderId="29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7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7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40" fillId="2" borderId="18" xfId="0" applyFont="1" applyFill="1" applyBorder="1" applyAlignment="1" applyProtection="1">
      <alignment horizontal="center" vertical="center" wrapText="1"/>
    </xf>
    <xf numFmtId="0" fontId="40" fillId="2" borderId="19" xfId="0" applyFont="1" applyFill="1" applyBorder="1" applyAlignment="1" applyProtection="1">
      <alignment horizontal="center" vertical="center" wrapText="1"/>
    </xf>
    <xf numFmtId="0" fontId="40" fillId="2" borderId="21" xfId="0" applyFont="1" applyFill="1" applyBorder="1" applyAlignment="1" applyProtection="1">
      <alignment horizontal="center" vertical="center" wrapText="1"/>
    </xf>
    <xf numFmtId="0" fontId="40" fillId="2" borderId="29" xfId="0" applyFont="1" applyFill="1" applyBorder="1" applyAlignment="1" applyProtection="1">
      <alignment horizontal="center" vertical="center" wrapText="1"/>
    </xf>
    <xf numFmtId="0" fontId="40" fillId="2" borderId="0" xfId="0" applyFont="1" applyFill="1" applyBorder="1" applyAlignment="1" applyProtection="1">
      <alignment horizontal="center" vertical="center" wrapText="1"/>
    </xf>
    <xf numFmtId="0" fontId="40" fillId="2" borderId="30" xfId="0" applyFont="1" applyFill="1" applyBorder="1" applyAlignment="1" applyProtection="1">
      <alignment horizontal="center" vertical="center" wrapText="1"/>
    </xf>
    <xf numFmtId="0" fontId="40" fillId="2" borderId="14" xfId="0" applyFont="1" applyFill="1" applyBorder="1" applyAlignment="1" applyProtection="1">
      <alignment horizontal="center" vertical="center" wrapText="1"/>
    </xf>
    <xf numFmtId="0" fontId="40" fillId="2" borderId="22" xfId="0" applyFont="1" applyFill="1" applyBorder="1" applyAlignment="1" applyProtection="1">
      <alignment horizontal="center" vertical="center" wrapText="1"/>
    </xf>
    <xf numFmtId="0" fontId="40" fillId="2" borderId="23" xfId="0" applyFont="1" applyFill="1" applyBorder="1" applyAlignment="1" applyProtection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36" fillId="3" borderId="6" xfId="0" applyFont="1" applyFill="1" applyBorder="1" applyAlignment="1">
      <alignment horizontal="center" textRotation="90" wrapText="1"/>
    </xf>
    <xf numFmtId="0" fontId="12" fillId="3" borderId="24" xfId="0" applyFont="1" applyFill="1" applyBorder="1" applyAlignment="1">
      <alignment horizontal="center" textRotation="90" wrapText="1"/>
    </xf>
    <xf numFmtId="0" fontId="12" fillId="3" borderId="25" xfId="0" applyFont="1" applyFill="1" applyBorder="1" applyAlignment="1">
      <alignment horizontal="center" textRotation="90" wrapText="1"/>
    </xf>
    <xf numFmtId="0" fontId="44" fillId="2" borderId="8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9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17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5" name="Tekstvak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15</xdr:row>
      <xdr:rowOff>0</xdr:rowOff>
    </xdr:from>
    <xdr:ext cx="184731" cy="264560"/>
    <xdr:sp macro="" textlink="">
      <xdr:nvSpPr>
        <xdr:cNvPr id="6" name="Tekstvak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15</xdr:row>
      <xdr:rowOff>0</xdr:rowOff>
    </xdr:from>
    <xdr:ext cx="184731" cy="264560"/>
    <xdr:sp macro="" textlink="">
      <xdr:nvSpPr>
        <xdr:cNvPr id="7" name="Tekstvak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52417" y="4857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8" name="Tekstvak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9" name="Tekstvak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52417" y="7821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153459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9050" y="7916333"/>
          <a:ext cx="2930525" cy="470959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19</xdr:row>
      <xdr:rowOff>95250</xdr:rowOff>
    </xdr:from>
    <xdr:to>
      <xdr:col>4</xdr:col>
      <xdr:colOff>2117</xdr:colOff>
      <xdr:row>23</xdr:row>
      <xdr:rowOff>10583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8487833"/>
          <a:ext cx="2921000" cy="777875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23</xdr:row>
      <xdr:rowOff>132292</xdr:rowOff>
    </xdr:from>
    <xdr:to>
      <xdr:col>4</xdr:col>
      <xdr:colOff>2117</xdr:colOff>
      <xdr:row>26</xdr:row>
      <xdr:rowOff>31750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9387417"/>
          <a:ext cx="2947458" cy="957791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15</xdr:row>
      <xdr:rowOff>85726</xdr:rowOff>
    </xdr:from>
    <xdr:to>
      <xdr:col>10</xdr:col>
      <xdr:colOff>0</xdr:colOff>
      <xdr:row>19</xdr:row>
      <xdr:rowOff>164042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949574" y="7843309"/>
          <a:ext cx="5792259" cy="7133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18</xdr:row>
      <xdr:rowOff>148166</xdr:rowOff>
    </xdr:from>
    <xdr:to>
      <xdr:col>21</xdr:col>
      <xdr:colOff>27215</xdr:colOff>
      <xdr:row>23</xdr:row>
      <xdr:rowOff>126999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76790" y="8381999"/>
          <a:ext cx="5792258" cy="1000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23</xdr:row>
      <xdr:rowOff>52917</xdr:rowOff>
    </xdr:from>
    <xdr:to>
      <xdr:col>10</xdr:col>
      <xdr:colOff>0</xdr:colOff>
      <xdr:row>27</xdr:row>
      <xdr:rowOff>15875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949575" y="9308042"/>
          <a:ext cx="5792258" cy="11800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27</xdr:row>
      <xdr:rowOff>47625</xdr:rowOff>
    </xdr:from>
    <xdr:to>
      <xdr:col>9</xdr:col>
      <xdr:colOff>843643</xdr:colOff>
      <xdr:row>29</xdr:row>
      <xdr:rowOff>79375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91518" y="10519833"/>
          <a:ext cx="5762625" cy="349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64"/>
  <sheetViews>
    <sheetView tabSelected="1" zoomScale="80" zoomScaleNormal="80" zoomScalePageLayoutView="70" workbookViewId="0">
      <selection activeCell="C6" sqref="C6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01" t="s">
        <v>67</v>
      </c>
      <c r="B1" s="102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7</v>
      </c>
      <c r="R1" s="14" t="s">
        <v>8</v>
      </c>
      <c r="S1" s="14" t="s">
        <v>9</v>
      </c>
      <c r="T1" s="14" t="s">
        <v>10</v>
      </c>
      <c r="U1" s="14" t="s">
        <v>11</v>
      </c>
      <c r="V1" s="14" t="s">
        <v>12</v>
      </c>
      <c r="W1" s="18" t="s">
        <v>13</v>
      </c>
    </row>
    <row r="2" spans="1:23" ht="25.5" customHeight="1" x14ac:dyDescent="0.2">
      <c r="A2" s="103"/>
      <c r="B2" s="104"/>
      <c r="C2" s="56"/>
      <c r="D2" s="50"/>
      <c r="E2" s="50"/>
      <c r="F2" s="50"/>
      <c r="G2" s="50"/>
      <c r="H2" s="57"/>
      <c r="I2" s="4"/>
      <c r="J2" s="115" t="s">
        <v>0</v>
      </c>
      <c r="K2" s="116"/>
      <c r="L2" s="116"/>
      <c r="M2" s="117"/>
      <c r="P2" s="7"/>
      <c r="Q2" s="14">
        <v>1</v>
      </c>
      <c r="R2" s="14" t="s">
        <v>14</v>
      </c>
      <c r="S2" s="15"/>
      <c r="T2" s="15"/>
      <c r="U2" s="15"/>
      <c r="V2" s="15"/>
      <c r="W2" s="18" t="s">
        <v>15</v>
      </c>
    </row>
    <row r="3" spans="1:23" ht="25.5" customHeight="1" x14ac:dyDescent="0.2">
      <c r="A3" s="103"/>
      <c r="B3" s="104"/>
      <c r="C3" s="122" t="s">
        <v>69</v>
      </c>
      <c r="D3" s="123"/>
      <c r="E3" s="123"/>
      <c r="F3" s="123"/>
      <c r="G3" s="123"/>
      <c r="H3" s="124"/>
      <c r="J3" s="118" t="s">
        <v>85</v>
      </c>
      <c r="K3" s="116"/>
      <c r="L3" s="116"/>
      <c r="M3" s="117"/>
      <c r="P3" s="7"/>
      <c r="Q3" s="14">
        <v>2</v>
      </c>
      <c r="R3" s="14" t="s">
        <v>16</v>
      </c>
      <c r="S3" s="15"/>
      <c r="T3" s="15"/>
      <c r="U3" s="15"/>
      <c r="V3" s="15"/>
      <c r="W3" s="18" t="s">
        <v>17</v>
      </c>
    </row>
    <row r="4" spans="1:23" ht="33.75" customHeight="1" x14ac:dyDescent="0.2">
      <c r="A4" s="105"/>
      <c r="B4" s="106"/>
      <c r="C4" s="59"/>
      <c r="D4" s="51"/>
      <c r="E4" s="51"/>
      <c r="F4" s="51"/>
      <c r="G4" s="51"/>
      <c r="H4" s="58"/>
      <c r="J4" s="119" t="s">
        <v>86</v>
      </c>
      <c r="K4" s="120"/>
      <c r="L4" s="120"/>
      <c r="M4" s="121"/>
      <c r="P4" s="7"/>
      <c r="Q4" s="14"/>
      <c r="R4" s="14"/>
      <c r="S4" s="15"/>
      <c r="T4" s="15"/>
      <c r="U4" s="15"/>
      <c r="V4" s="15"/>
      <c r="W4" s="18"/>
    </row>
    <row r="5" spans="1:23" ht="8.25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18</v>
      </c>
      <c r="S5" s="15"/>
      <c r="T5" s="15"/>
      <c r="U5" s="15"/>
      <c r="V5" s="15"/>
      <c r="W5" s="18" t="s">
        <v>19</v>
      </c>
    </row>
    <row r="6" spans="1:23" s="7" customFormat="1" ht="48" customHeight="1" x14ac:dyDescent="0.2">
      <c r="A6" s="171" t="s">
        <v>70</v>
      </c>
      <c r="B6" s="171"/>
      <c r="C6" s="84"/>
      <c r="D6" s="63"/>
      <c r="E6" s="63"/>
      <c r="F6" s="64"/>
      <c r="G6" s="78" t="s">
        <v>71</v>
      </c>
      <c r="H6" s="86" t="s">
        <v>68</v>
      </c>
      <c r="I6" s="63"/>
      <c r="J6" s="85" t="s">
        <v>72</v>
      </c>
      <c r="K6" s="125" t="s">
        <v>66</v>
      </c>
      <c r="L6" s="125"/>
      <c r="M6" s="126"/>
      <c r="Q6" s="14">
        <v>4</v>
      </c>
      <c r="R6" s="14" t="s">
        <v>20</v>
      </c>
      <c r="S6" s="14"/>
      <c r="T6" s="14"/>
      <c r="U6" s="14"/>
      <c r="V6" s="14"/>
    </row>
    <row r="7" spans="1:23" s="7" customFormat="1" ht="36" customHeight="1" x14ac:dyDescent="0.2">
      <c r="A7" s="175" t="s">
        <v>73</v>
      </c>
      <c r="B7" s="176"/>
      <c r="C7" s="83"/>
      <c r="D7" s="180" t="s">
        <v>74</v>
      </c>
      <c r="E7" s="181"/>
      <c r="F7" s="181"/>
      <c r="G7" s="78" t="s">
        <v>75</v>
      </c>
      <c r="H7" s="172" t="s">
        <v>90</v>
      </c>
      <c r="I7" s="173"/>
      <c r="J7" s="174"/>
      <c r="K7" s="180" t="s">
        <v>84</v>
      </c>
      <c r="L7" s="181"/>
      <c r="M7" s="182"/>
      <c r="Q7" s="14">
        <v>5</v>
      </c>
      <c r="R7" s="14" t="s">
        <v>21</v>
      </c>
      <c r="S7" s="14"/>
      <c r="T7" s="14"/>
      <c r="U7" s="14"/>
      <c r="V7" s="14"/>
    </row>
    <row r="8" spans="1:23" ht="158.25" customHeight="1" x14ac:dyDescent="0.2">
      <c r="A8" s="76" t="s">
        <v>77</v>
      </c>
      <c r="B8" s="76" t="s">
        <v>76</v>
      </c>
      <c r="C8" s="76" t="s">
        <v>78</v>
      </c>
      <c r="D8" s="77" t="s">
        <v>79</v>
      </c>
      <c r="E8" s="77" t="s">
        <v>80</v>
      </c>
      <c r="F8" s="77" t="s">
        <v>81</v>
      </c>
      <c r="G8" s="107" t="s">
        <v>82</v>
      </c>
      <c r="H8" s="108"/>
      <c r="I8" s="109"/>
      <c r="J8" s="110"/>
      <c r="K8" s="77" t="s">
        <v>79</v>
      </c>
      <c r="L8" s="77" t="s">
        <v>80</v>
      </c>
      <c r="M8" s="77" t="s">
        <v>83</v>
      </c>
      <c r="Q8" s="14"/>
      <c r="R8" s="15"/>
      <c r="S8" s="15"/>
      <c r="T8" s="15"/>
      <c r="U8" s="15" t="str">
        <f>IF(L16="","",IF(N16="","",IF(M16+O16&lt;=5,$W$17,IF(M16+O16=6,$W$18,IF(M16+O16=7,$W$18,IF(M16+O16&gt;=8,$W$22,""))))))</f>
        <v/>
      </c>
      <c r="V8" s="15"/>
    </row>
    <row r="9" spans="1:23" ht="95.25" customHeight="1" x14ac:dyDescent="0.2">
      <c r="A9" s="92">
        <v>1</v>
      </c>
      <c r="B9" s="91" t="s">
        <v>87</v>
      </c>
      <c r="C9" s="87" t="s">
        <v>88</v>
      </c>
      <c r="D9" s="20">
        <v>4</v>
      </c>
      <c r="E9" s="13" t="s">
        <v>1</v>
      </c>
      <c r="F9" s="75" t="str">
        <f t="shared" ref="F9:F15" si="0">IF(D9="","",(IF(E9="","",IF(U9&lt;=1,"",IF(U9&lt;=5,$W$2,IF(U9=6,$W$3,IF(U9=7,$W$3,IF(U9&gt;=8,$W$5,""))))))))</f>
        <v>M</v>
      </c>
      <c r="G9" s="111" t="s">
        <v>89</v>
      </c>
      <c r="H9" s="112"/>
      <c r="I9" s="113"/>
      <c r="J9" s="114"/>
      <c r="K9" s="20">
        <v>1</v>
      </c>
      <c r="L9" s="13" t="s">
        <v>2</v>
      </c>
      <c r="M9" s="65" t="str">
        <f t="shared" ref="M9:M17" si="1">IF(K9="","",(IF(L9="","",IF(V9&lt;=1,"",IF(V9&lt;=5,$W$2,IF(V9=6,$W$3,IF(V9=7,$W$3,IF(V9&gt;=8,$W$5,""))))))))</f>
        <v>L</v>
      </c>
      <c r="Q9" s="14"/>
      <c r="R9" s="15"/>
      <c r="S9" s="19">
        <f t="shared" ref="S9:S17" si="2">IF(E9="A",1,IF(E9="B",2,IF(E9="C",3,IF(E9="D",4,IF(E9="E",5,"")))))</f>
        <v>3</v>
      </c>
      <c r="T9" s="19">
        <f t="shared" ref="T9:T17" si="3">IF(L9="A",1,IF(L9="B",2,IF(L9="C",3,IF(L9="D",4,IF(L9="E",5,"")))))</f>
        <v>3</v>
      </c>
      <c r="U9" s="15">
        <f t="shared" ref="U9:U17" si="4">D9+S9</f>
        <v>7</v>
      </c>
      <c r="V9" s="15">
        <f t="shared" ref="V9:V17" si="5">K9+T9</f>
        <v>4</v>
      </c>
    </row>
    <row r="10" spans="1:23" ht="147" customHeight="1" x14ac:dyDescent="0.2">
      <c r="A10" s="92">
        <v>2</v>
      </c>
      <c r="B10" s="91" t="s">
        <v>91</v>
      </c>
      <c r="C10" s="88" t="s">
        <v>92</v>
      </c>
      <c r="D10" s="20">
        <v>3</v>
      </c>
      <c r="E10" s="13" t="s">
        <v>1</v>
      </c>
      <c r="F10" s="75" t="str">
        <f t="shared" ref="F10:F14" si="6">IF(D10="","",(IF(E10="","",IF(U10&lt;=1,"",IF(U10&lt;=5,$W$2,IF(U10=6,$W$3,IF(U10=7,$W$3,IF(U10&gt;=8,$W$5,""))))))))</f>
        <v>M</v>
      </c>
      <c r="G10" s="111" t="s">
        <v>93</v>
      </c>
      <c r="H10" s="112"/>
      <c r="I10" s="113"/>
      <c r="J10" s="114"/>
      <c r="K10" s="20">
        <v>1</v>
      </c>
      <c r="L10" s="13" t="s">
        <v>1</v>
      </c>
      <c r="M10" s="65" t="str">
        <f t="shared" ref="M10:M14" si="7">IF(K10="","",(IF(L10="","",IF(V10&lt;=1,"",IF(V10&lt;=5,$W$2,IF(V10=6,$W$3,IF(V10=7,$W$3,IF(V10&gt;=8,$W$5,""))))))))</f>
        <v>L</v>
      </c>
      <c r="Q10" s="14"/>
      <c r="R10" s="15"/>
      <c r="S10" s="19">
        <f t="shared" ref="S10:S14" si="8">IF(E10="A",1,IF(E10="B",2,IF(E10="C",3,IF(E10="D",4,IF(E10="E",5,"")))))</f>
        <v>3</v>
      </c>
      <c r="T10" s="19">
        <f t="shared" ref="T10:T14" si="9">IF(L10="A",1,IF(L10="B",2,IF(L10="C",3,IF(L10="D",4,IF(L10="E",5,"")))))</f>
        <v>3</v>
      </c>
      <c r="U10" s="15">
        <f t="shared" ref="U10:U14" si="10">D10+S10</f>
        <v>6</v>
      </c>
      <c r="V10" s="15">
        <f t="shared" ref="V10:V14" si="11">K10+T10</f>
        <v>4</v>
      </c>
    </row>
    <row r="11" spans="1:23" ht="123" customHeight="1" x14ac:dyDescent="0.2">
      <c r="A11" s="92">
        <v>3</v>
      </c>
      <c r="B11" s="91" t="s">
        <v>94</v>
      </c>
      <c r="C11" s="88" t="s">
        <v>95</v>
      </c>
      <c r="D11" s="20">
        <v>3</v>
      </c>
      <c r="E11" s="13" t="s">
        <v>1</v>
      </c>
      <c r="F11" s="75" t="str">
        <f t="shared" si="6"/>
        <v>M</v>
      </c>
      <c r="G11" s="111" t="s">
        <v>96</v>
      </c>
      <c r="H11" s="112"/>
      <c r="I11" s="113"/>
      <c r="J11" s="114"/>
      <c r="K11" s="20">
        <v>1</v>
      </c>
      <c r="L11" s="13" t="s">
        <v>1</v>
      </c>
      <c r="M11" s="65" t="str">
        <f t="shared" si="7"/>
        <v>L</v>
      </c>
      <c r="Q11" s="14"/>
      <c r="R11" s="15"/>
      <c r="S11" s="19">
        <f t="shared" si="8"/>
        <v>3</v>
      </c>
      <c r="T11" s="19">
        <f t="shared" si="9"/>
        <v>3</v>
      </c>
      <c r="U11" s="15">
        <f t="shared" si="10"/>
        <v>6</v>
      </c>
      <c r="V11" s="15">
        <f t="shared" si="11"/>
        <v>4</v>
      </c>
    </row>
    <row r="12" spans="1:23" ht="89.45" customHeight="1" x14ac:dyDescent="0.2">
      <c r="A12" s="92">
        <v>4</v>
      </c>
      <c r="B12" s="91" t="s">
        <v>97</v>
      </c>
      <c r="C12" s="88" t="s">
        <v>98</v>
      </c>
      <c r="D12" s="20">
        <v>3</v>
      </c>
      <c r="E12" s="13" t="s">
        <v>1</v>
      </c>
      <c r="F12" s="75" t="s">
        <v>17</v>
      </c>
      <c r="G12" s="111" t="s">
        <v>99</v>
      </c>
      <c r="H12" s="112"/>
      <c r="I12" s="113"/>
      <c r="J12" s="114"/>
      <c r="K12" s="20">
        <v>2</v>
      </c>
      <c r="L12" s="13" t="s">
        <v>1</v>
      </c>
      <c r="M12" s="65" t="str">
        <f t="shared" si="7"/>
        <v>L</v>
      </c>
      <c r="Q12" s="14"/>
      <c r="R12" s="15"/>
      <c r="S12" s="19">
        <f t="shared" si="8"/>
        <v>3</v>
      </c>
      <c r="T12" s="19">
        <f t="shared" si="9"/>
        <v>3</v>
      </c>
      <c r="U12" s="15">
        <f t="shared" si="10"/>
        <v>6</v>
      </c>
      <c r="V12" s="15">
        <f t="shared" si="11"/>
        <v>5</v>
      </c>
    </row>
    <row r="13" spans="1:23" ht="144.6" customHeight="1" x14ac:dyDescent="0.2">
      <c r="A13" s="92">
        <v>5</v>
      </c>
      <c r="B13" s="91" t="s">
        <v>100</v>
      </c>
      <c r="C13" s="88" t="s">
        <v>102</v>
      </c>
      <c r="D13" s="20">
        <v>3</v>
      </c>
      <c r="E13" s="13" t="s">
        <v>1</v>
      </c>
      <c r="F13" s="75" t="s">
        <v>17</v>
      </c>
      <c r="G13" s="111" t="s">
        <v>101</v>
      </c>
      <c r="H13" s="112"/>
      <c r="I13" s="113"/>
      <c r="J13" s="114"/>
      <c r="K13" s="20">
        <v>2</v>
      </c>
      <c r="L13" s="13" t="s">
        <v>1</v>
      </c>
      <c r="M13" s="65" t="str">
        <f t="shared" si="7"/>
        <v>L</v>
      </c>
      <c r="Q13" s="14"/>
      <c r="R13" s="15"/>
      <c r="S13" s="19">
        <f t="shared" si="8"/>
        <v>3</v>
      </c>
      <c r="T13" s="19">
        <f t="shared" si="9"/>
        <v>3</v>
      </c>
      <c r="U13" s="15">
        <f t="shared" si="10"/>
        <v>6</v>
      </c>
      <c r="V13" s="15">
        <f t="shared" si="11"/>
        <v>5</v>
      </c>
    </row>
    <row r="14" spans="1:23" ht="143.25" customHeight="1" x14ac:dyDescent="0.2">
      <c r="A14" s="92">
        <v>6</v>
      </c>
      <c r="B14" s="91" t="s">
        <v>103</v>
      </c>
      <c r="C14" s="88" t="s">
        <v>104</v>
      </c>
      <c r="D14" s="20">
        <v>3</v>
      </c>
      <c r="E14" s="13" t="s">
        <v>1</v>
      </c>
      <c r="F14" s="75" t="str">
        <f t="shared" si="6"/>
        <v>M</v>
      </c>
      <c r="G14" s="111" t="s">
        <v>105</v>
      </c>
      <c r="H14" s="112"/>
      <c r="I14" s="113"/>
      <c r="J14" s="114"/>
      <c r="K14" s="20">
        <v>1</v>
      </c>
      <c r="L14" s="13" t="s">
        <v>1</v>
      </c>
      <c r="M14" s="65" t="str">
        <f t="shared" si="7"/>
        <v>L</v>
      </c>
      <c r="Q14" s="14"/>
      <c r="R14" s="15"/>
      <c r="S14" s="19">
        <f t="shared" si="8"/>
        <v>3</v>
      </c>
      <c r="T14" s="19">
        <f t="shared" si="9"/>
        <v>3</v>
      </c>
      <c r="U14" s="15">
        <f t="shared" si="10"/>
        <v>6</v>
      </c>
      <c r="V14" s="15">
        <f t="shared" si="11"/>
        <v>4</v>
      </c>
    </row>
    <row r="15" spans="1:23" ht="87.6" customHeight="1" x14ac:dyDescent="0.2">
      <c r="A15" s="92">
        <v>7</v>
      </c>
      <c r="B15" s="91" t="s">
        <v>106</v>
      </c>
      <c r="C15" s="88" t="s">
        <v>107</v>
      </c>
      <c r="D15" s="20">
        <v>3</v>
      </c>
      <c r="E15" s="13" t="s">
        <v>3</v>
      </c>
      <c r="F15" s="75" t="str">
        <f t="shared" si="0"/>
        <v>M</v>
      </c>
      <c r="G15" s="111" t="s">
        <v>108</v>
      </c>
      <c r="H15" s="112"/>
      <c r="I15" s="113"/>
      <c r="J15" s="114"/>
      <c r="K15" s="20">
        <v>1</v>
      </c>
      <c r="L15" s="13" t="s">
        <v>4</v>
      </c>
      <c r="M15" s="65" t="str">
        <f t="shared" si="1"/>
        <v>L</v>
      </c>
      <c r="Q15" s="14"/>
      <c r="R15" s="15"/>
      <c r="S15" s="19">
        <f t="shared" si="2"/>
        <v>3</v>
      </c>
      <c r="T15" s="19">
        <f t="shared" si="3"/>
        <v>3</v>
      </c>
      <c r="U15" s="15">
        <f t="shared" si="4"/>
        <v>6</v>
      </c>
      <c r="V15" s="15">
        <f t="shared" si="5"/>
        <v>4</v>
      </c>
    </row>
    <row r="16" spans="1:23" ht="146.25" customHeight="1" x14ac:dyDescent="0.2">
      <c r="A16" s="92">
        <v>8</v>
      </c>
      <c r="B16" s="91" t="s">
        <v>109</v>
      </c>
      <c r="C16" s="88" t="s">
        <v>110</v>
      </c>
      <c r="D16" s="20">
        <v>3</v>
      </c>
      <c r="E16" s="13" t="s">
        <v>1</v>
      </c>
      <c r="F16" s="75" t="str">
        <f t="shared" ref="F16" si="12">IF(D16="","",(IF(E16="","",IF(U16&lt;=1,"",IF(U16&lt;=5,$W$2,IF(U16=6,$W$3,IF(U16=7,$W$3,IF(U16&gt;=8,$W$5,""))))))))</f>
        <v>M</v>
      </c>
      <c r="G16" s="111" t="s">
        <v>111</v>
      </c>
      <c r="H16" s="112"/>
      <c r="I16" s="113"/>
      <c r="J16" s="114"/>
      <c r="K16" s="20">
        <v>2</v>
      </c>
      <c r="L16" s="13" t="s">
        <v>1</v>
      </c>
      <c r="M16" s="65" t="str">
        <f t="shared" ref="M16" si="13">IF(K16="","",(IF(L16="","",IF(V16&lt;=1,"",IF(V16&lt;=5,$W$2,IF(V16=6,$W$3,IF(V16=7,$W$3,IF(V16&gt;=8,$W$5,""))))))))</f>
        <v>L</v>
      </c>
      <c r="Q16" s="14"/>
      <c r="R16" s="15"/>
      <c r="S16" s="19">
        <f t="shared" ref="S16" si="14">IF(E16="A",1,IF(E16="B",2,IF(E16="C",3,IF(E16="D",4,IF(E16="E",5,"")))))</f>
        <v>3</v>
      </c>
      <c r="T16" s="19">
        <f t="shared" ref="T16" si="15">IF(L16="A",1,IF(L16="B",2,IF(L16="C",3,IF(L16="D",4,IF(L16="E",5,"")))))</f>
        <v>3</v>
      </c>
      <c r="U16" s="15">
        <f t="shared" ref="U16" si="16">D16+S16</f>
        <v>6</v>
      </c>
      <c r="V16" s="15">
        <f t="shared" ref="V16" si="17">K16+T16</f>
        <v>5</v>
      </c>
    </row>
    <row r="17" spans="1:22" ht="171.75" customHeight="1" x14ac:dyDescent="0.2">
      <c r="A17" s="92">
        <v>9</v>
      </c>
      <c r="B17" s="93" t="s">
        <v>112</v>
      </c>
      <c r="C17" s="88" t="s">
        <v>113</v>
      </c>
      <c r="D17" s="20">
        <v>4</v>
      </c>
      <c r="E17" s="13" t="s">
        <v>5</v>
      </c>
      <c r="F17" s="75" t="s">
        <v>17</v>
      </c>
      <c r="G17" s="111" t="s">
        <v>114</v>
      </c>
      <c r="H17" s="112"/>
      <c r="I17" s="112"/>
      <c r="J17" s="127"/>
      <c r="K17" s="20">
        <v>2</v>
      </c>
      <c r="L17" s="13" t="s">
        <v>6</v>
      </c>
      <c r="M17" s="65" t="str">
        <f t="shared" si="1"/>
        <v>M</v>
      </c>
      <c r="Q17" s="14"/>
      <c r="R17" s="15"/>
      <c r="S17" s="19">
        <f t="shared" si="2"/>
        <v>4</v>
      </c>
      <c r="T17" s="19">
        <f t="shared" si="3"/>
        <v>4</v>
      </c>
      <c r="U17" s="15">
        <f t="shared" si="4"/>
        <v>8</v>
      </c>
      <c r="V17" s="15">
        <f t="shared" si="5"/>
        <v>6</v>
      </c>
    </row>
    <row r="18" spans="1:22" ht="36" customHeight="1" x14ac:dyDescent="0.2">
      <c r="A18" s="177" t="s">
        <v>115</v>
      </c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9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30.6" customHeight="1" x14ac:dyDescent="0.2">
      <c r="A19" s="128" t="s">
        <v>116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Q19" s="14"/>
      <c r="R19" s="15"/>
      <c r="S19" s="19"/>
      <c r="T19" s="19"/>
      <c r="U19" s="15"/>
      <c r="V19" s="15"/>
    </row>
    <row r="20" spans="1:22" ht="23.25" x14ac:dyDescent="0.35">
      <c r="A20" s="89" t="s">
        <v>117</v>
      </c>
      <c r="B20" s="90"/>
      <c r="C20" s="90"/>
      <c r="D20" s="70"/>
      <c r="E20" s="70"/>
      <c r="F20" s="70"/>
      <c r="G20" s="71"/>
      <c r="H20" s="72"/>
      <c r="I20" s="72"/>
      <c r="J20" s="72"/>
      <c r="K20" s="72"/>
      <c r="L20" s="73"/>
      <c r="M20" s="74"/>
      <c r="Q20" s="14"/>
      <c r="R20" s="15"/>
      <c r="S20" s="19"/>
      <c r="T20" s="19"/>
      <c r="U20" s="15"/>
      <c r="V20" s="15"/>
    </row>
    <row r="21" spans="1:22" ht="44.25" customHeight="1" x14ac:dyDescent="0.2">
      <c r="A21" s="153" t="s">
        <v>118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5"/>
      <c r="Q21" s="14"/>
      <c r="R21" s="15"/>
      <c r="S21" s="19"/>
      <c r="T21" s="19"/>
      <c r="U21" s="15"/>
      <c r="V21" s="15"/>
    </row>
    <row r="22" spans="1:22" ht="37.5" customHeight="1" x14ac:dyDescent="0.2">
      <c r="A22" s="222" t="s">
        <v>185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5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">
      <c r="A23" s="66">
        <v>1</v>
      </c>
      <c r="B23" s="133" t="s">
        <v>119</v>
      </c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5"/>
      <c r="Q23" s="14"/>
      <c r="R23" s="15"/>
      <c r="S23" s="19" t="e">
        <f>IF(#REF!="A",1,IF(#REF!="B",2,IF(#REF!="C",3,IF(#REF!="D",4,IF(#REF!="E",5,"")))))</f>
        <v>#REF!</v>
      </c>
      <c r="T23" s="19" t="e">
        <f>IF(#REF!="A",1,IF(#REF!="B",2,IF(#REF!="C",3,IF(#REF!="D",4,IF(#REF!="E",5,"")))))</f>
        <v>#REF!</v>
      </c>
      <c r="U23" s="15" t="e">
        <f>#REF!+S23</f>
        <v>#REF!</v>
      </c>
      <c r="V23" s="15" t="e">
        <f>#REF!+T23</f>
        <v>#REF!</v>
      </c>
    </row>
    <row r="24" spans="1:22" ht="45" customHeight="1" x14ac:dyDescent="0.2">
      <c r="A24" s="66">
        <v>2</v>
      </c>
      <c r="B24" s="130" t="s">
        <v>120</v>
      </c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2"/>
      <c r="Q24" s="14"/>
      <c r="R24" s="15"/>
      <c r="S24" s="19" t="e">
        <f>IF(#REF!="A",1,IF(#REF!="B",2,IF(#REF!="C",3,IF(#REF!="D",4,IF(#REF!="E",5,"")))))</f>
        <v>#REF!</v>
      </c>
      <c r="T24" s="19" t="e">
        <f>IF(#REF!="A",1,IF(#REF!="B",2,IF(#REF!="C",3,IF(#REF!="D",4,IF(#REF!="E",5,"")))))</f>
        <v>#REF!</v>
      </c>
      <c r="U24" s="15" t="e">
        <f>#REF!+S24</f>
        <v>#REF!</v>
      </c>
      <c r="V24" s="15" t="e">
        <f>#REF!+T24</f>
        <v>#REF!</v>
      </c>
    </row>
    <row r="25" spans="1:22" ht="45" customHeight="1" x14ac:dyDescent="0.2">
      <c r="A25" s="66">
        <v>3</v>
      </c>
      <c r="B25" s="133" t="s">
        <v>121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5"/>
      <c r="Q25" s="14"/>
      <c r="R25" s="15"/>
      <c r="S25" s="19" t="e">
        <f>IF(#REF!="A",1,IF(#REF!="B",2,IF(#REF!="C",3,IF(#REF!="D",4,IF(#REF!="E",5,"")))))</f>
        <v>#REF!</v>
      </c>
      <c r="T25" s="19" t="e">
        <f>IF(#REF!="A",1,IF(#REF!="B",2,IF(#REF!="C",3,IF(#REF!="D",4,IF(#REF!="E",5,"")))))</f>
        <v>#REF!</v>
      </c>
      <c r="U25" s="15" t="e">
        <f>#REF!+S25</f>
        <v>#REF!</v>
      </c>
      <c r="V25" s="15" t="e">
        <f>#REF!+T25</f>
        <v>#REF!</v>
      </c>
    </row>
    <row r="26" spans="1:22" ht="45" customHeight="1" x14ac:dyDescent="0.2">
      <c r="A26" s="66">
        <v>4</v>
      </c>
      <c r="B26" s="130" t="s">
        <v>122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2"/>
      <c r="Q26" s="14"/>
      <c r="R26" s="15"/>
      <c r="S26" s="19" t="e">
        <f>IF(#REF!="A",1,IF(#REF!="B",2,IF(#REF!="C",3,IF(#REF!="D",4,IF(#REF!="E",5,"")))))</f>
        <v>#REF!</v>
      </c>
      <c r="T26" s="19" t="e">
        <f>IF(#REF!="A",1,IF(#REF!="B",2,IF(#REF!="C",3,IF(#REF!="D",4,IF(#REF!="E",5,"")))))</f>
        <v>#REF!</v>
      </c>
      <c r="U26" s="15" t="e">
        <f>#REF!+S26</f>
        <v>#REF!</v>
      </c>
      <c r="V26" s="15" t="e">
        <f>#REF!+T26</f>
        <v>#REF!</v>
      </c>
    </row>
    <row r="27" spans="1:22" ht="45" customHeight="1" x14ac:dyDescent="0.2">
      <c r="A27" s="66">
        <v>5</v>
      </c>
      <c r="B27" s="133" t="s">
        <v>123</v>
      </c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5"/>
      <c r="Q27" s="14"/>
      <c r="R27" s="15"/>
      <c r="S27" s="19" t="e">
        <f>IF(#REF!="A",1,IF(#REF!="B",2,IF(#REF!="C",3,IF(#REF!="D",4,IF(#REF!="E",5,"")))))</f>
        <v>#REF!</v>
      </c>
      <c r="T27" s="19" t="e">
        <f>IF(#REF!="A",1,IF(#REF!="B",2,IF(#REF!="C",3,IF(#REF!="D",4,IF(#REF!="E",5,"")))))</f>
        <v>#REF!</v>
      </c>
      <c r="U27" s="15" t="e">
        <f>#REF!+S27</f>
        <v>#REF!</v>
      </c>
      <c r="V27" s="15" t="e">
        <f>#REF!+T27</f>
        <v>#REF!</v>
      </c>
    </row>
    <row r="28" spans="1:22" ht="45" customHeight="1" x14ac:dyDescent="0.2">
      <c r="A28" s="66">
        <v>6</v>
      </c>
      <c r="B28" s="130" t="s">
        <v>124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  <c r="Q28" s="14"/>
      <c r="R28" s="15"/>
      <c r="S28" s="19" t="e">
        <f>IF(#REF!="A",1,IF(#REF!="B",2,IF(#REF!="C",3,IF(#REF!="D",4,IF(#REF!="E",5,"")))))</f>
        <v>#REF!</v>
      </c>
      <c r="T28" s="19" t="e">
        <f>IF(#REF!="A",1,IF(#REF!="B",2,IF(#REF!="C",3,IF(#REF!="D",4,IF(#REF!="E",5,"")))))</f>
        <v>#REF!</v>
      </c>
      <c r="U28" s="15" t="e">
        <f>#REF!+S28</f>
        <v>#REF!</v>
      </c>
      <c r="V28" s="15" t="e">
        <f>#REF!+T28</f>
        <v>#REF!</v>
      </c>
    </row>
    <row r="29" spans="1:22" ht="45" customHeight="1" x14ac:dyDescent="0.2">
      <c r="A29" s="66">
        <v>7</v>
      </c>
      <c r="B29" s="133" t="s">
        <v>125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5"/>
      <c r="Q29" s="14"/>
      <c r="R29" s="15"/>
      <c r="S29" s="19" t="e">
        <f>IF(#REF!="A",1,IF(#REF!="B",2,IF(#REF!="C",3,IF(#REF!="D",4,IF(#REF!="E",5,"")))))</f>
        <v>#REF!</v>
      </c>
      <c r="T29" s="19" t="e">
        <f>IF(#REF!="A",1,IF(#REF!="B",2,IF(#REF!="C",3,IF(#REF!="D",4,IF(#REF!="E",5,"")))))</f>
        <v>#REF!</v>
      </c>
      <c r="U29" s="15" t="e">
        <f>#REF!+S29</f>
        <v>#REF!</v>
      </c>
      <c r="V29" s="15" t="e">
        <f>#REF!+T29</f>
        <v>#REF!</v>
      </c>
    </row>
    <row r="30" spans="1:22" ht="45" customHeight="1" x14ac:dyDescent="0.2">
      <c r="A30" s="66">
        <v>8</v>
      </c>
      <c r="B30" s="133" t="s">
        <v>126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5"/>
      <c r="Q30" s="14"/>
      <c r="R30" s="15"/>
      <c r="S30" s="19" t="e">
        <f>IF(#REF!="A",1,IF(#REF!="B",2,IF(#REF!="C",3,IF(#REF!="D",4,IF(#REF!="E",5,"")))))</f>
        <v>#REF!</v>
      </c>
      <c r="T30" s="19" t="e">
        <f>IF(#REF!="A",1,IF(#REF!="B",2,IF(#REF!="C",3,IF(#REF!="D",4,IF(#REF!="E",5,"")))))</f>
        <v>#REF!</v>
      </c>
      <c r="U30" s="15" t="e">
        <f>#REF!+S30</f>
        <v>#REF!</v>
      </c>
      <c r="V30" s="15" t="e">
        <f>#REF!+T30</f>
        <v>#REF!</v>
      </c>
    </row>
    <row r="31" spans="1:22" ht="45" customHeight="1" x14ac:dyDescent="0.2">
      <c r="A31" s="66">
        <v>9</v>
      </c>
      <c r="B31" s="133" t="s">
        <v>127</v>
      </c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5"/>
    </row>
    <row r="32" spans="1:22" ht="45" customHeight="1" x14ac:dyDescent="0.2">
      <c r="A32" s="66">
        <v>10</v>
      </c>
      <c r="B32" s="136" t="s">
        <v>128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8"/>
    </row>
    <row r="33" spans="1:17" ht="45" customHeight="1" x14ac:dyDescent="0.2">
      <c r="A33" s="66">
        <v>11</v>
      </c>
      <c r="B33" s="133" t="s">
        <v>129</v>
      </c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5"/>
    </row>
    <row r="34" spans="1:17" ht="45" customHeight="1" x14ac:dyDescent="0.2">
      <c r="A34" s="66">
        <v>12</v>
      </c>
      <c r="B34" s="133" t="s">
        <v>130</v>
      </c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5"/>
    </row>
    <row r="35" spans="1:17" ht="45" customHeight="1" x14ac:dyDescent="0.2">
      <c r="A35" s="66">
        <v>13</v>
      </c>
      <c r="B35" s="133" t="s">
        <v>131</v>
      </c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5"/>
    </row>
    <row r="36" spans="1:17" s="9" customFormat="1" ht="45" customHeight="1" x14ac:dyDescent="0.2">
      <c r="A36" s="66">
        <v>14</v>
      </c>
      <c r="B36" s="133" t="s">
        <v>132</v>
      </c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5"/>
      <c r="N36" s="8"/>
      <c r="O36" s="8"/>
      <c r="P36" s="8"/>
      <c r="Q36" s="16"/>
    </row>
    <row r="37" spans="1:17" s="9" customFormat="1" ht="45" customHeight="1" x14ac:dyDescent="0.2">
      <c r="A37" s="66">
        <v>15</v>
      </c>
      <c r="B37" s="133" t="s">
        <v>133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5"/>
      <c r="N37" s="8"/>
      <c r="O37" s="8"/>
      <c r="P37" s="8"/>
      <c r="Q37" s="16"/>
    </row>
    <row r="38" spans="1:17" s="9" customFormat="1" ht="32.25" customHeight="1" x14ac:dyDescent="0.2">
      <c r="A38" s="156" t="s">
        <v>134</v>
      </c>
      <c r="B38" s="156"/>
      <c r="C38" s="156"/>
      <c r="D38" s="156"/>
      <c r="E38" s="156"/>
      <c r="F38" s="156"/>
      <c r="G38" s="156"/>
      <c r="H38" s="157"/>
      <c r="I38" s="157"/>
      <c r="J38" s="157"/>
      <c r="K38" s="157"/>
      <c r="L38" s="157"/>
      <c r="M38" s="157"/>
      <c r="N38" s="8"/>
      <c r="O38" s="8"/>
      <c r="P38" s="8"/>
      <c r="Q38" s="16"/>
    </row>
    <row r="39" spans="1:17" s="9" customFormat="1" ht="23.1" customHeight="1" x14ac:dyDescent="0.2">
      <c r="A39" s="141" t="s">
        <v>135</v>
      </c>
      <c r="B39" s="143"/>
      <c r="C39" s="79" t="s">
        <v>136</v>
      </c>
      <c r="D39" s="141" t="s">
        <v>137</v>
      </c>
      <c r="E39" s="142"/>
      <c r="F39" s="142"/>
      <c r="G39" s="143"/>
      <c r="H39" s="141" t="s">
        <v>138</v>
      </c>
      <c r="I39" s="142"/>
      <c r="J39" s="142"/>
      <c r="K39" s="142"/>
      <c r="L39" s="142"/>
      <c r="M39" s="143"/>
      <c r="N39" s="8"/>
      <c r="P39" s="8"/>
      <c r="Q39" s="16"/>
    </row>
    <row r="40" spans="1:17" s="9" customFormat="1" ht="18" customHeight="1" x14ac:dyDescent="0.2">
      <c r="A40" s="139"/>
      <c r="B40" s="140"/>
      <c r="C40" s="6"/>
      <c r="D40" s="139"/>
      <c r="E40" s="147"/>
      <c r="F40" s="147"/>
      <c r="G40" s="140"/>
      <c r="H40" s="144"/>
      <c r="I40" s="145"/>
      <c r="J40" s="145"/>
      <c r="K40" s="145"/>
      <c r="L40" s="145"/>
      <c r="M40" s="146"/>
      <c r="N40" s="8"/>
      <c r="P40" s="8"/>
      <c r="Q40" s="16"/>
    </row>
    <row r="41" spans="1:17" s="9" customFormat="1" ht="18" customHeight="1" x14ac:dyDescent="0.2">
      <c r="A41" s="139"/>
      <c r="B41" s="140"/>
      <c r="C41" s="6"/>
      <c r="D41" s="139"/>
      <c r="E41" s="147"/>
      <c r="F41" s="147"/>
      <c r="G41" s="140"/>
      <c r="H41" s="144"/>
      <c r="I41" s="145"/>
      <c r="J41" s="145"/>
      <c r="K41" s="145"/>
      <c r="L41" s="145"/>
      <c r="M41" s="146"/>
      <c r="N41" s="8"/>
      <c r="P41" s="8"/>
      <c r="Q41" s="16"/>
    </row>
    <row r="42" spans="1:17" s="9" customFormat="1" ht="18" customHeight="1" x14ac:dyDescent="0.2">
      <c r="A42" s="139"/>
      <c r="B42" s="140"/>
      <c r="C42" s="6"/>
      <c r="D42" s="139"/>
      <c r="E42" s="147"/>
      <c r="F42" s="147"/>
      <c r="G42" s="140"/>
      <c r="H42" s="144"/>
      <c r="I42" s="145"/>
      <c r="J42" s="145"/>
      <c r="K42" s="145"/>
      <c r="L42" s="145"/>
      <c r="M42" s="146"/>
      <c r="N42" s="8"/>
      <c r="P42" s="8"/>
      <c r="Q42" s="16"/>
    </row>
    <row r="43" spans="1:17" s="9" customFormat="1" ht="18" customHeight="1" x14ac:dyDescent="0.2">
      <c r="A43" s="139"/>
      <c r="B43" s="140"/>
      <c r="C43" s="6"/>
      <c r="D43" s="139"/>
      <c r="E43" s="147"/>
      <c r="F43" s="147"/>
      <c r="G43" s="140"/>
      <c r="H43" s="139"/>
      <c r="I43" s="147"/>
      <c r="J43" s="147"/>
      <c r="K43" s="147"/>
      <c r="L43" s="147"/>
      <c r="M43" s="140"/>
      <c r="N43" s="8"/>
      <c r="P43" s="8"/>
      <c r="Q43" s="16"/>
    </row>
    <row r="44" spans="1:17" s="9" customFormat="1" ht="18" customHeight="1" x14ac:dyDescent="0.2">
      <c r="A44" s="139"/>
      <c r="B44" s="140"/>
      <c r="C44" s="6"/>
      <c r="D44" s="139"/>
      <c r="E44" s="147"/>
      <c r="F44" s="147"/>
      <c r="G44" s="146"/>
      <c r="H44" s="139"/>
      <c r="I44" s="147"/>
      <c r="J44" s="147"/>
      <c r="K44" s="147"/>
      <c r="L44" s="147"/>
      <c r="M44" s="140"/>
      <c r="N44" s="8"/>
      <c r="P44" s="8"/>
      <c r="Q44" s="16"/>
    </row>
    <row r="45" spans="1:17" s="9" customFormat="1" ht="34.5" customHeight="1" x14ac:dyDescent="0.2">
      <c r="A45" s="136" t="s">
        <v>139</v>
      </c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2"/>
      <c r="N45" s="8"/>
      <c r="P45" s="8"/>
      <c r="Q45" s="16"/>
    </row>
    <row r="46" spans="1:17" s="9" customFormat="1" ht="18" customHeight="1" x14ac:dyDescent="0.2">
      <c r="A46" s="158" t="s">
        <v>140</v>
      </c>
      <c r="B46" s="158"/>
      <c r="C46" s="80" t="s">
        <v>141</v>
      </c>
      <c r="D46" s="159" t="s">
        <v>142</v>
      </c>
      <c r="E46" s="160"/>
      <c r="F46" s="161"/>
      <c r="G46" s="165"/>
      <c r="H46" s="166"/>
      <c r="I46" s="166"/>
      <c r="J46" s="166"/>
      <c r="K46" s="166"/>
      <c r="L46" s="166"/>
      <c r="M46" s="167"/>
      <c r="N46" s="8"/>
      <c r="P46" s="8"/>
      <c r="Q46" s="16"/>
    </row>
    <row r="47" spans="1:17" s="9" customFormat="1" ht="33.6" customHeight="1" x14ac:dyDescent="0.2">
      <c r="A47" s="148"/>
      <c r="B47" s="150"/>
      <c r="C47" s="10"/>
      <c r="D47" s="162"/>
      <c r="E47" s="163"/>
      <c r="F47" s="164"/>
      <c r="G47" s="168"/>
      <c r="H47" s="169"/>
      <c r="I47" s="169"/>
      <c r="J47" s="169"/>
      <c r="K47" s="169"/>
      <c r="L47" s="169"/>
      <c r="M47" s="170"/>
      <c r="N47" s="8"/>
      <c r="P47" s="8"/>
      <c r="Q47" s="16"/>
    </row>
    <row r="48" spans="1:17" s="9" customFormat="1" ht="18" customHeight="1" x14ac:dyDescent="0.2">
      <c r="A48" s="67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9"/>
      <c r="N48" s="8"/>
      <c r="P48" s="8"/>
      <c r="Q48" s="16"/>
    </row>
    <row r="49" spans="1:17" s="9" customFormat="1" ht="85.5" customHeight="1" x14ac:dyDescent="0.2">
      <c r="A49" s="183" t="s">
        <v>143</v>
      </c>
      <c r="B49" s="110"/>
      <c r="C49" s="148"/>
      <c r="D49" s="149"/>
      <c r="E49" s="149"/>
      <c r="F49" s="149"/>
      <c r="G49" s="149"/>
      <c r="H49" s="149"/>
      <c r="I49" s="149"/>
      <c r="J49" s="149"/>
      <c r="K49" s="149"/>
      <c r="L49" s="149"/>
      <c r="M49" s="150"/>
      <c r="N49" s="8"/>
      <c r="P49" s="8"/>
      <c r="Q49" s="16"/>
    </row>
    <row r="50" spans="1:17" s="9" customFormat="1" ht="34.5" customHeight="1" x14ac:dyDescent="0.2">
      <c r="A50" s="156" t="s">
        <v>144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8"/>
      <c r="P50" s="8"/>
      <c r="Q50" s="16"/>
    </row>
    <row r="51" spans="1:17" s="9" customFormat="1" ht="34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Q51" s="17"/>
    </row>
    <row r="52" spans="1:17" ht="56.25" customHeight="1" x14ac:dyDescent="0.2"/>
    <row r="53" spans="1:17" ht="25.5" customHeight="1" x14ac:dyDescent="0.2"/>
    <row r="54" spans="1:17" ht="18.75" customHeight="1" x14ac:dyDescent="0.2"/>
    <row r="55" spans="1:17" ht="18.75" customHeight="1" x14ac:dyDescent="0.2"/>
    <row r="56" spans="1:17" ht="18.75" customHeight="1" x14ac:dyDescent="0.2"/>
    <row r="57" spans="1:17" ht="18.75" customHeight="1" x14ac:dyDescent="0.2"/>
    <row r="58" spans="1:17" ht="18.75" customHeight="1" x14ac:dyDescent="0.2"/>
    <row r="59" spans="1:17" ht="33.75" customHeight="1" x14ac:dyDescent="0.2"/>
    <row r="60" spans="1:17" ht="20.25" customHeight="1" x14ac:dyDescent="0.2"/>
    <row r="61" spans="1:17" ht="57.75" customHeight="1" x14ac:dyDescent="0.2"/>
    <row r="62" spans="1:17" s="11" customFormat="1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7" ht="119.25" customHeight="1" x14ac:dyDescent="0.2"/>
    <row r="64" spans="1:17" s="12" customFormat="1" ht="24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</sheetData>
  <sheetProtection formatCells="0" formatColumns="0" formatRows="0" insertColumns="0" insertRows="0" insertHyperlinks="0" deleteColumns="0" deleteRows="0" sort="0" autoFilter="0" pivotTables="0"/>
  <mergeCells count="67">
    <mergeCell ref="G46:M47"/>
    <mergeCell ref="A6:B6"/>
    <mergeCell ref="H7:J7"/>
    <mergeCell ref="A50:M50"/>
    <mergeCell ref="A7:B7"/>
    <mergeCell ref="A18:M18"/>
    <mergeCell ref="B31:M31"/>
    <mergeCell ref="B36:M36"/>
    <mergeCell ref="B33:M33"/>
    <mergeCell ref="B34:M34"/>
    <mergeCell ref="B35:M35"/>
    <mergeCell ref="K7:M7"/>
    <mergeCell ref="D7:F7"/>
    <mergeCell ref="D39:G39"/>
    <mergeCell ref="D40:G40"/>
    <mergeCell ref="A49:B49"/>
    <mergeCell ref="C49:M49"/>
    <mergeCell ref="A45:M45"/>
    <mergeCell ref="A21:M21"/>
    <mergeCell ref="B23:M23"/>
    <mergeCell ref="B24:M24"/>
    <mergeCell ref="B25:M25"/>
    <mergeCell ref="A38:M38"/>
    <mergeCell ref="A46:B46"/>
    <mergeCell ref="B28:M28"/>
    <mergeCell ref="A47:B47"/>
    <mergeCell ref="A22:M22"/>
    <mergeCell ref="H44:M44"/>
    <mergeCell ref="D43:G43"/>
    <mergeCell ref="D44:G44"/>
    <mergeCell ref="D46:F47"/>
    <mergeCell ref="A44:B44"/>
    <mergeCell ref="A43:B43"/>
    <mergeCell ref="A42:B42"/>
    <mergeCell ref="D42:G42"/>
    <mergeCell ref="H41:M41"/>
    <mergeCell ref="H42:M42"/>
    <mergeCell ref="H43:M43"/>
    <mergeCell ref="D41:G41"/>
    <mergeCell ref="B32:M32"/>
    <mergeCell ref="B37:M37"/>
    <mergeCell ref="A41:B41"/>
    <mergeCell ref="H39:M39"/>
    <mergeCell ref="H40:M40"/>
    <mergeCell ref="A39:B39"/>
    <mergeCell ref="A40:B40"/>
    <mergeCell ref="A19:M19"/>
    <mergeCell ref="B26:M26"/>
    <mergeCell ref="B27:M27"/>
    <mergeCell ref="B30:M30"/>
    <mergeCell ref="B29:M29"/>
    <mergeCell ref="G17:J17"/>
    <mergeCell ref="G12:J12"/>
    <mergeCell ref="G13:J13"/>
    <mergeCell ref="G14:J14"/>
    <mergeCell ref="G15:J15"/>
    <mergeCell ref="G16:J16"/>
    <mergeCell ref="A1:B4"/>
    <mergeCell ref="G8:J8"/>
    <mergeCell ref="G9:J9"/>
    <mergeCell ref="G10:J10"/>
    <mergeCell ref="G11:J11"/>
    <mergeCell ref="J2:M2"/>
    <mergeCell ref="J3:M3"/>
    <mergeCell ref="J4:M4"/>
    <mergeCell ref="C3:H3"/>
    <mergeCell ref="K6:M6"/>
  </mergeCells>
  <phoneticPr fontId="0" type="noConversion"/>
  <conditionalFormatting sqref="F9 M9 M15 F15 F17 M17">
    <cfRule type="cellIs" dxfId="8" priority="22" stopIfTrue="1" operator="equal">
      <formula>$W$5</formula>
    </cfRule>
    <cfRule type="cellIs" dxfId="7" priority="23" stopIfTrue="1" operator="equal">
      <formula>$W$3</formula>
    </cfRule>
    <cfRule type="cellIs" dxfId="6" priority="24" stopIfTrue="1" operator="equal">
      <formula>$W$2</formula>
    </cfRule>
  </conditionalFormatting>
  <conditionalFormatting sqref="F16 M16">
    <cfRule type="cellIs" dxfId="5" priority="13" stopIfTrue="1" operator="equal">
      <formula>$W$5</formula>
    </cfRule>
    <cfRule type="cellIs" dxfId="4" priority="14" stopIfTrue="1" operator="equal">
      <formula>$W$3</formula>
    </cfRule>
    <cfRule type="cellIs" dxfId="3" priority="15" stopIfTrue="1" operator="equal">
      <formula>$W$2</formula>
    </cfRule>
  </conditionalFormatting>
  <conditionalFormatting sqref="M10:M14 F10:F14">
    <cfRule type="cellIs" dxfId="2" priority="10" stopIfTrue="1" operator="equal">
      <formula>$W$5</formula>
    </cfRule>
    <cfRule type="cellIs" dxfId="1" priority="11" stopIfTrue="1" operator="equal">
      <formula>$W$3</formula>
    </cfRule>
    <cfRule type="cellIs" dxfId="0" priority="12" stopIfTrue="1" operator="equal">
      <formula>$W$2</formula>
    </cfRule>
  </conditionalFormatting>
  <dataValidations count="2">
    <dataValidation type="list" allowBlank="1" showInputMessage="1" showErrorMessage="1" sqref="K9:K17 D9:D17">
      <formula1>$Q$2:$Q$7</formula1>
    </dataValidation>
    <dataValidation type="list" allowBlank="1" showInputMessage="1" showErrorMessage="1" sqref="L9:L17 E9:E17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9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showWhiteSpace="0" view="pageLayout" workbookViewId="0">
      <selection activeCell="I33" sqref="I3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5703125" style="3" hidden="1" customWidth="1"/>
    <col min="13" max="14" width="9.140625" style="3" hidden="1" customWidth="1"/>
    <col min="15" max="15" width="11.5703125" style="7" hidden="1" customWidth="1"/>
    <col min="16" max="16" width="13.425781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07" t="s">
        <v>67</v>
      </c>
      <c r="B1" s="208"/>
      <c r="C1" s="209"/>
      <c r="D1" s="96"/>
      <c r="E1" s="95"/>
      <c r="F1" s="95"/>
      <c r="G1" s="94"/>
      <c r="H1" s="97"/>
      <c r="I1" s="186" t="s">
        <v>22</v>
      </c>
      <c r="J1" s="187"/>
      <c r="O1" s="14" t="s">
        <v>41</v>
      </c>
      <c r="P1" s="14" t="s">
        <v>42</v>
      </c>
      <c r="Q1" s="14" t="s">
        <v>43</v>
      </c>
      <c r="R1" s="14" t="s">
        <v>44</v>
      </c>
      <c r="S1" s="14" t="s">
        <v>45</v>
      </c>
      <c r="T1" s="14" t="s">
        <v>46</v>
      </c>
      <c r="U1" s="18" t="s">
        <v>47</v>
      </c>
      <c r="V1" s="2"/>
    </row>
    <row r="2" spans="1:22" ht="25.5" customHeight="1" x14ac:dyDescent="0.2">
      <c r="A2" s="210"/>
      <c r="B2" s="211"/>
      <c r="C2" s="212"/>
      <c r="D2" s="192" t="s">
        <v>145</v>
      </c>
      <c r="E2" s="193"/>
      <c r="F2" s="193"/>
      <c r="G2" s="193"/>
      <c r="H2" s="194"/>
      <c r="I2" s="188" t="s">
        <v>146</v>
      </c>
      <c r="J2" s="189"/>
      <c r="N2" s="7"/>
      <c r="O2" s="14">
        <v>1</v>
      </c>
      <c r="P2" s="14" t="s">
        <v>48</v>
      </c>
      <c r="Q2" s="15"/>
      <c r="R2" s="15"/>
      <c r="S2" s="15"/>
      <c r="T2" s="15"/>
      <c r="U2" s="18" t="s">
        <v>49</v>
      </c>
      <c r="V2" s="5"/>
    </row>
    <row r="3" spans="1:22" ht="25.5" customHeight="1" x14ac:dyDescent="0.2">
      <c r="A3" s="213"/>
      <c r="B3" s="214"/>
      <c r="C3" s="215"/>
      <c r="D3" s="98"/>
      <c r="E3" s="99"/>
      <c r="F3" s="99"/>
      <c r="G3" s="99"/>
      <c r="H3" s="100"/>
      <c r="I3" s="190" t="s">
        <v>86</v>
      </c>
      <c r="J3" s="191"/>
      <c r="K3" s="49"/>
      <c r="L3" s="49"/>
      <c r="M3" s="22"/>
    </row>
    <row r="4" spans="1:22" ht="18.75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18" customHeight="1" thickBot="1" x14ac:dyDescent="0.25">
      <c r="A5" s="199" t="s">
        <v>79</v>
      </c>
      <c r="B5" s="200"/>
      <c r="C5" s="216" t="s">
        <v>147</v>
      </c>
      <c r="D5" s="217"/>
      <c r="E5" s="217"/>
      <c r="F5" s="217"/>
      <c r="G5" s="218"/>
      <c r="H5" s="216" t="s">
        <v>148</v>
      </c>
      <c r="I5" s="217"/>
      <c r="J5" s="217"/>
      <c r="K5" s="217"/>
      <c r="L5" s="218"/>
      <c r="M5" s="22"/>
    </row>
    <row r="6" spans="1:22" ht="20.25" customHeight="1" thickBot="1" x14ac:dyDescent="0.25">
      <c r="A6" s="201"/>
      <c r="B6" s="202"/>
      <c r="C6" s="219" t="s">
        <v>149</v>
      </c>
      <c r="D6" s="219" t="s">
        <v>150</v>
      </c>
      <c r="E6" s="219" t="s">
        <v>151</v>
      </c>
      <c r="F6" s="219" t="s">
        <v>152</v>
      </c>
      <c r="G6" s="219" t="s">
        <v>153</v>
      </c>
      <c r="H6" s="81" t="s">
        <v>23</v>
      </c>
      <c r="I6" s="81" t="s">
        <v>24</v>
      </c>
      <c r="J6" s="81" t="s">
        <v>25</v>
      </c>
      <c r="K6" s="21" t="s">
        <v>50</v>
      </c>
      <c r="L6" s="21" t="s">
        <v>51</v>
      </c>
      <c r="M6" s="22"/>
    </row>
    <row r="7" spans="1:22" ht="112.5" x14ac:dyDescent="0.2">
      <c r="A7" s="201"/>
      <c r="B7" s="202"/>
      <c r="C7" s="220"/>
      <c r="D7" s="220"/>
      <c r="E7" s="220"/>
      <c r="F7" s="220"/>
      <c r="G7" s="220"/>
      <c r="H7" s="82" t="s">
        <v>154</v>
      </c>
      <c r="I7" s="82" t="s">
        <v>155</v>
      </c>
      <c r="J7" s="82" t="s">
        <v>156</v>
      </c>
      <c r="K7" s="23" t="s">
        <v>52</v>
      </c>
      <c r="L7" s="23" t="s">
        <v>53</v>
      </c>
      <c r="M7" s="22"/>
    </row>
    <row r="8" spans="1:22" ht="12.75" customHeight="1" x14ac:dyDescent="0.2">
      <c r="A8" s="201"/>
      <c r="B8" s="202"/>
      <c r="C8" s="220"/>
      <c r="D8" s="220"/>
      <c r="E8" s="220"/>
      <c r="F8" s="220"/>
      <c r="G8" s="220"/>
      <c r="H8" s="205" t="s">
        <v>159</v>
      </c>
      <c r="I8" s="205" t="s">
        <v>158</v>
      </c>
      <c r="J8" s="205" t="s">
        <v>157</v>
      </c>
      <c r="K8" s="205" t="s">
        <v>54</v>
      </c>
      <c r="L8" s="205" t="s">
        <v>55</v>
      </c>
      <c r="M8" s="22"/>
    </row>
    <row r="9" spans="1:22" ht="27.95" customHeight="1" thickBot="1" x14ac:dyDescent="0.25">
      <c r="A9" s="203"/>
      <c r="B9" s="204"/>
      <c r="C9" s="221"/>
      <c r="D9" s="221"/>
      <c r="E9" s="221"/>
      <c r="F9" s="221"/>
      <c r="G9" s="221"/>
      <c r="H9" s="206"/>
      <c r="I9" s="206"/>
      <c r="J9" s="206"/>
      <c r="K9" s="206"/>
      <c r="L9" s="206"/>
      <c r="M9" s="22"/>
    </row>
    <row r="10" spans="1:22" ht="64.5" customHeight="1" x14ac:dyDescent="0.2">
      <c r="A10" s="195">
        <v>1</v>
      </c>
      <c r="B10" s="196"/>
      <c r="C10" s="38" t="s">
        <v>160</v>
      </c>
      <c r="D10" s="38" t="s">
        <v>161</v>
      </c>
      <c r="E10" s="38" t="s">
        <v>162</v>
      </c>
      <c r="F10" s="38" t="s">
        <v>163</v>
      </c>
      <c r="G10" s="39" t="s">
        <v>164</v>
      </c>
      <c r="H10" s="30" t="s">
        <v>26</v>
      </c>
      <c r="I10" s="31" t="s">
        <v>27</v>
      </c>
      <c r="J10" s="31" t="s">
        <v>28</v>
      </c>
      <c r="K10" s="40" t="s">
        <v>56</v>
      </c>
      <c r="L10" s="32" t="s">
        <v>57</v>
      </c>
      <c r="M10" s="22"/>
    </row>
    <row r="11" spans="1:22" ht="65.099999999999994" customHeight="1" x14ac:dyDescent="0.2">
      <c r="A11" s="197">
        <v>2</v>
      </c>
      <c r="B11" s="198"/>
      <c r="C11" s="24" t="s">
        <v>165</v>
      </c>
      <c r="D11" s="24" t="s">
        <v>166</v>
      </c>
      <c r="E11" s="38" t="s">
        <v>167</v>
      </c>
      <c r="F11" s="24" t="s">
        <v>168</v>
      </c>
      <c r="G11" s="28" t="s">
        <v>169</v>
      </c>
      <c r="H11" s="33" t="s">
        <v>29</v>
      </c>
      <c r="I11" s="34" t="s">
        <v>30</v>
      </c>
      <c r="J11" s="34" t="s">
        <v>31</v>
      </c>
      <c r="K11" s="35" t="s">
        <v>58</v>
      </c>
      <c r="L11" s="36" t="s">
        <v>59</v>
      </c>
      <c r="M11" s="22"/>
    </row>
    <row r="12" spans="1:22" ht="66" customHeight="1" x14ac:dyDescent="0.2">
      <c r="A12" s="197">
        <v>3</v>
      </c>
      <c r="B12" s="198"/>
      <c r="C12" s="24" t="s">
        <v>170</v>
      </c>
      <c r="D12" s="24" t="s">
        <v>171</v>
      </c>
      <c r="E12" s="38" t="s">
        <v>172</v>
      </c>
      <c r="F12" s="24" t="s">
        <v>173</v>
      </c>
      <c r="G12" s="28" t="s">
        <v>174</v>
      </c>
      <c r="H12" s="33" t="s">
        <v>32</v>
      </c>
      <c r="I12" s="34" t="s">
        <v>33</v>
      </c>
      <c r="J12" s="35" t="s">
        <v>34</v>
      </c>
      <c r="K12" s="35" t="s">
        <v>60</v>
      </c>
      <c r="L12" s="41" t="s">
        <v>61</v>
      </c>
      <c r="M12" s="22"/>
    </row>
    <row r="13" spans="1:22" ht="64.5" customHeight="1" x14ac:dyDescent="0.2">
      <c r="A13" s="197">
        <v>4</v>
      </c>
      <c r="B13" s="198"/>
      <c r="C13" s="24" t="s">
        <v>175</v>
      </c>
      <c r="D13" s="24" t="s">
        <v>176</v>
      </c>
      <c r="E13" s="38" t="s">
        <v>177</v>
      </c>
      <c r="F13" s="24" t="s">
        <v>178</v>
      </c>
      <c r="G13" s="28" t="s">
        <v>179</v>
      </c>
      <c r="H13" s="33" t="s">
        <v>35</v>
      </c>
      <c r="I13" s="35" t="s">
        <v>36</v>
      </c>
      <c r="J13" s="35" t="s">
        <v>37</v>
      </c>
      <c r="K13" s="42" t="s">
        <v>62</v>
      </c>
      <c r="L13" s="41" t="s">
        <v>63</v>
      </c>
      <c r="M13" s="22"/>
    </row>
    <row r="14" spans="1:22" ht="65.45" customHeight="1" thickBot="1" x14ac:dyDescent="0.25">
      <c r="A14" s="184">
        <v>5</v>
      </c>
      <c r="B14" s="185"/>
      <c r="C14" s="25" t="s">
        <v>180</v>
      </c>
      <c r="D14" s="25" t="s">
        <v>181</v>
      </c>
      <c r="E14" s="25" t="s">
        <v>182</v>
      </c>
      <c r="F14" s="25" t="s">
        <v>183</v>
      </c>
      <c r="G14" s="29" t="s">
        <v>184</v>
      </c>
      <c r="H14" s="45" t="s">
        <v>38</v>
      </c>
      <c r="I14" s="37" t="s">
        <v>39</v>
      </c>
      <c r="J14" s="43" t="s">
        <v>40</v>
      </c>
      <c r="K14" s="43" t="s">
        <v>64</v>
      </c>
      <c r="L14" s="44" t="s">
        <v>65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58.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129.75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5DBCF-E2DA-4D23-9549-E8E78AF171AB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2014-11-10T14:56:30Z</cp:lastPrinted>
  <dcterms:created xsi:type="dcterms:W3CDTF">2011-02-21T14:14:41Z</dcterms:created>
  <dcterms:modified xsi:type="dcterms:W3CDTF">2024-07-21T12:39:21Z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