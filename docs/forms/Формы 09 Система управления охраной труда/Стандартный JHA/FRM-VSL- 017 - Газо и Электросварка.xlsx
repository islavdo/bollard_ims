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E:\JHA\ACOP\"/>
    </mc:Choice>
  </mc:AlternateContent>
  <bookViews>
    <workbookView xWindow="0" yWindow="0" windowWidth="23040" windowHeight="9195" tabRatio="307"/>
  </bookViews>
  <sheets>
    <sheet name="АСОР" sheetId="1" r:id="rId1"/>
    <sheet name="МОР" sheetId="3" r:id="rId2"/>
  </sheets>
  <definedNames>
    <definedName name="Strongly_emphasise_each_individual_s__71" localSheetId="0">АСОР!$O$50</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1">МОР!$A$1:$V$34</definedName>
  </definedNames>
  <calcPr calcId="162913" concurrentCalc="0"/>
</workbook>
</file>

<file path=xl/calcChain.xml><?xml version="1.0" encoding="utf-8"?>
<calcChain xmlns="http://schemas.openxmlformats.org/spreadsheetml/2006/main">
  <c r="T16" i="1" l="1"/>
  <c r="V16" i="1"/>
  <c r="S16" i="1"/>
  <c r="U16" i="1"/>
  <c r="M16" i="1"/>
  <c r="F16" i="1"/>
  <c r="T15" i="1"/>
  <c r="V15" i="1"/>
  <c r="M15" i="1"/>
  <c r="S15" i="1"/>
  <c r="U15" i="1"/>
  <c r="F15" i="1"/>
  <c r="T14" i="1"/>
  <c r="V14" i="1"/>
  <c r="S14" i="1"/>
  <c r="U14" i="1"/>
  <c r="F14" i="1"/>
  <c r="M14" i="1"/>
  <c r="T13" i="1"/>
  <c r="V13" i="1"/>
  <c r="S13" i="1"/>
  <c r="U13" i="1"/>
  <c r="F13" i="1"/>
  <c r="M13" i="1"/>
  <c r="T12" i="1"/>
  <c r="V12" i="1"/>
  <c r="M12" i="1"/>
  <c r="S12" i="1"/>
  <c r="U12" i="1"/>
  <c r="F12" i="1"/>
  <c r="T11" i="1"/>
  <c r="V11" i="1"/>
  <c r="M11" i="1"/>
  <c r="S11" i="1"/>
  <c r="U11" i="1"/>
  <c r="F11" i="1"/>
  <c r="T10" i="1"/>
  <c r="V10" i="1"/>
  <c r="M10" i="1"/>
  <c r="S10" i="1"/>
  <c r="U10" i="1"/>
  <c r="F10" i="1"/>
  <c r="S9" i="1"/>
  <c r="U9" i="1"/>
  <c r="F9" i="1"/>
  <c r="T9" i="1"/>
  <c r="V9" i="1"/>
  <c r="M9" i="1"/>
  <c r="U8" i="1"/>
</calcChain>
</file>

<file path=xl/sharedStrings.xml><?xml version="1.0" encoding="utf-8"?>
<sst xmlns="http://schemas.openxmlformats.org/spreadsheetml/2006/main" count="192" uniqueCount="180">
  <si>
    <r>
      <rPr>
        <b/>
        <sz val="14"/>
        <rFont val="Arial"/>
        <family val="2"/>
      </rPr>
      <t>FRM-VSL-09-1301-001</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</si>
  <si>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</si>
  <si>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</si>
  <si>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</si>
  <si>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</si>
  <si>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</si>
  <si>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</si>
  <si>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</si>
  <si>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D</t>
    </r>
  </si>
  <si>
    <r>
      <rPr>
        <sz val="12"/>
        <rFont val="Arial"/>
        <family val="2"/>
      </rPr>
      <t>C</t>
    </r>
  </si>
  <si>
    <r>
      <rPr>
        <sz val="12"/>
        <rFont val="Arial"/>
        <family val="2"/>
      </rPr>
      <t>C</t>
    </r>
  </si>
  <si>
    <r>
      <rPr>
        <sz val="12"/>
        <rFont val="Arial"/>
        <family val="2"/>
      </rPr>
      <t>E</t>
    </r>
  </si>
  <si>
    <r>
      <rPr>
        <sz val="12"/>
        <rFont val="Arial"/>
        <family val="2"/>
      </rPr>
      <t>E</t>
    </r>
  </si>
  <si>
    <r>
      <rPr>
        <sz val="12"/>
        <rFont val="Arial"/>
        <family val="2"/>
      </rPr>
      <t>D</t>
    </r>
  </si>
  <si>
    <r>
      <rPr>
        <sz val="12"/>
        <rFont val="Arial"/>
        <family val="2"/>
      </rPr>
      <t>D</t>
    </r>
  </si>
  <si>
    <t>Severity</t>
  </si>
  <si>
    <t>Likelihood</t>
  </si>
  <si>
    <t>Likelihood tranf initial</t>
  </si>
  <si>
    <t>Likelihood tranf residual</t>
  </si>
  <si>
    <t>Initial</t>
  </si>
  <si>
    <t>residual</t>
  </si>
  <si>
    <t xml:space="preserve">Risk </t>
  </si>
  <si>
    <t>A</t>
  </si>
  <si>
    <t>L</t>
  </si>
  <si>
    <t>B</t>
  </si>
  <si>
    <t>M</t>
  </si>
  <si>
    <t>C</t>
  </si>
  <si>
    <t>H</t>
  </si>
  <si>
    <t>D</t>
  </si>
  <si>
    <t>E</t>
  </si>
  <si>
    <r>
      <rPr>
        <b/>
        <sz val="11"/>
        <rFont val="Arial"/>
        <family val="2"/>
      </rPr>
      <t>FRM-VSL-09-1301-001</t>
    </r>
  </si>
  <si>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</si>
  <si>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</si>
  <si>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</si>
  <si>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</si>
  <si>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</si>
  <si>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</si>
  <si>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</si>
  <si>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</si>
  <si>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</si>
  <si>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</si>
  <si>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</si>
  <si>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</si>
  <si>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</si>
  <si>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</si>
  <si>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</si>
  <si>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</si>
  <si>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</si>
  <si>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</si>
  <si>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Severity</t>
  </si>
  <si>
    <t>Likelihood</t>
  </si>
  <si>
    <t>Likelihood tranf initial</t>
  </si>
  <si>
    <t>Likelihood tranf residual</t>
  </si>
  <si>
    <t>Initial</t>
  </si>
  <si>
    <t>residual</t>
  </si>
  <si>
    <t xml:space="preserve">Risk </t>
  </si>
  <si>
    <t>A</t>
  </si>
  <si>
    <t>L</t>
  </si>
  <si>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</si>
  <si>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</si>
  <si>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</si>
  <si>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</si>
  <si>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</si>
  <si>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</si>
  <si>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</si>
  <si>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</si>
  <si>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</si>
  <si>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</si>
  <si>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</si>
  <si>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</si>
  <si>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</si>
  <si>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</si>
  <si>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FRM-VSL-007</t>
  </si>
  <si>
    <t xml:space="preserve">ООО «Боллард»
РФ, Краснодарский край, 
353919, г. Новороссийск,
 Мысхакское шоссе, д. 75 помещение 209 
Тел.: 8(8617) 70 00 95
Эл. почта: info@bollard-marine.group </t>
  </si>
  <si>
    <t>АНАЛИЗ СТЕПЕНИ ОПАСНОСТИ РАБОТ (АСОР)</t>
  </si>
  <si>
    <t>Файл 09</t>
  </si>
  <si>
    <t>Срок хранения 3 года</t>
  </si>
  <si>
    <t xml:space="preserve"> Описание работ</t>
  </si>
  <si>
    <t>Номер оценки рисков</t>
  </si>
  <si>
    <t xml:space="preserve"> Оборудование</t>
  </si>
  <si>
    <t xml:space="preserve"> Исходный риск</t>
  </si>
  <si>
    <t xml:space="preserve"> Дата</t>
  </si>
  <si>
    <t>Название судна</t>
  </si>
  <si>
    <t>Этапы работ</t>
  </si>
  <si>
    <t xml:space="preserve"> Этап</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</si>
  <si>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</si>
  <si>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</si>
  <si>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</si>
  <si>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</si>
  <si>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</si>
  <si>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Остаточный риск</t>
  </si>
  <si>
    <t>Риск</t>
  </si>
  <si>
    <t>Эксплуатация сварочного аппарата</t>
  </si>
  <si>
    <t xml:space="preserve">1) Электрошок/поражение электрическим током
2) Блуждающий ток - вызывает дуговой разряд на расстоянии участка работ.
</t>
  </si>
  <si>
    <t>1) Исправное состояние сварочного аппарата, кабелей, зажима заземления, держателя электрода
2) Используйте сухие сварочные перчатки, в исправном состоянии.
3) Закрепление зажима заземления рядом с участком работ - не использовать корпус корабля в качестве обратной цепи.
4) Отключайте оборудование, если оно не используется.
5) К производству работ допускаются только компетентные специалисты.
6) Оборудование источника питания переносных сварочных аппаратов 220 В УЗО.
7) Защита сварочного аппарата от попадания воды.</t>
  </si>
  <si>
    <t xml:space="preserve">
1) Хорошо проветриваемый участок
2) Использование маски для защиты от сварочного дыма/частиц.
3) Отсутствие цинкования на материале для сварки
4) Ограниченное время воздействия паров
</t>
  </si>
  <si>
    <t xml:space="preserve"> Эксплуатация сварочного аппарата</t>
  </si>
  <si>
    <t>Вдыхание дыма/паров - повреждения в результате краткого и длительного воздействия</t>
  </si>
  <si>
    <t>Травма глаза излучением электрической дуги - от легкого раздражения до устойчивого повреждения.</t>
  </si>
  <si>
    <t>Ожоги от излучения - от легкого раздражения до устойчивого повреждения</t>
  </si>
  <si>
    <t xml:space="preserve">
1) Постоянное использование надлежащего щитка или маски.
2) Использование экранов для сварки для защиты остального персонала от вспышек.
</t>
  </si>
  <si>
    <t>1)  Покрывайте все участки кожи.
2)  Сварочные экраны для защиты остального персонала</t>
  </si>
  <si>
    <t>Ожоги от сварочных брызг</t>
  </si>
  <si>
    <t>1) Огнезащитная спецодежда для всех сварочных работ.
2) Спецодежда должна быть застегнута соответствующим образом, короткие рукава не допускаются
3) Спецодежда не должна быть загрязнена маслом или смазкой
4) Если приемлемо, рекомендуется сварочный фартук</t>
  </si>
  <si>
    <t>Возгорание/взрыв</t>
  </si>
  <si>
    <t>1) Удаление воспламеняющихся материалов с участка. 
2) Использование противопожарного полотна типа «Tygashield» для локализации сварочных брызг.
3) Организация брандвахты - понимание своих обязанностей.
4) Наличие на площадке соответствующего огнетушителя.
5) Присутствие брандвахты на другой стороне переборки или на нижней/верхней палубе (если применимо).
6) Запрет на сварку в замкнутом пространстве, или в тех местах, где возможно присутствие воспламеняющегося газа.</t>
  </si>
  <si>
    <t>Попадание горячей или холодной окалины в глаза. Временное или постоянное повреждение. Попадание горячей окалины на незащищенную кожу - очаговый ожог</t>
  </si>
  <si>
    <t xml:space="preserve"> Использование защитных очков/лицевого щитка при зачистке сварочных швов, защиты кожи.</t>
  </si>
  <si>
    <t xml:space="preserve"> Анализ степени опасности работ подлежит обсуждению на инструктаже в начале каждой смены как минимум. АСОР подлежит проверке в конце каждой смены с целью определения дополнительных / других опасностей.</t>
  </si>
  <si>
    <t xml:space="preserve">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</si>
  <si>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t>
    </r>
    <r>
      <rPr>
        <b/>
        <i/>
        <sz val="10"/>
        <color rgb="FF000000"/>
        <rFont val="Arial"/>
        <family val="2"/>
        <charset val="204"/>
      </rPr>
      <t>должны</t>
    </r>
    <r>
      <rPr>
        <b/>
        <sz val="10"/>
        <color rgb="FF000000"/>
        <rFont val="Arial"/>
        <family val="2"/>
        <charset val="204"/>
      </rPr>
      <t xml:space="preserve"> присутствовать на инструктаже на рабочем месте.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</si>
  <si>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</si>
  <si>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</si>
  <si>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</si>
  <si>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</si>
  <si>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xml:space="preserve"> *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</si>
  <si>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</si>
  <si>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</si>
  <si>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</si>
  <si>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</si>
  <si>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</si>
  <si>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</si>
  <si>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</si>
  <si>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</si>
  <si>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</si>
  <si>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</si>
  <si>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</si>
  <si>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ФИО</t>
  </si>
  <si>
    <t>Должность</t>
  </si>
  <si>
    <t>Подпись</t>
  </si>
  <si>
    <t>Замечания, если имеются «БЕЗОПАСНОСТЬ - МОЯ ЛИЧНАЯ ЦЕННОСТЬ»</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</si>
  <si>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</si>
  <si>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</si>
  <si>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</si>
  <si>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</si>
  <si>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</si>
  <si>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</si>
  <si>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</si>
  <si>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ФАЙЛ 09</t>
  </si>
  <si>
    <t>Последствия</t>
  </si>
  <si>
    <t>Возрастающая вероятность</t>
  </si>
  <si>
    <t>Люди</t>
  </si>
  <si>
    <t>Окружающая среда</t>
  </si>
  <si>
    <t>Имущество</t>
  </si>
  <si>
    <t>Репутация</t>
  </si>
  <si>
    <t>График</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</si>
  <si>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</si>
  <si>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</si>
  <si>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Происходило в Компании в прошлом году или более одного раза в год в сфере морских судов обеспечения (на берегу или в плавании)</t>
  </si>
  <si>
    <t xml:space="preserve"> Крайне маловероятно</t>
  </si>
  <si>
    <t xml:space="preserve"> Маловероятно</t>
  </si>
  <si>
    <t xml:space="preserve"> Возможно</t>
  </si>
  <si>
    <t xml:space="preserve"> Травмы с оказанием доврачебной помощи</t>
  </si>
  <si>
    <t xml:space="preserve"> Незначительное воздействие</t>
  </si>
  <si>
    <t xml:space="preserve"> Незначительное повреждение 
&lt; 500€ / евро</t>
  </si>
  <si>
    <t xml:space="preserve"> Незначительное негативное воздействие</t>
  </si>
  <si>
    <t xml:space="preserve"> задержка 1 час</t>
  </si>
  <si>
    <t xml:space="preserve"> Медицинская помощь, травма с ограничением рабочих функций</t>
  </si>
  <si>
    <t xml:space="preserve"> Несущественное воздействие 
&lt; литров</t>
  </si>
  <si>
    <t xml:space="preserve"> Несущественное повреждение 
&lt; 5000€ / евро</t>
  </si>
  <si>
    <t xml:space="preserve"> Несущественное негативное воздействие</t>
  </si>
  <si>
    <t xml:space="preserve"> задержка 1–12 часов</t>
  </si>
  <si>
    <t xml:space="preserve"> Травма, ведущая к потере трудоспособности или к частичной нетрудоспособности</t>
  </si>
  <si>
    <t xml:space="preserve"> Умеренное воздействие
10 l литров - 1 баррель</t>
  </si>
  <si>
    <t xml:space="preserve"> Умеренное повреждение 
&lt;50.000€ / евро</t>
  </si>
  <si>
    <t xml:space="preserve"> Умеренное негативное воздействие</t>
  </si>
  <si>
    <t xml:space="preserve"> задержка 12-48 часов</t>
  </si>
  <si>
    <t>Постоянная утрата трудоспособности или летальный исход</t>
  </si>
  <si>
    <t xml:space="preserve"> Значительное воздействие
1-10 баррелей</t>
  </si>
  <si>
    <t xml:space="preserve"> Значительное повреждение 
&lt;500.000€ / евро</t>
  </si>
  <si>
    <t xml:space="preserve"> Значительное негативное воздействие</t>
  </si>
  <si>
    <t>Задержка 48 часов – 7 дней</t>
  </si>
  <si>
    <t>Более 1 смертельного случая</t>
  </si>
  <si>
    <t xml:space="preserve"> Сильное воздействие
&gt; 10 баррелей</t>
  </si>
  <si>
    <t xml:space="preserve"> Обширное повреждение
&gt; 500.000€ / евро</t>
  </si>
  <si>
    <t>Сильное негативное воздействие</t>
  </si>
  <si>
    <t>Задержка более 7 дней</t>
  </si>
  <si>
    <t>Учетная документация по инструктажам на рабочем месте</t>
  </si>
  <si>
    <r>
      <rPr>
        <sz val="10"/>
        <color rgb="FF000000"/>
        <rFont val="Arial"/>
        <family val="2"/>
        <charset val="204"/>
      </rPr>
      <t xml:space="preserve">The following items </t>
    </r>
    <r>
      <rPr>
        <i/>
        <sz val="10"/>
        <color rgb="FF000000"/>
        <rFont val="Arial"/>
        <family val="2"/>
        <charset val="204"/>
      </rPr>
      <t>shall</t>
    </r>
    <r>
      <rPr>
        <sz val="10"/>
        <color rgb="FF000000"/>
        <rFont val="Arial"/>
        <family val="2"/>
        <charset val="204"/>
      </rPr>
      <t xml:space="preserve"> be reviewed / </t>
    </r>
    <r>
      <rPr>
        <i/>
        <sz val="10"/>
        <color rgb="FF000000"/>
        <rFont val="Arial"/>
        <family val="2"/>
        <charset val="204"/>
      </rPr>
      <t>Необходимо</t>
    </r>
    <r>
      <rPr>
        <sz val="10"/>
        <color rgb="FF000000"/>
        <rFont val="Arial"/>
        <family val="2"/>
        <charset val="204"/>
      </rPr>
      <t xml:space="preserve"> проверить следующие пункты:</t>
    </r>
  </si>
  <si>
    <t>Газо и Электросварка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</si>
</sst>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0"/>
      <name val="Arial"/>
    </font>
    <font>
      <sz val="14"/>
      <name val="Arial"/>
      <family val="2"/>
    </font>
    <font>
      <b/>
      <i/>
      <sz val="12"/>
      <name val="Arial"/>
      <family val="2"/>
    </font>
    <font>
      <sz val="12"/>
      <name val="Arial"/>
      <family val="2"/>
    </font>
    <font>
      <sz val="10"/>
      <name val="Arial"/>
      <family val="2"/>
    </font>
    <font>
      <b/>
      <sz val="10"/>
      <name val="Arial"/>
      <family val="2"/>
    </font>
    <font>
      <sz val="10"/>
      <name val="Arial"/>
      <family val="2"/>
    </font>
    <font>
      <b/>
      <sz val="12"/>
      <name val="Arial"/>
      <family val="2"/>
    </font>
    <font>
      <b/>
      <sz val="10"/>
      <color indexed="8"/>
      <name val="Arial"/>
      <family val="2"/>
    </font>
    <font>
      <b/>
      <sz val="14"/>
      <name val="Arial"/>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b/>
      <sz val="16"/>
      <color theme="0"/>
      <name val="Arial"/>
      <family val="2"/>
    </font>
    <font>
      <b/>
      <sz val="18"/>
      <color theme="0"/>
      <name val="Arial"/>
      <family val="2"/>
    </font>
    <font>
      <b/>
      <i/>
      <sz val="12"/>
      <color theme="0"/>
      <name val="Arial"/>
      <family val="2"/>
    </font>
    <font>
      <b/>
      <i/>
      <sz val="10"/>
      <color rgb="FF000000"/>
      <name val="Arial"/>
      <family val="2"/>
      <charset val="204"/>
    </font>
    <font>
      <b/>
      <sz val="10"/>
      <color rgb="FF000000"/>
      <name val="Arial"/>
      <family val="2"/>
      <charset val="204"/>
    </font>
    <font>
      <sz val="10"/>
      <color rgb="FF000000"/>
      <name val="Arial"/>
      <family val="2"/>
      <charset val="204"/>
    </font>
    <font>
      <sz val="10"/>
      <color rgb="FF000000"/>
      <name val="Arial"/>
      <family val="2"/>
    </font>
    <font>
      <sz val="8"/>
      <color theme="0"/>
      <name val="Arial"/>
      <family val="2"/>
    </font>
    <font>
      <sz val="8"/>
      <color indexed="62"/>
      <name val="Arial Black"/>
      <family val="2"/>
    </font>
    <font>
      <sz val="8"/>
      <color rgb="FF006666"/>
      <name val="Arial Black"/>
      <family val="2"/>
    </font>
    <font>
      <sz val="11"/>
      <color theme="0"/>
      <name val="Arial"/>
      <family val="2"/>
    </font>
    <font>
      <sz val="10"/>
      <color indexed="8"/>
      <name val="Arial"/>
      <family val="2"/>
      <charset val="204"/>
    </font>
    <font>
      <i/>
      <sz val="10"/>
      <color rgb="FF000000"/>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00FF"/>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28">
    <xf numFmtId="0" fontId="0" fillId="0" borderId="0" xfId="0"/>
    <xf numFmtId="0" fontId="10" fillId="2" borderId="0" xfId="0" applyFont="1" applyFill="1"/>
    <xf numFmtId="0" fontId="13" fillId="2" borderId="0" xfId="0" applyFont="1" applyFill="1" applyBorder="1" applyAlignment="1">
      <alignment horizontal="right" vertical="center"/>
    </xf>
    <xf numFmtId="0" fontId="0" fillId="2" borderId="0" xfId="0" applyFill="1" applyAlignment="1">
      <alignment vertical="center" wrapText="1"/>
    </xf>
    <xf numFmtId="0" fontId="12" fillId="2" borderId="0" xfId="0" applyFont="1" applyFill="1" applyBorder="1" applyAlignment="1">
      <alignment vertical="center"/>
    </xf>
    <xf numFmtId="0" fontId="1" fillId="2" borderId="0" xfId="0" applyFont="1" applyFill="1" applyBorder="1" applyAlignment="1" applyProtection="1">
      <alignment horizontal="right" vertical="center"/>
    </xf>
    <xf numFmtId="0" fontId="0" fillId="2" borderId="1" xfId="0" applyFill="1" applyBorder="1" applyAlignment="1" applyProtection="1">
      <alignment horizontal="left" vertical="center" wrapText="1"/>
      <protection locked="0"/>
    </xf>
    <xf numFmtId="0" fontId="4"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4" fillId="2" borderId="1" xfId="0" applyNumberFormat="1" applyFont="1" applyFill="1" applyBorder="1" applyAlignment="1" applyProtection="1">
      <alignment horizontal="left" vertical="center" wrapText="1"/>
      <protection locked="0"/>
    </xf>
    <xf numFmtId="0" fontId="4" fillId="2" borderId="0" xfId="0" applyFont="1" applyFill="1" applyAlignment="1">
      <alignment wrapText="1"/>
    </xf>
    <xf numFmtId="0" fontId="7" fillId="2" borderId="0" xfId="0" applyFont="1" applyFill="1" applyAlignment="1">
      <alignment vertical="center" wrapText="1"/>
    </xf>
    <xf numFmtId="0" fontId="3" fillId="2"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left" vertical="center" wrapText="1" shrinkToFit="1"/>
      <protection locked="0"/>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4" xfId="0" applyFont="1" applyFill="1" applyBorder="1" applyAlignment="1">
      <alignment vertical="center" wrapText="1"/>
    </xf>
    <xf numFmtId="1" fontId="0" fillId="2" borderId="1" xfId="0" applyNumberFormat="1" applyFill="1" applyBorder="1" applyAlignment="1">
      <alignment vertical="center" wrapText="1"/>
    </xf>
    <xf numFmtId="1" fontId="3" fillId="2" borderId="1" xfId="0" applyNumberFormat="1" applyFont="1" applyFill="1" applyBorder="1" applyAlignment="1" applyProtection="1">
      <alignment horizontal="center" vertical="center" wrapText="1"/>
      <protection locked="0"/>
    </xf>
    <xf numFmtId="0" fontId="16" fillId="3" borderId="5" xfId="0" applyFont="1" applyFill="1" applyBorder="1" applyAlignment="1">
      <alignment horizontal="justify" vertical="top" wrapText="1"/>
    </xf>
    <xf numFmtId="0" fontId="0" fillId="2" borderId="0" xfId="0" applyFill="1"/>
    <xf numFmtId="0" fontId="14" fillId="0" borderId="6" xfId="0" applyFont="1" applyBorder="1" applyAlignment="1">
      <alignment horizontal="center" vertical="top" wrapText="1"/>
    </xf>
    <xf numFmtId="0" fontId="18" fillId="0" borderId="1" xfId="0" applyFont="1" applyBorder="1" applyAlignment="1">
      <alignment horizontal="center" vertical="center" wrapText="1"/>
    </xf>
    <xf numFmtId="0" fontId="18" fillId="0" borderId="7" xfId="0" applyFont="1" applyBorder="1" applyAlignment="1">
      <alignment horizontal="center" vertical="center" wrapText="1"/>
    </xf>
    <xf numFmtId="0" fontId="23" fillId="2" borderId="0" xfId="0" applyFont="1" applyFill="1" applyBorder="1" applyAlignment="1">
      <alignment horizontal="center" vertical="center" wrapText="1"/>
    </xf>
    <xf numFmtId="0" fontId="19" fillId="2" borderId="0" xfId="0" applyFont="1" applyFill="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23" fillId="4" borderId="10" xfId="0" applyFont="1" applyFill="1" applyBorder="1" applyAlignment="1">
      <alignment horizontal="center" vertical="center" wrapText="1"/>
    </xf>
    <xf numFmtId="0" fontId="23" fillId="4" borderId="11" xfId="0" applyFont="1" applyFill="1" applyBorder="1" applyAlignment="1">
      <alignment horizontal="center" vertical="center" wrapText="1"/>
    </xf>
    <xf numFmtId="0" fontId="19" fillId="5" borderId="12"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24" fillId="4" borderId="11"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4" fillId="6" borderId="15" xfId="0" applyFont="1" applyFill="1" applyBorder="1" applyAlignment="1">
      <alignment horizontal="center" vertical="center" wrapText="1"/>
    </xf>
    <xf numFmtId="0" fontId="19" fillId="5" borderId="16" xfId="0" applyFont="1" applyFill="1" applyBorder="1" applyAlignment="1">
      <alignment horizontal="center" vertical="center" wrapText="1"/>
    </xf>
    <xf numFmtId="0" fontId="9" fillId="2" borderId="0" xfId="0" applyFont="1" applyFill="1" applyAlignment="1">
      <alignment horizontal="left" vertical="center"/>
    </xf>
    <xf numFmtId="0" fontId="15" fillId="2" borderId="0" xfId="0" applyFont="1" applyFill="1" applyBorder="1" applyAlignment="1">
      <alignment horizontal="center" wrapText="1"/>
    </xf>
    <xf numFmtId="0" fontId="18" fillId="2" borderId="0" xfId="0" applyFont="1" applyFill="1" applyBorder="1" applyAlignment="1">
      <alignment horizontal="center" vertical="center" wrapText="1"/>
    </xf>
    <xf numFmtId="0" fontId="7" fillId="2" borderId="0" xfId="0" applyFont="1" applyFill="1" applyAlignment="1">
      <alignment horizontal="left" vertical="center"/>
    </xf>
    <xf numFmtId="0" fontId="2" fillId="2" borderId="0" xfId="0" applyFont="1" applyFill="1" applyBorder="1" applyAlignment="1">
      <alignment horizontal="left" vertical="center" indent="1"/>
    </xf>
    <xf numFmtId="0" fontId="0" fillId="2" borderId="0" xfId="0" applyFill="1" applyBorder="1" applyAlignment="1">
      <alignment vertical="center" wrapText="1"/>
    </xf>
    <xf numFmtId="0" fontId="22" fillId="2" borderId="18" xfId="0" applyFont="1" applyFill="1" applyBorder="1" applyAlignment="1">
      <alignment horizontal="center"/>
    </xf>
    <xf numFmtId="0" fontId="22" fillId="2" borderId="19" xfId="0" applyFont="1" applyFill="1" applyBorder="1" applyAlignment="1">
      <alignment horizontal="center"/>
    </xf>
    <xf numFmtId="0" fontId="10" fillId="2" borderId="19" xfId="0" applyFont="1" applyFill="1" applyBorder="1"/>
    <xf numFmtId="0" fontId="10" fillId="2" borderId="21" xfId="0" applyFont="1" applyFill="1" applyBorder="1"/>
    <xf numFmtId="0" fontId="2" fillId="2" borderId="29" xfId="0" applyFont="1" applyFill="1" applyBorder="1" applyAlignment="1">
      <alignment horizontal="left" vertical="center" indent="1"/>
    </xf>
    <xf numFmtId="0" fontId="12" fillId="2" borderId="30" xfId="0" applyFont="1" applyFill="1" applyBorder="1" applyAlignment="1">
      <alignment vertical="center"/>
    </xf>
    <xf numFmtId="0" fontId="0" fillId="2" borderId="30" xfId="0" applyFill="1" applyBorder="1" applyAlignment="1">
      <alignment vertical="center" wrapText="1"/>
    </xf>
    <xf numFmtId="0" fontId="0" fillId="2" borderId="29" xfId="0" applyFill="1" applyBorder="1" applyAlignment="1">
      <alignment vertical="center" wrapText="1"/>
    </xf>
    <xf numFmtId="0" fontId="10" fillId="2" borderId="18" xfId="0" applyFont="1" applyFill="1" applyBorder="1"/>
    <xf numFmtId="0" fontId="0" fillId="2" borderId="21" xfId="0" applyFill="1" applyBorder="1" applyAlignment="1">
      <alignment vertical="center" wrapText="1"/>
    </xf>
    <xf numFmtId="0" fontId="0" fillId="2" borderId="17" xfId="0" applyFill="1" applyBorder="1" applyAlignment="1">
      <alignment vertical="center" wrapText="1"/>
    </xf>
    <xf numFmtId="0" fontId="5" fillId="2" borderId="17" xfId="0" applyFont="1" applyFill="1" applyBorder="1" applyAlignment="1" applyProtection="1">
      <alignment horizontal="centerContinuous" vertical="center" wrapText="1" shrinkToFit="1"/>
      <protection locked="0"/>
    </xf>
    <xf numFmtId="0" fontId="5" fillId="2" borderId="4" xfId="0" applyFont="1" applyFill="1" applyBorder="1" applyAlignment="1" applyProtection="1">
      <alignment horizontal="centerContinuous" vertical="center" wrapText="1" shrinkToFit="1"/>
      <protection locked="0"/>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9" xfId="0" applyFont="1" applyFill="1" applyBorder="1" applyAlignment="1">
      <alignment wrapText="1"/>
    </xf>
    <xf numFmtId="0" fontId="4" fillId="2" borderId="0" xfId="0" applyFont="1" applyFill="1" applyBorder="1" applyAlignment="1">
      <alignment wrapText="1"/>
    </xf>
    <xf numFmtId="0" fontId="4" fillId="2" borderId="30" xfId="0" applyFont="1" applyFill="1" applyBorder="1" applyAlignment="1">
      <alignment wrapText="1"/>
    </xf>
    <xf numFmtId="0" fontId="27" fillId="8" borderId="19" xfId="0" applyFont="1" applyFill="1" applyBorder="1" applyAlignment="1">
      <alignment horizontal="center"/>
    </xf>
    <xf numFmtId="0" fontId="28" fillId="8" borderId="19" xfId="0" applyFont="1" applyFill="1" applyBorder="1" applyAlignment="1">
      <alignment horizontal="left" vertical="center" indent="1"/>
    </xf>
    <xf numFmtId="0" fontId="25" fillId="8" borderId="19" xfId="0" applyFont="1" applyFill="1" applyBorder="1" applyAlignment="1">
      <alignment vertical="center"/>
    </xf>
    <xf numFmtId="0" fontId="25" fillId="8" borderId="19" xfId="0" applyFont="1" applyFill="1" applyBorder="1" applyAlignment="1">
      <alignment horizontal="left" vertical="center"/>
    </xf>
    <xf numFmtId="0" fontId="25" fillId="8" borderId="21" xfId="0" applyFont="1" applyFill="1" applyBorder="1" applyAlignment="1" applyProtection="1">
      <alignment horizontal="right" vertical="center"/>
    </xf>
    <xf numFmtId="0" fontId="3" fillId="2" borderId="8"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1" fillId="8" borderId="1" xfId="0" applyFont="1" applyFill="1" applyBorder="1" applyAlignment="1">
      <alignment horizontal="right" vertical="center" wrapText="1"/>
    </xf>
    <xf numFmtId="0" fontId="20" fillId="8" borderId="1" xfId="0" applyFont="1" applyFill="1" applyBorder="1" applyAlignment="1">
      <alignment horizontal="left" vertical="center" wrapText="1"/>
    </xf>
    <xf numFmtId="0" fontId="20" fillId="8" borderId="1" xfId="0" applyFont="1" applyFill="1" applyBorder="1" applyAlignment="1">
      <alignment vertical="center" wrapText="1"/>
    </xf>
    <xf numFmtId="0" fontId="7" fillId="2" borderId="14" xfId="0" applyFont="1" applyFill="1" applyBorder="1" applyAlignment="1">
      <alignment horizontal="left" vertical="center"/>
    </xf>
    <xf numFmtId="0" fontId="7" fillId="2" borderId="22" xfId="0" applyFont="1" applyFill="1" applyBorder="1" applyAlignment="1">
      <alignment horizontal="left" vertical="center"/>
    </xf>
    <xf numFmtId="0" fontId="7" fillId="2" borderId="23" xfId="0" applyFont="1" applyFill="1" applyBorder="1" applyAlignment="1">
      <alignment horizontal="left" vertical="center"/>
    </xf>
    <xf numFmtId="0" fontId="16" fillId="3" borderId="5" xfId="0" applyFont="1" applyFill="1" applyBorder="1" applyAlignment="1">
      <alignment horizontal="center" vertical="center" wrapText="1"/>
    </xf>
    <xf numFmtId="0" fontId="14" fillId="0" borderId="6" xfId="0" applyFont="1" applyBorder="1" applyAlignment="1">
      <alignment horizontal="center" vertical="center" wrapText="1"/>
    </xf>
    <xf numFmtId="14" fontId="7" fillId="2" borderId="4" xfId="0" applyNumberFormat="1" applyFont="1" applyFill="1" applyBorder="1" applyAlignment="1" applyProtection="1">
      <alignment horizontal="center" vertical="center" wrapText="1"/>
      <protection locked="0"/>
    </xf>
    <xf numFmtId="0" fontId="7"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3" fillId="2" borderId="1" xfId="0"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0" fontId="7" fillId="2" borderId="8" xfId="0" applyFont="1" applyFill="1" applyBorder="1" applyAlignment="1" applyProtection="1">
      <alignment horizontal="left" vertical="center" wrapText="1" shrinkToFit="1"/>
      <protection locked="0"/>
    </xf>
    <xf numFmtId="0" fontId="3" fillId="0" borderId="1" xfId="0" applyFont="1" applyBorder="1" applyAlignment="1" applyProtection="1">
      <alignment horizontal="left" vertical="center" wrapText="1"/>
      <protection locked="0"/>
    </xf>
    <xf numFmtId="0" fontId="33" fillId="8" borderId="1" xfId="0" applyFont="1" applyFill="1" applyBorder="1" applyAlignment="1">
      <alignment horizontal="center" vertical="center" textRotation="90" wrapText="1"/>
    </xf>
    <xf numFmtId="0" fontId="26" fillId="8" borderId="18" xfId="0" applyFont="1" applyFill="1" applyBorder="1" applyAlignment="1">
      <alignment vertical="center"/>
    </xf>
    <xf numFmtId="0" fontId="26" fillId="8" borderId="19" xfId="0" applyFont="1" applyFill="1" applyBorder="1" applyAlignment="1">
      <alignment vertical="center"/>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36" fillId="8" borderId="19" xfId="0" applyFont="1" applyFill="1" applyBorder="1" applyAlignment="1">
      <alignment horizontal="left" vertical="center" wrapText="1"/>
    </xf>
    <xf numFmtId="0" fontId="3" fillId="2" borderId="8" xfId="0" applyFont="1" applyFill="1" applyBorder="1" applyAlignment="1" applyProtection="1">
      <alignment horizontal="left" vertical="center" wrapText="1" shrinkToFit="1"/>
      <protection locked="0"/>
    </xf>
    <xf numFmtId="0" fontId="3" fillId="2" borderId="17" xfId="0" applyFont="1" applyFill="1" applyBorder="1" applyAlignment="1" applyProtection="1">
      <alignment horizontal="left" vertical="center" wrapText="1" shrinkToFit="1"/>
      <protection locked="0"/>
    </xf>
    <xf numFmtId="0" fontId="3" fillId="0" borderId="17" xfId="0" applyFont="1" applyBorder="1" applyAlignment="1">
      <alignment horizontal="left" vertical="center" wrapText="1" shrinkToFit="1"/>
    </xf>
    <xf numFmtId="0" fontId="3" fillId="0" borderId="4" xfId="0" applyFont="1" applyBorder="1" applyAlignment="1">
      <alignment horizontal="left" vertical="center" wrapText="1" shrinkToFit="1"/>
    </xf>
    <xf numFmtId="0" fontId="3" fillId="2" borderId="8" xfId="0" applyFont="1" applyFill="1" applyBorder="1" applyAlignment="1" applyProtection="1">
      <alignment horizontal="center" vertical="center" wrapText="1" shrinkToFit="1"/>
      <protection locked="0"/>
    </xf>
    <xf numFmtId="0" fontId="3" fillId="2" borderId="17" xfId="0" applyFont="1" applyFill="1" applyBorder="1" applyAlignment="1" applyProtection="1">
      <alignment horizontal="center" vertical="center" wrapText="1" shrinkToFit="1"/>
      <protection locked="0"/>
    </xf>
    <xf numFmtId="0" fontId="0" fillId="0" borderId="17" xfId="0" applyBorder="1" applyAlignment="1">
      <alignment horizontal="center" vertical="center" wrapText="1" shrinkToFit="1"/>
    </xf>
    <xf numFmtId="0" fontId="0" fillId="0" borderId="4" xfId="0" applyBorder="1" applyAlignment="1">
      <alignment horizontal="center" vertical="center" wrapText="1" shrinkToFit="1"/>
    </xf>
    <xf numFmtId="0" fontId="20" fillId="8" borderId="8" xfId="0" applyFont="1" applyFill="1" applyBorder="1" applyAlignment="1">
      <alignment horizontal="left" vertical="center" wrapText="1"/>
    </xf>
    <xf numFmtId="0" fontId="20" fillId="8" borderId="17" xfId="0" applyFont="1" applyFill="1" applyBorder="1" applyAlignment="1">
      <alignment horizontal="left" vertical="center" wrapText="1"/>
    </xf>
    <xf numFmtId="0" fontId="20" fillId="8" borderId="4" xfId="0" applyFont="1" applyFill="1" applyBorder="1" applyAlignment="1">
      <alignment horizontal="left" vertical="center" wrapText="1"/>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32" fillId="2" borderId="8"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4"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2" fillId="2" borderId="1" xfId="0" applyFont="1" applyFill="1" applyBorder="1" applyAlignment="1">
      <alignment horizontal="left" vertical="center" wrapText="1"/>
    </xf>
    <xf numFmtId="0" fontId="6" fillId="2" borderId="1" xfId="0" applyFont="1" applyFill="1" applyBorder="1" applyAlignment="1">
      <alignment vertical="center" wrapText="1"/>
    </xf>
    <xf numFmtId="0" fontId="9" fillId="2" borderId="29" xfId="0" applyFont="1" applyFill="1" applyBorder="1" applyAlignment="1" applyProtection="1">
      <alignment horizontal="center" vertical="center"/>
    </xf>
    <xf numFmtId="0" fontId="9" fillId="0" borderId="0" xfId="0" applyFont="1" applyAlignment="1">
      <alignment horizontal="center" vertical="center"/>
    </xf>
    <xf numFmtId="0" fontId="9" fillId="0" borderId="30" xfId="0" applyFont="1" applyBorder="1" applyAlignment="1">
      <alignment horizontal="center" vertical="center"/>
    </xf>
    <xf numFmtId="0" fontId="9" fillId="2" borderId="29" xfId="0" applyFont="1" applyFill="1" applyBorder="1" applyAlignment="1">
      <alignment horizontal="center" vertical="center"/>
    </xf>
    <xf numFmtId="0" fontId="9" fillId="2" borderId="14"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13" fillId="2" borderId="29" xfId="0" applyFont="1" applyFill="1" applyBorder="1" applyAlignment="1">
      <alignment horizontal="center" vertical="center"/>
    </xf>
    <xf numFmtId="0" fontId="0" fillId="0" borderId="0" xfId="0" applyAlignment="1">
      <alignment horizontal="center" vertical="center"/>
    </xf>
    <xf numFmtId="0" fontId="0" fillId="0" borderId="30" xfId="0" applyBorder="1" applyAlignment="1">
      <alignment horizontal="center" vertical="center"/>
    </xf>
    <xf numFmtId="0" fontId="3" fillId="2" borderId="8" xfId="0" applyFont="1" applyFill="1" applyBorder="1" applyAlignment="1" applyProtection="1">
      <alignment horizontal="left" vertical="top" wrapText="1" shrinkToFit="1"/>
      <protection locked="0"/>
    </xf>
    <xf numFmtId="0" fontId="3" fillId="2" borderId="17" xfId="0" applyFont="1" applyFill="1" applyBorder="1" applyAlignment="1" applyProtection="1">
      <alignment horizontal="left" vertical="top" wrapText="1" shrinkToFit="1"/>
      <protection locked="0"/>
    </xf>
    <xf numFmtId="0" fontId="3" fillId="0" borderId="17" xfId="0" applyFont="1" applyBorder="1" applyAlignment="1">
      <alignment horizontal="left" vertical="top" wrapText="1" shrinkToFit="1"/>
    </xf>
    <xf numFmtId="0" fontId="3" fillId="0" borderId="4" xfId="0" applyFont="1" applyBorder="1" applyAlignment="1">
      <alignment horizontal="left" vertical="top" wrapText="1" shrinkToFit="1"/>
    </xf>
    <xf numFmtId="0" fontId="7" fillId="0" borderId="17" xfId="0" applyFont="1" applyBorder="1" applyAlignment="1">
      <alignment vertical="center" wrapText="1"/>
    </xf>
    <xf numFmtId="0" fontId="7" fillId="0" borderId="4" xfId="0" applyFont="1" applyBorder="1" applyAlignment="1">
      <alignment vertical="center" wrapText="1"/>
    </xf>
    <xf numFmtId="0" fontId="25" fillId="8" borderId="8" xfId="0" applyFont="1" applyFill="1" applyBorder="1" applyAlignment="1">
      <alignment horizontal="center" vertical="center" wrapText="1"/>
    </xf>
    <xf numFmtId="0" fontId="25" fillId="8" borderId="17" xfId="0" applyFont="1" applyFill="1" applyBorder="1" applyAlignment="1">
      <alignment horizontal="center" vertical="center" wrapText="1"/>
    </xf>
    <xf numFmtId="0" fontId="20" fillId="8" borderId="17" xfId="0" applyFont="1" applyFill="1" applyBorder="1" applyAlignment="1">
      <alignment horizontal="center" vertical="center" wrapText="1"/>
    </xf>
    <xf numFmtId="0" fontId="20" fillId="8" borderId="4" xfId="0" applyFont="1" applyFill="1" applyBorder="1" applyAlignment="1">
      <alignment horizontal="center" vertical="center" wrapText="1"/>
    </xf>
    <xf numFmtId="0" fontId="2" fillId="2" borderId="1" xfId="0" applyFont="1" applyFill="1" applyBorder="1" applyAlignment="1">
      <alignment vertical="center" wrapText="1"/>
    </xf>
    <xf numFmtId="0" fontId="21" fillId="8" borderId="8" xfId="0" applyFont="1" applyFill="1" applyBorder="1" applyAlignment="1">
      <alignment horizontal="right" vertical="center" wrapText="1"/>
    </xf>
    <xf numFmtId="0" fontId="21" fillId="8" borderId="4" xfId="0" applyFont="1" applyFill="1" applyBorder="1" applyAlignment="1">
      <alignment horizontal="right" vertical="center" wrapText="1"/>
    </xf>
    <xf numFmtId="0" fontId="9" fillId="2" borderId="8" xfId="0" applyFont="1" applyFill="1" applyBorder="1" applyAlignment="1">
      <alignment vertical="center" wrapText="1"/>
    </xf>
    <xf numFmtId="0" fontId="1" fillId="2" borderId="17" xfId="0" applyFont="1" applyFill="1" applyBorder="1" applyAlignment="1">
      <alignment vertical="center" wrapText="1"/>
    </xf>
    <xf numFmtId="0" fontId="1" fillId="2" borderId="4" xfId="0" applyFont="1" applyFill="1" applyBorder="1" applyAlignment="1">
      <alignment vertical="center" wrapText="1"/>
    </xf>
    <xf numFmtId="0" fontId="6" fillId="2" borderId="1" xfId="0" applyFont="1" applyFill="1" applyBorder="1" applyAlignment="1">
      <alignment horizontal="left" vertical="center" wrapText="1"/>
    </xf>
    <xf numFmtId="14" fontId="21" fillId="8" borderId="8" xfId="0" applyNumberFormat="1" applyFont="1" applyFill="1" applyBorder="1" applyAlignment="1">
      <alignment horizontal="center" vertical="center" wrapText="1"/>
    </xf>
    <xf numFmtId="14" fontId="21" fillId="8" borderId="17" xfId="0" applyNumberFormat="1" applyFont="1" applyFill="1" applyBorder="1" applyAlignment="1">
      <alignment horizontal="center" vertical="center" wrapText="1"/>
    </xf>
    <xf numFmtId="14" fontId="21" fillId="8" borderId="4" xfId="0" applyNumberFormat="1" applyFont="1" applyFill="1" applyBorder="1" applyAlignment="1">
      <alignment horizontal="center" vertical="center" wrapText="1"/>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20" fillId="8" borderId="8" xfId="0" applyFont="1" applyFill="1" applyBorder="1" applyAlignment="1">
      <alignment horizontal="center" vertical="center" wrapText="1"/>
    </xf>
    <xf numFmtId="0" fontId="4" fillId="2" borderId="8"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wrapText="1"/>
      <protection locked="0"/>
    </xf>
    <xf numFmtId="0" fontId="20" fillId="8" borderId="18" xfId="0" applyFont="1" applyFill="1" applyBorder="1" applyAlignment="1">
      <alignment horizontal="center" vertical="center" wrapText="1"/>
    </xf>
    <xf numFmtId="0" fontId="20"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20" fillId="8" borderId="14" xfId="0" applyFont="1" applyFill="1" applyBorder="1" applyAlignment="1">
      <alignment horizontal="center" vertical="center" wrapText="1"/>
    </xf>
    <xf numFmtId="0" fontId="20" fillId="8" borderId="22" xfId="0" applyFont="1" applyFill="1" applyBorder="1" applyAlignment="1">
      <alignment horizontal="center" vertical="center" wrapText="1"/>
    </xf>
    <xf numFmtId="0" fontId="20" fillId="8" borderId="23" xfId="0" applyFont="1" applyFill="1" applyBorder="1" applyAlignment="1">
      <alignment horizontal="center" vertical="center" wrapText="1"/>
    </xf>
    <xf numFmtId="0" fontId="35" fillId="2" borderId="18" xfId="0" applyFont="1" applyFill="1" applyBorder="1" applyAlignment="1" applyProtection="1">
      <alignment horizontal="center" vertical="center" wrapText="1"/>
    </xf>
    <xf numFmtId="0" fontId="35" fillId="2" borderId="21" xfId="0" applyFont="1" applyFill="1" applyBorder="1" applyAlignment="1" applyProtection="1">
      <alignment horizontal="center" vertical="center"/>
    </xf>
    <xf numFmtId="0" fontId="35" fillId="2" borderId="29" xfId="0" applyFont="1" applyFill="1" applyBorder="1" applyAlignment="1" applyProtection="1">
      <alignment horizontal="center" vertical="center"/>
    </xf>
    <xf numFmtId="0" fontId="35" fillId="2" borderId="30" xfId="0" applyFont="1" applyFill="1" applyBorder="1" applyAlignment="1" applyProtection="1">
      <alignment horizontal="center" vertical="center"/>
    </xf>
    <xf numFmtId="0" fontId="35" fillId="2" borderId="14" xfId="0" applyFont="1" applyFill="1" applyBorder="1" applyAlignment="1" applyProtection="1">
      <alignment horizontal="center" vertical="center"/>
    </xf>
    <xf numFmtId="0" fontId="35" fillId="2" borderId="23" xfId="0" applyFont="1" applyFill="1" applyBorder="1" applyAlignment="1" applyProtection="1">
      <alignment horizontal="center" vertical="center"/>
    </xf>
    <xf numFmtId="0" fontId="4" fillId="2" borderId="18" xfId="0" applyFont="1" applyFill="1" applyBorder="1" applyAlignment="1" applyProtection="1">
      <alignment horizontal="left" vertical="center" wrapText="1"/>
      <protection locked="0"/>
    </xf>
    <xf numFmtId="0" fontId="4" fillId="2" borderId="19" xfId="0" applyFont="1" applyFill="1" applyBorder="1" applyAlignment="1" applyProtection="1">
      <alignment horizontal="left" vertical="center" wrapText="1"/>
      <protection locked="0"/>
    </xf>
    <xf numFmtId="0" fontId="4" fillId="2" borderId="21"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protection locked="0"/>
    </xf>
    <xf numFmtId="0" fontId="4" fillId="2" borderId="22" xfId="0" applyFont="1" applyFill="1" applyBorder="1" applyAlignment="1" applyProtection="1">
      <alignment horizontal="left" vertical="center" wrapText="1"/>
      <protection locked="0"/>
    </xf>
    <xf numFmtId="0" fontId="4" fillId="2" borderId="23" xfId="0" applyFont="1" applyFill="1" applyBorder="1" applyAlignment="1" applyProtection="1">
      <alignment horizontal="left" vertical="center" wrapText="1"/>
      <protection locked="0"/>
    </xf>
    <xf numFmtId="0" fontId="21" fillId="8" borderId="1" xfId="0" applyFont="1" applyFill="1" applyBorder="1" applyAlignment="1">
      <alignment horizontal="right" vertical="center" wrapText="1"/>
    </xf>
    <xf numFmtId="0" fontId="4" fillId="2" borderId="8" xfId="0" applyFont="1" applyFill="1" applyBorder="1" applyAlignment="1">
      <alignment horizontal="left" vertical="center" wrapText="1"/>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30" fillId="2" borderId="8"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4" xfId="0" applyFont="1" applyFill="1" applyBorder="1" applyAlignment="1">
      <alignment horizontal="left" vertical="center" wrapText="1"/>
    </xf>
    <xf numFmtId="0" fontId="32" fillId="2" borderId="1" xfId="0" applyFont="1" applyFill="1" applyBorder="1" applyAlignment="1">
      <alignment horizontal="left" vertical="center"/>
    </xf>
    <xf numFmtId="0" fontId="6" fillId="2" borderId="1" xfId="0" applyFont="1" applyFill="1" applyBorder="1" applyAlignment="1">
      <alignment horizontal="left" vertical="center"/>
    </xf>
    <xf numFmtId="0" fontId="2" fillId="2" borderId="20" xfId="0" applyFont="1" applyFill="1" applyBorder="1" applyAlignment="1">
      <alignment vertical="center" wrapText="1"/>
    </xf>
    <xf numFmtId="0" fontId="20" fillId="8" borderId="1" xfId="0" applyFont="1" applyFill="1" applyBorder="1" applyAlignment="1">
      <alignment vertical="center" wrapText="1"/>
    </xf>
    <xf numFmtId="0" fontId="7" fillId="2" borderId="8" xfId="0" applyFont="1" applyFill="1" applyBorder="1" applyAlignment="1" applyProtection="1">
      <alignment vertical="center" wrapText="1"/>
      <protection locked="0"/>
    </xf>
    <xf numFmtId="0" fontId="3" fillId="0" borderId="17" xfId="0" applyFont="1" applyBorder="1" applyAlignment="1">
      <alignment vertical="center" wrapText="1"/>
    </xf>
    <xf numFmtId="0" fontId="3" fillId="0" borderId="4" xfId="0" applyFont="1" applyBorder="1" applyAlignment="1">
      <alignment vertical="center" wrapText="1"/>
    </xf>
    <xf numFmtId="0" fontId="15" fillId="0" borderId="40" xfId="0" applyFont="1" applyBorder="1" applyAlignment="1">
      <alignment horizontal="center" vertical="center" wrapText="1"/>
    </xf>
    <xf numFmtId="0" fontId="0" fillId="0" borderId="32" xfId="0" applyBorder="1" applyAlignment="1">
      <alignment horizontal="center" vertical="center" wrapText="1"/>
    </xf>
    <xf numFmtId="0" fontId="11" fillId="2" borderId="18" xfId="0" applyFont="1" applyFill="1" applyBorder="1" applyAlignment="1">
      <alignment horizontal="center"/>
    </xf>
    <xf numFmtId="0" fontId="11" fillId="0" borderId="21" xfId="0" applyFont="1" applyBorder="1" applyAlignment="1">
      <alignment horizontal="center"/>
    </xf>
    <xf numFmtId="0" fontId="11" fillId="2" borderId="29" xfId="0" applyFont="1" applyFill="1" applyBorder="1" applyAlignment="1">
      <alignment horizontal="center" vertical="center"/>
    </xf>
    <xf numFmtId="0" fontId="11" fillId="0" borderId="30" xfId="0" applyFont="1" applyBorder="1" applyAlignment="1">
      <alignment horizontal="center" vertical="center"/>
    </xf>
    <xf numFmtId="0" fontId="11" fillId="2" borderId="14" xfId="0" applyFont="1" applyFill="1" applyBorder="1" applyAlignment="1">
      <alignment horizontal="center" vertical="center" wrapText="1"/>
    </xf>
    <xf numFmtId="0" fontId="11" fillId="0" borderId="23" xfId="0" applyFont="1" applyBorder="1" applyAlignment="1">
      <alignment horizontal="center" vertical="center" wrapText="1"/>
    </xf>
    <xf numFmtId="0" fontId="7" fillId="2" borderId="29" xfId="0" applyFont="1" applyFill="1" applyBorder="1" applyAlignment="1">
      <alignment horizontal="center" vertical="center"/>
    </xf>
    <xf numFmtId="0" fontId="15" fillId="0" borderId="37" xfId="0" applyFont="1" applyBorder="1" applyAlignment="1">
      <alignment horizontal="center" vertical="center" wrapText="1"/>
    </xf>
    <xf numFmtId="0" fontId="0" fillId="0" borderId="38" xfId="0" applyBorder="1" applyAlignment="1">
      <alignment horizontal="center" vertical="center" wrapText="1"/>
    </xf>
    <xf numFmtId="0" fontId="15" fillId="0" borderId="39" xfId="0" applyFont="1" applyBorder="1" applyAlignment="1">
      <alignment horizontal="center" vertical="center" wrapText="1"/>
    </xf>
    <xf numFmtId="0" fontId="0" fillId="0" borderId="4" xfId="0" applyBorder="1" applyAlignment="1">
      <alignment horizontal="center" vertical="center" wrapText="1"/>
    </xf>
    <xf numFmtId="0" fontId="7" fillId="7" borderId="31" xfId="0" applyFont="1" applyFill="1" applyBorder="1" applyAlignment="1">
      <alignment horizontal="center" textRotation="90" wrapText="1"/>
    </xf>
    <xf numFmtId="0" fontId="3" fillId="0" borderId="33" xfId="0" applyFont="1" applyBorder="1" applyAlignment="1">
      <alignment horizontal="center" textRotation="90" wrapText="1"/>
    </xf>
    <xf numFmtId="0" fontId="7" fillId="7" borderId="34" xfId="0" applyFont="1" applyFill="1" applyBorder="1" applyAlignment="1">
      <alignment horizontal="center" textRotation="90" wrapText="1"/>
    </xf>
    <xf numFmtId="0" fontId="3" fillId="0" borderId="35" xfId="0" applyFont="1" applyBorder="1" applyAlignment="1">
      <alignment horizontal="center" textRotation="90" wrapText="1"/>
    </xf>
    <xf numFmtId="0" fontId="7" fillId="7" borderId="36" xfId="0" applyFont="1" applyFill="1" applyBorder="1" applyAlignment="1">
      <alignment horizontal="center" textRotation="90" wrapText="1"/>
    </xf>
    <xf numFmtId="0" fontId="3" fillId="0" borderId="5" xfId="0" applyFont="1" applyBorder="1" applyAlignment="1">
      <alignment horizontal="center" textRotation="90" wrapText="1"/>
    </xf>
    <xf numFmtId="0" fontId="17" fillId="0" borderId="24" xfId="0" applyFont="1" applyBorder="1" applyAlignment="1">
      <alignment horizontal="center" vertical="center" wrapText="1"/>
    </xf>
    <xf numFmtId="0" fontId="17" fillId="0" borderId="25" xfId="0" applyFont="1" applyBorder="1" applyAlignment="1">
      <alignment horizontal="center" vertical="center" wrapText="1"/>
    </xf>
    <xf numFmtId="0" fontId="34" fillId="2" borderId="18" xfId="0" applyFont="1" applyFill="1" applyBorder="1" applyAlignment="1" applyProtection="1">
      <alignment horizontal="center" vertical="center" wrapText="1"/>
    </xf>
    <xf numFmtId="0" fontId="34" fillId="2" borderId="19" xfId="0" applyFont="1" applyFill="1" applyBorder="1" applyAlignment="1" applyProtection="1">
      <alignment horizontal="center" vertical="center" wrapText="1"/>
    </xf>
    <xf numFmtId="0" fontId="34" fillId="2" borderId="21" xfId="0" applyFont="1" applyFill="1" applyBorder="1" applyAlignment="1" applyProtection="1">
      <alignment horizontal="center" vertical="center" wrapText="1"/>
    </xf>
    <xf numFmtId="0" fontId="34" fillId="2" borderId="29" xfId="0" applyFont="1" applyFill="1" applyBorder="1" applyAlignment="1" applyProtection="1">
      <alignment horizontal="center" vertical="center" wrapText="1"/>
    </xf>
    <xf numFmtId="0" fontId="34" fillId="2" borderId="0" xfId="0" applyFont="1" applyFill="1" applyBorder="1" applyAlignment="1" applyProtection="1">
      <alignment horizontal="center" vertical="center" wrapText="1"/>
    </xf>
    <xf numFmtId="0" fontId="34" fillId="2" borderId="30" xfId="0" applyFont="1" applyFill="1" applyBorder="1" applyAlignment="1" applyProtection="1">
      <alignment horizontal="center" vertical="center" wrapText="1"/>
    </xf>
    <xf numFmtId="0" fontId="5" fillId="7" borderId="26" xfId="0" applyFont="1" applyFill="1" applyBorder="1" applyAlignment="1">
      <alignment horizontal="justify" wrapText="1"/>
    </xf>
    <xf numFmtId="0" fontId="5" fillId="7" borderId="27" xfId="0" applyFont="1" applyFill="1" applyBorder="1" applyAlignment="1">
      <alignment horizontal="justify" wrapText="1"/>
    </xf>
    <xf numFmtId="0" fontId="5" fillId="7" borderId="28" xfId="0" applyFont="1" applyFill="1" applyBorder="1" applyAlignment="1">
      <alignment horizontal="justify" wrapText="1"/>
    </xf>
    <xf numFmtId="0" fontId="11" fillId="3" borderId="6" xfId="0" applyFont="1" applyFill="1" applyBorder="1" applyAlignment="1">
      <alignment horizontal="center" textRotation="90" wrapText="1"/>
    </xf>
    <xf numFmtId="0" fontId="11" fillId="3" borderId="24" xfId="0" applyFont="1" applyFill="1" applyBorder="1" applyAlignment="1">
      <alignment horizontal="center" textRotation="90" wrapText="1"/>
    </xf>
    <xf numFmtId="0" fontId="11" fillId="3" borderId="25" xfId="0" applyFont="1" applyFill="1" applyBorder="1" applyAlignment="1">
      <alignment horizontal="center" textRotation="90" wrapText="1"/>
    </xf>
    <xf numFmtId="0" fontId="37" fillId="2" borderId="8" xfId="0" applyFont="1" applyFill="1" applyBorder="1" applyAlignment="1">
      <alignment horizontal="left" vertical="center" wrapText="1"/>
    </xf>
    <xf numFmtId="0" fontId="37" fillId="2" borderId="17" xfId="0" applyFont="1" applyFill="1" applyBorder="1" applyAlignment="1">
      <alignment horizontal="left" vertical="center" wrapText="1"/>
    </xf>
    <xf numFmtId="0" fontId="37" fillId="2" borderId="4" xfId="0" applyFont="1" applyFill="1" applyBorder="1" applyAlignment="1">
      <alignment horizontal="left" vertical="center"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6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7258050"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15</xdr:row>
      <xdr:rowOff>82551</xdr:rowOff>
    </xdr:from>
    <xdr:to>
      <xdr:col>4</xdr:col>
      <xdr:colOff>2117</xdr:colOff>
      <xdr:row>18</xdr:row>
      <xdr:rowOff>82551</xdr:rowOff>
    </xdr:to>
    <xdr:sp macro="" textlink="">
      <xdr:nvSpPr>
        <xdr:cNvPr id="3" name="Text Box 30">
          <a:extLst>
            <a:ext uri="{FF2B5EF4-FFF2-40B4-BE49-F238E27FC236}">
              <a16:creationId xmlns:a16="http://schemas.microsoft.com/office/drawing/2014/main" id="{00000000-0008-0000-0100-000003000000}"/>
            </a:ext>
          </a:extLst>
        </xdr:cNvPr>
        <xdr:cNvSpPr txBox="1">
          <a:spLocks noChangeArrowheads="1"/>
        </xdr:cNvSpPr>
      </xdr:nvSpPr>
      <xdr:spPr bwMode="auto">
        <a:xfrm>
          <a:off x="19050" y="8286751"/>
          <a:ext cx="2878667" cy="476250"/>
        </a:xfrm>
        <a:prstGeom prst="rect">
          <a:avLst/>
        </a:prstGeom>
        <a:solidFill>
          <a:srgbClr val="00B050"/>
        </a:solidFill>
        <a:ln w="9525">
          <a:noFill/>
          <a:miter lim="800000"/>
          <a:headEnd/>
          <a:tailEnd/>
        </a:ln>
      </xdr:spPr>
      <xdr:txBody>
        <a:bodyPr vertOverflow="clip" wrap="square" lIns="91440" tIns="45720" rIns="91440" bIns="45720" anchor="t" upright="1"/>
        <a:lstStyle/>
        <a:p>
          <a:pPr rtl="0"/>
          <a:r>
            <a:rPr lang="en-GB" sz="1100" b="1">
              <a:effectLst/>
              <a:latin typeface="+mn-lt"/>
              <a:ea typeface="+mn-ea"/>
              <a:cs typeface="+mn-cs"/>
            </a:rPr>
            <a:t>НИЗКИЙ РИСК</a:t>
          </a:r>
          <a:endParaRPr lang="ru-RU">
            <a:effectLst/>
          </a:endParaRPr>
        </a:p>
      </xdr:txBody>
    </xdr:sp>
    <xdr:clientData/>
  </xdr:twoCellAnchor>
  <xdr:twoCellAnchor>
    <xdr:from>
      <xdr:col>0</xdr:col>
      <xdr:colOff>28575</xdr:colOff>
      <xdr:row>19</xdr:row>
      <xdr:rowOff>139701</xdr:rowOff>
    </xdr:from>
    <xdr:to>
      <xdr:col>4</xdr:col>
      <xdr:colOff>2117</xdr:colOff>
      <xdr:row>22</xdr:row>
      <xdr:rowOff>38100</xdr:rowOff>
    </xdr:to>
    <xdr:sp macro="" textlink="">
      <xdr:nvSpPr>
        <xdr:cNvPr id="4" name="Text Box 31">
          <a:extLst>
            <a:ext uri="{FF2B5EF4-FFF2-40B4-BE49-F238E27FC236}">
              <a16:creationId xmlns:a16="http://schemas.microsoft.com/office/drawing/2014/main" id="{00000000-0008-0000-0100-000004000000}"/>
            </a:ext>
          </a:extLst>
        </xdr:cNvPr>
        <xdr:cNvSpPr txBox="1">
          <a:spLocks noChangeArrowheads="1"/>
        </xdr:cNvSpPr>
      </xdr:nvSpPr>
      <xdr:spPr bwMode="auto">
        <a:xfrm>
          <a:off x="28575" y="8978901"/>
          <a:ext cx="2869142" cy="825499"/>
        </a:xfrm>
        <a:prstGeom prst="rect">
          <a:avLst/>
        </a:prstGeom>
        <a:solidFill>
          <a:srgbClr val="FFFF00"/>
        </a:solidFill>
        <a:ln w="9525">
          <a:noFill/>
          <a:miter lim="800000"/>
          <a:headEnd/>
          <a:tailEnd/>
        </a:ln>
      </xdr:spPr>
      <xdr:txBody>
        <a:bodyPr vertOverflow="clip" wrap="square" lIns="91440" tIns="45720" rIns="91440" bIns="45720" anchor="t" upright="1"/>
        <a:lstStyle/>
        <a:p>
          <a:pPr rtl="0"/>
          <a:r>
            <a:rPr lang="en-GB" sz="1100" b="1">
              <a:effectLst/>
              <a:latin typeface="+mn-lt"/>
              <a:ea typeface="+mn-ea"/>
              <a:cs typeface="+mn-cs"/>
            </a:rPr>
            <a:t>УМЕРЕННЫЙ РИСК</a:t>
          </a:r>
          <a:endParaRPr lang="ru-RU">
            <a:effectLst/>
          </a:endParaRPr>
        </a:p>
      </xdr:txBody>
    </xdr:sp>
    <xdr:clientData/>
  </xdr:twoCellAnchor>
  <xdr:twoCellAnchor>
    <xdr:from>
      <xdr:col>0</xdr:col>
      <xdr:colOff>2117</xdr:colOff>
      <xdr:row>23</xdr:row>
      <xdr:rowOff>69850</xdr:rowOff>
    </xdr:from>
    <xdr:to>
      <xdr:col>4</xdr:col>
      <xdr:colOff>2117</xdr:colOff>
      <xdr:row>26</xdr:row>
      <xdr:rowOff>107950</xdr:rowOff>
    </xdr:to>
    <xdr:sp macro="" textlink="">
      <xdr:nvSpPr>
        <xdr:cNvPr id="5" name="Text Box 32">
          <a:extLst>
            <a:ext uri="{FF2B5EF4-FFF2-40B4-BE49-F238E27FC236}">
              <a16:creationId xmlns:a16="http://schemas.microsoft.com/office/drawing/2014/main" id="{00000000-0008-0000-0100-000005000000}"/>
            </a:ext>
          </a:extLst>
        </xdr:cNvPr>
        <xdr:cNvSpPr txBox="1">
          <a:spLocks noChangeArrowheads="1"/>
        </xdr:cNvSpPr>
      </xdr:nvSpPr>
      <xdr:spPr bwMode="auto">
        <a:xfrm>
          <a:off x="2117" y="9994900"/>
          <a:ext cx="2895600" cy="990600"/>
        </a:xfrm>
        <a:prstGeom prst="rect">
          <a:avLst/>
        </a:prstGeom>
        <a:solidFill>
          <a:srgbClr val="FF0000"/>
        </a:solidFill>
        <a:ln w="9525">
          <a:noFill/>
          <a:miter lim="800000"/>
          <a:headEnd/>
          <a:tailEnd/>
        </a:ln>
      </xdr:spPr>
      <xdr:txBody>
        <a:bodyPr vertOverflow="clip" wrap="square" lIns="91440" tIns="45720" rIns="91440" bIns="45720" anchor="t" upright="1"/>
        <a:lstStyle/>
        <a:p>
          <a:pPr rtl="0"/>
          <a:r>
            <a:rPr lang="en-GB" sz="1100" b="1">
              <a:effectLst/>
              <a:latin typeface="+mn-lt"/>
              <a:ea typeface="+mn-ea"/>
              <a:cs typeface="+mn-cs"/>
            </a:rPr>
            <a:t>ВЫСОКИЙ РИСК</a:t>
          </a:r>
          <a:endParaRPr lang="ru-RU">
            <a:effectLst/>
          </a:endParaRPr>
        </a:p>
      </xdr:txBody>
    </xdr:sp>
    <xdr:clientData/>
  </xdr:twoCellAnchor>
  <xdr:twoCellAnchor>
    <xdr:from>
      <xdr:col>4</xdr:col>
      <xdr:colOff>2116</xdr:colOff>
      <xdr:row>15</xdr:row>
      <xdr:rowOff>12700</xdr:rowOff>
    </xdr:from>
    <xdr:to>
      <xdr:col>10</xdr:col>
      <xdr:colOff>0</xdr:colOff>
      <xdr:row>20</xdr:row>
      <xdr:rowOff>114299</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897716" y="8216900"/>
          <a:ext cx="5681134" cy="13080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Опасные факторы, уровень риска которых находится в зеленой зоне матрицы, считаются достаточно контролируемыми рисками. </a:t>
          </a:r>
          <a:r>
            <a:rPr lang="en-GB" sz="1100">
              <a:solidFill>
                <a:schemeClr val="dk1"/>
              </a:solidFill>
              <a:effectLst/>
              <a:latin typeface="+mn-lt"/>
              <a:ea typeface="+mn-ea"/>
              <a:cs typeface="+mn-cs"/>
            </a:rPr>
            <a:t>Дополнительные меры контроля не требуются. Необходим мониторинг регулярного применения мер контроля.</a:t>
          </a:r>
          <a:endParaRPr lang="ru-RU">
            <a:effectLst/>
          </a:endParaRPr>
        </a:p>
      </xdr:txBody>
    </xdr:sp>
    <xdr:clientData/>
  </xdr:twoCellAnchor>
  <xdr:twoCellAnchor>
    <xdr:from>
      <xdr:col>4</xdr:col>
      <xdr:colOff>2117</xdr:colOff>
      <xdr:row>19</xdr:row>
      <xdr:rowOff>95250</xdr:rowOff>
    </xdr:from>
    <xdr:to>
      <xdr:col>10</xdr:col>
      <xdr:colOff>0</xdr:colOff>
      <xdr:row>22</xdr:row>
      <xdr:rowOff>139700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897717" y="8934450"/>
          <a:ext cx="5681133" cy="971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ru-RU" sz="1100">
              <a:solidFill>
                <a:schemeClr val="dk1"/>
              </a:solidFill>
              <a:effectLst/>
              <a:latin typeface="+mn-lt"/>
              <a:ea typeface="+mn-ea"/>
              <a:cs typeface="+mn-cs"/>
            </a:rPr>
            <a:t>Опасные факторы, уровень риска которых находится в желтой зоне матрицы, </a:t>
          </a:r>
          <a:r>
            <a:rPr lang="ru-RU" sz="1100" i="1">
              <a:solidFill>
                <a:schemeClr val="dk1"/>
              </a:solidFill>
              <a:effectLst/>
              <a:latin typeface="+mn-lt"/>
              <a:ea typeface="+mn-ea"/>
              <a:cs typeface="+mn-cs"/>
            </a:rPr>
            <a:t>требуют</a:t>
          </a:r>
          <a:r>
            <a:rPr lang="ru-RU" sz="1100">
              <a:solidFill>
                <a:schemeClr val="dk1"/>
              </a:solidFill>
              <a:effectLst/>
              <a:latin typeface="+mn-lt"/>
              <a:ea typeface="+mn-ea"/>
              <a:cs typeface="+mn-cs"/>
            </a:rPr>
            <a:t> принятия обязательных мер по снижению уровня риска перед началом выполнения работ. Если это условие является невыполнимым, </a:t>
          </a:r>
          <a:r>
            <a:rPr lang="ru-RU" sz="1100" i="1">
              <a:solidFill>
                <a:schemeClr val="dk1"/>
              </a:solidFill>
              <a:effectLst/>
              <a:latin typeface="+mn-lt"/>
              <a:ea typeface="+mn-ea"/>
              <a:cs typeface="+mn-cs"/>
            </a:rPr>
            <a:t>следует</a:t>
          </a:r>
          <a:r>
            <a:rPr lang="ru-RU" sz="1100">
              <a:solidFill>
                <a:schemeClr val="dk1"/>
              </a:solidFill>
              <a:effectLst/>
              <a:latin typeface="+mn-lt"/>
              <a:ea typeface="+mn-ea"/>
              <a:cs typeface="+mn-cs"/>
            </a:rPr>
            <a:t> уведомить </a:t>
          </a:r>
          <a:r>
            <a:rPr lang="ru-RU" sz="1100" b="1">
              <a:solidFill>
                <a:schemeClr val="dk1"/>
              </a:solidFill>
              <a:effectLst/>
              <a:latin typeface="+mn-lt"/>
              <a:ea typeface="+mn-ea"/>
              <a:cs typeface="+mn-cs"/>
            </a:rPr>
            <a:t>капитана / менеджера базового подразделения</a:t>
          </a:r>
          <a:r>
            <a:rPr lang="ru-RU" sz="1100">
              <a:solidFill>
                <a:schemeClr val="dk1"/>
              </a:solidFill>
              <a:effectLst/>
              <a:latin typeface="+mn-lt"/>
              <a:ea typeface="+mn-ea"/>
              <a:cs typeface="+mn-cs"/>
            </a:rPr>
            <a:t> (в зависимости от места выполнения работ – в плавании или на берегу).</a:t>
          </a:r>
          <a:endParaRPr lang="ru-RU">
            <a:effectLst/>
          </a:endParaRPr>
        </a:p>
      </xdr:txBody>
    </xdr:sp>
    <xdr:clientData/>
  </xdr:twoCellAnchor>
  <xdr:twoCellAnchor>
    <xdr:from>
      <xdr:col>4</xdr:col>
      <xdr:colOff>2117</xdr:colOff>
      <xdr:row>23</xdr:row>
      <xdr:rowOff>12699</xdr:rowOff>
    </xdr:from>
    <xdr:to>
      <xdr:col>10</xdr:col>
      <xdr:colOff>0</xdr:colOff>
      <xdr:row>27</xdr:row>
      <xdr:rowOff>44450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897717" y="9937749"/>
          <a:ext cx="5681133" cy="1143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ru-RU" sz="1100">
              <a:solidFill>
                <a:schemeClr val="dk1"/>
              </a:solidFill>
              <a:effectLst/>
              <a:latin typeface="+mn-lt"/>
              <a:ea typeface="+mn-ea"/>
              <a:cs typeface="+mn-cs"/>
            </a:rPr>
            <a:t>При наличии опасных факторов с уровнем риска в красной зоне приступать к выполнению задания запрещено. </a:t>
          </a:r>
          <a:r>
            <a:rPr lang="ru-RU" sz="1100" i="1">
              <a:solidFill>
                <a:schemeClr val="dk1"/>
              </a:solidFill>
              <a:effectLst/>
              <a:latin typeface="+mn-lt"/>
              <a:ea typeface="+mn-ea"/>
              <a:cs typeface="+mn-cs"/>
            </a:rPr>
            <a:t>Необходимо</a:t>
          </a:r>
          <a:r>
            <a:rPr lang="ru-RU" sz="1100">
              <a:solidFill>
                <a:schemeClr val="dk1"/>
              </a:solidFill>
              <a:effectLst/>
              <a:latin typeface="+mn-lt"/>
              <a:ea typeface="+mn-ea"/>
              <a:cs typeface="+mn-cs"/>
            </a:rPr>
            <a:t> уведомить </a:t>
          </a:r>
          <a:r>
            <a:rPr lang="ru-RU" sz="1100" b="1">
              <a:solidFill>
                <a:schemeClr val="dk1"/>
              </a:solidFill>
              <a:effectLst/>
              <a:latin typeface="+mn-lt"/>
              <a:ea typeface="+mn-ea"/>
              <a:cs typeface="+mn-cs"/>
            </a:rPr>
            <a:t>капитана/менеджера базового подразделения</a:t>
          </a:r>
          <a:r>
            <a:rPr lang="ru-RU" sz="1100">
              <a:solidFill>
                <a:schemeClr val="dk1"/>
              </a:solidFill>
              <a:effectLst/>
              <a:latin typeface="+mn-lt"/>
              <a:ea typeface="+mn-ea"/>
              <a:cs typeface="+mn-cs"/>
            </a:rP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a:t>
          </a:r>
          <a:r>
            <a:rPr lang="ru-RU" sz="1100" i="1">
              <a:solidFill>
                <a:schemeClr val="dk1"/>
              </a:solidFill>
              <a:effectLst/>
              <a:latin typeface="+mn-lt"/>
              <a:ea typeface="+mn-ea"/>
              <a:cs typeface="+mn-cs"/>
            </a:rPr>
            <a:t>должен</a:t>
          </a:r>
          <a:r>
            <a:rPr lang="ru-RU" sz="1100">
              <a:solidFill>
                <a:schemeClr val="dk1"/>
              </a:solidFill>
              <a:effectLst/>
              <a:latin typeface="+mn-lt"/>
              <a:ea typeface="+mn-ea"/>
              <a:cs typeface="+mn-cs"/>
            </a:rPr>
            <a:t> оставаться в силе до тех пор, пока не будет найден более безопасный способ выполнения задания.</a:t>
          </a:r>
          <a:endParaRPr lang="ru-RU">
            <a:effectLst/>
          </a:endParaRPr>
        </a:p>
      </xdr:txBody>
    </xdr:sp>
    <xdr:clientData/>
  </xdr:twoCellAnchor>
  <xdr:twoCellAnchor>
    <xdr:from>
      <xdr:col>4</xdr:col>
      <xdr:colOff>22859</xdr:colOff>
      <xdr:row>27</xdr:row>
      <xdr:rowOff>76200</xdr:rowOff>
    </xdr:from>
    <xdr:to>
      <xdr:col>9</xdr:col>
      <xdr:colOff>800099</xdr:colOff>
      <xdr:row>30</xdr:row>
      <xdr:rowOff>25400</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918459" y="11112500"/>
          <a:ext cx="5546090" cy="425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b="1">
              <a:solidFill>
                <a:schemeClr val="dk1"/>
              </a:solidFill>
              <a:effectLst/>
              <a:latin typeface="+mn-lt"/>
              <a:ea typeface="+mn-ea"/>
              <a:cs typeface="+mn-cs"/>
            </a:rPr>
            <a:t>РИСК = ВЕРОЯТНОСТЬ X ТЯЖЕСТЬ ПОСЛЕДСТВИЙ</a:t>
          </a:r>
          <a:endParaRPr lang="ru-RU">
            <a:effectLst/>
          </a:endParaRPr>
        </a:p>
      </xdr:txBody>
    </xdr:sp>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W51"/>
  <sheetViews>
    <sheetView tabSelected="1" view="pageBreakPreview" zoomScale="80" zoomScaleNormal="75" zoomScaleSheetLayoutView="80" zoomScalePageLayoutView="55" workbookViewId="0">
      <selection activeCell="C7" sqref="C7"/>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66" t="s">
        <v>73</v>
      </c>
      <c r="B1" s="167"/>
      <c r="C1" s="53"/>
      <c r="D1" s="54"/>
      <c r="E1" s="54"/>
      <c r="F1" s="54"/>
      <c r="G1" s="55"/>
      <c r="H1" s="56"/>
      <c r="I1" s="1"/>
      <c r="J1" s="61"/>
      <c r="K1" s="55"/>
      <c r="L1" s="55"/>
      <c r="M1" s="62"/>
      <c r="Q1" s="15" t="s">
        <v>15</v>
      </c>
      <c r="R1" s="15" t="s">
        <v>16</v>
      </c>
      <c r="S1" s="15" t="s">
        <v>17</v>
      </c>
      <c r="T1" s="15" t="s">
        <v>18</v>
      </c>
      <c r="U1" s="15" t="s">
        <v>19</v>
      </c>
      <c r="V1" s="15" t="s">
        <v>20</v>
      </c>
      <c r="W1" s="19" t="s">
        <v>21</v>
      </c>
    </row>
    <row r="2" spans="1:23" ht="25.5" customHeight="1" x14ac:dyDescent="0.2">
      <c r="A2" s="168"/>
      <c r="B2" s="169"/>
      <c r="C2" s="57"/>
      <c r="D2" s="51"/>
      <c r="E2" s="51"/>
      <c r="F2" s="51"/>
      <c r="G2" s="51"/>
      <c r="H2" s="58"/>
      <c r="I2" s="4"/>
      <c r="J2" s="123" t="s">
        <v>0</v>
      </c>
      <c r="K2" s="124"/>
      <c r="L2" s="124"/>
      <c r="M2" s="125"/>
      <c r="P2" s="7"/>
      <c r="Q2" s="15">
        <v>1</v>
      </c>
      <c r="R2" s="15" t="s">
        <v>22</v>
      </c>
      <c r="S2" s="16"/>
      <c r="T2" s="16"/>
      <c r="U2" s="16"/>
      <c r="V2" s="16"/>
      <c r="W2" s="19" t="s">
        <v>23</v>
      </c>
    </row>
    <row r="3" spans="1:23" ht="25.5" customHeight="1" x14ac:dyDescent="0.2">
      <c r="A3" s="168"/>
      <c r="B3" s="169"/>
      <c r="C3" s="130" t="s">
        <v>74</v>
      </c>
      <c r="D3" s="131"/>
      <c r="E3" s="131"/>
      <c r="F3" s="131"/>
      <c r="G3" s="131"/>
      <c r="H3" s="132"/>
      <c r="J3" s="126" t="s">
        <v>75</v>
      </c>
      <c r="K3" s="124"/>
      <c r="L3" s="124"/>
      <c r="M3" s="125"/>
      <c r="P3" s="7"/>
      <c r="Q3" s="15">
        <v>2</v>
      </c>
      <c r="R3" s="15" t="s">
        <v>24</v>
      </c>
      <c r="S3" s="16"/>
      <c r="T3" s="16"/>
      <c r="U3" s="16"/>
      <c r="V3" s="16"/>
      <c r="W3" s="19" t="s">
        <v>25</v>
      </c>
    </row>
    <row r="4" spans="1:23" ht="34.35" customHeight="1" x14ac:dyDescent="0.2">
      <c r="A4" s="170"/>
      <c r="B4" s="171"/>
      <c r="C4" s="60"/>
      <c r="D4" s="52"/>
      <c r="E4" s="52"/>
      <c r="F4" s="52"/>
      <c r="G4" s="52"/>
      <c r="H4" s="59"/>
      <c r="J4" s="127" t="s">
        <v>76</v>
      </c>
      <c r="K4" s="128"/>
      <c r="L4" s="128"/>
      <c r="M4" s="129"/>
      <c r="P4" s="7"/>
      <c r="Q4" s="15"/>
      <c r="R4" s="15"/>
      <c r="S4" s="16"/>
      <c r="T4" s="16"/>
      <c r="U4" s="16"/>
      <c r="V4" s="16"/>
      <c r="W4" s="19"/>
    </row>
    <row r="5" spans="1:23" ht="8.4499999999999993" customHeight="1" x14ac:dyDescent="0.2">
      <c r="A5" s="63"/>
      <c r="B5" s="63"/>
      <c r="C5" s="63"/>
      <c r="D5" s="63"/>
      <c r="E5" s="63"/>
      <c r="F5" s="63"/>
      <c r="G5" s="63"/>
      <c r="H5" s="63"/>
      <c r="I5" s="63"/>
      <c r="J5" s="63"/>
      <c r="K5" s="63"/>
      <c r="L5" s="63"/>
      <c r="M5" s="63"/>
      <c r="P5" s="7"/>
      <c r="Q5" s="15">
        <v>3</v>
      </c>
      <c r="R5" s="15" t="s">
        <v>26</v>
      </c>
      <c r="S5" s="16"/>
      <c r="T5" s="16"/>
      <c r="U5" s="16"/>
      <c r="V5" s="16"/>
      <c r="W5" s="19" t="s">
        <v>27</v>
      </c>
    </row>
    <row r="6" spans="1:23" s="7" customFormat="1" ht="44.45" customHeight="1" x14ac:dyDescent="0.2">
      <c r="A6" s="178" t="s">
        <v>82</v>
      </c>
      <c r="B6" s="178"/>
      <c r="C6" s="87"/>
      <c r="D6" s="64"/>
      <c r="E6" s="64"/>
      <c r="F6" s="65"/>
      <c r="G6" s="78" t="s">
        <v>77</v>
      </c>
      <c r="H6" s="91" t="s">
        <v>179</v>
      </c>
      <c r="I6" s="64"/>
      <c r="J6" s="90" t="s">
        <v>78</v>
      </c>
      <c r="K6" s="137" t="s">
        <v>72</v>
      </c>
      <c r="L6" s="137"/>
      <c r="M6" s="138"/>
      <c r="Q6" s="15">
        <v>4</v>
      </c>
      <c r="R6" s="15" t="s">
        <v>28</v>
      </c>
      <c r="S6" s="15"/>
      <c r="T6" s="15"/>
      <c r="U6" s="15"/>
      <c r="V6" s="15"/>
    </row>
    <row r="7" spans="1:23" s="7" customFormat="1" ht="40.35" customHeight="1" x14ac:dyDescent="0.2">
      <c r="A7" s="144" t="s">
        <v>81</v>
      </c>
      <c r="B7" s="145"/>
      <c r="C7" s="86"/>
      <c r="D7" s="150" t="s">
        <v>80</v>
      </c>
      <c r="E7" s="151"/>
      <c r="F7" s="151"/>
      <c r="G7" s="78" t="s">
        <v>79</v>
      </c>
      <c r="H7" s="189"/>
      <c r="I7" s="190"/>
      <c r="J7" s="191"/>
      <c r="K7" s="150" t="s">
        <v>90</v>
      </c>
      <c r="L7" s="151"/>
      <c r="M7" s="152"/>
      <c r="Q7" s="15">
        <v>5</v>
      </c>
      <c r="R7" s="15" t="s">
        <v>29</v>
      </c>
      <c r="S7" s="15"/>
      <c r="T7" s="15"/>
      <c r="U7" s="15"/>
      <c r="V7" s="15"/>
    </row>
    <row r="8" spans="1:23" ht="72" customHeight="1" x14ac:dyDescent="0.2">
      <c r="A8" s="77" t="s">
        <v>84</v>
      </c>
      <c r="B8" s="77" t="s">
        <v>83</v>
      </c>
      <c r="C8" s="77" t="s">
        <v>85</v>
      </c>
      <c r="D8" s="93" t="s">
        <v>86</v>
      </c>
      <c r="E8" s="93" t="s">
        <v>87</v>
      </c>
      <c r="F8" s="93" t="s">
        <v>88</v>
      </c>
      <c r="G8" s="139" t="s">
        <v>89</v>
      </c>
      <c r="H8" s="140"/>
      <c r="I8" s="141"/>
      <c r="J8" s="142"/>
      <c r="K8" s="93" t="s">
        <v>86</v>
      </c>
      <c r="L8" s="93" t="s">
        <v>87</v>
      </c>
      <c r="M8" s="93" t="s">
        <v>91</v>
      </c>
      <c r="Q8" s="15"/>
      <c r="R8" s="16"/>
      <c r="S8" s="16"/>
      <c r="T8" s="16"/>
      <c r="U8" s="16" t="str">
        <f>IF(L11="","",IF(N11="","",IF(M11+O11&lt;=5,$W$12,IF(M11+O11=6,$W$13,IF(M11+O11=7,$W$13,IF(M11+O11&gt;=8,$W$14,""))))))</f>
        <v/>
      </c>
      <c r="V8" s="16"/>
    </row>
    <row r="9" spans="1:23" ht="182.25" customHeight="1" x14ac:dyDescent="0.2">
      <c r="A9" s="88">
        <v>1</v>
      </c>
      <c r="B9" s="13" t="s">
        <v>92</v>
      </c>
      <c r="C9" s="92" t="s">
        <v>93</v>
      </c>
      <c r="D9" s="21">
        <v>3</v>
      </c>
      <c r="E9" s="13" t="s">
        <v>1</v>
      </c>
      <c r="F9" s="76" t="str">
        <f t="shared" ref="F9:F16" si="0">IF(D9="","",(IF(E9="","",IF(U9&lt;=1,"",IF(U9&lt;=5,$W$2,IF(U9=6,$W$3,IF(U9=7,$W$3,IF(U9&gt;=8,$W$5,""))))))))</f>
        <v>M</v>
      </c>
      <c r="G9" s="103" t="s">
        <v>94</v>
      </c>
      <c r="H9" s="104"/>
      <c r="I9" s="105"/>
      <c r="J9" s="106"/>
      <c r="K9" s="21">
        <v>1</v>
      </c>
      <c r="L9" s="13" t="s">
        <v>2</v>
      </c>
      <c r="M9" s="66" t="str">
        <f t="shared" ref="M9:M16" si="1">IF(K9="","",(IF(L9="","",IF(V9&lt;=1,"",IF(V9&lt;=5,$W$2,IF(V9=6,$W$3,IF(V9=7,$W$3,IF(V9&gt;=8,$W$5,""))))))))</f>
        <v>L</v>
      </c>
      <c r="Q9" s="15"/>
      <c r="R9" s="16"/>
      <c r="S9" s="20">
        <f t="shared" ref="S9:S16" si="2">IF(E9="A",1,IF(E9="B",2,IF(E9="C",3,IF(E9="D",4,IF(E9="E",5,"")))))</f>
        <v>4</v>
      </c>
      <c r="T9" s="20">
        <f t="shared" ref="T9:T16" si="3">IF(L9="A",1,IF(L9="B",2,IF(L9="C",3,IF(L9="D",4,IF(L9="E",5,"")))))</f>
        <v>4</v>
      </c>
      <c r="U9" s="16">
        <f t="shared" ref="U9:U16" si="4">D9+S9</f>
        <v>7</v>
      </c>
      <c r="V9" s="16">
        <f t="shared" ref="V9:V16" si="5">K9+T9</f>
        <v>5</v>
      </c>
    </row>
    <row r="10" spans="1:23" ht="82.5" customHeight="1" x14ac:dyDescent="0.2">
      <c r="A10" s="88">
        <v>2</v>
      </c>
      <c r="B10" s="13" t="s">
        <v>92</v>
      </c>
      <c r="C10" s="92" t="s">
        <v>97</v>
      </c>
      <c r="D10" s="21">
        <v>4</v>
      </c>
      <c r="E10" s="13" t="s">
        <v>3</v>
      </c>
      <c r="F10" s="76" t="str">
        <f t="shared" si="0"/>
        <v>H</v>
      </c>
      <c r="G10" s="103" t="s">
        <v>95</v>
      </c>
      <c r="H10" s="104"/>
      <c r="I10" s="105"/>
      <c r="J10" s="106"/>
      <c r="K10" s="21">
        <v>1</v>
      </c>
      <c r="L10" s="13" t="s">
        <v>4</v>
      </c>
      <c r="M10" s="66" t="str">
        <f t="shared" si="1"/>
        <v>L</v>
      </c>
      <c r="Q10" s="15"/>
      <c r="R10" s="16"/>
      <c r="S10" s="20">
        <f t="shared" si="2"/>
        <v>4</v>
      </c>
      <c r="T10" s="20">
        <f t="shared" si="3"/>
        <v>4</v>
      </c>
      <c r="U10" s="16">
        <f t="shared" si="4"/>
        <v>8</v>
      </c>
      <c r="V10" s="16">
        <f t="shared" si="5"/>
        <v>5</v>
      </c>
    </row>
    <row r="11" spans="1:23" ht="65.099999999999994" customHeight="1" x14ac:dyDescent="0.2">
      <c r="A11" s="88">
        <v>3</v>
      </c>
      <c r="B11" s="13" t="s">
        <v>96</v>
      </c>
      <c r="C11" s="92" t="s">
        <v>98</v>
      </c>
      <c r="D11" s="21">
        <v>5</v>
      </c>
      <c r="E11" s="13" t="s">
        <v>5</v>
      </c>
      <c r="F11" s="76" t="str">
        <f t="shared" si="0"/>
        <v>H</v>
      </c>
      <c r="G11" s="103" t="s">
        <v>100</v>
      </c>
      <c r="H11" s="104"/>
      <c r="I11" s="105"/>
      <c r="J11" s="106"/>
      <c r="K11" s="21">
        <v>1</v>
      </c>
      <c r="L11" s="13" t="s">
        <v>6</v>
      </c>
      <c r="M11" s="66" t="str">
        <f t="shared" si="1"/>
        <v>L</v>
      </c>
      <c r="Q11" s="15"/>
      <c r="R11" s="16"/>
      <c r="S11" s="20">
        <f t="shared" si="2"/>
        <v>4</v>
      </c>
      <c r="T11" s="20">
        <f t="shared" si="3"/>
        <v>4</v>
      </c>
      <c r="U11" s="16">
        <f t="shared" si="4"/>
        <v>9</v>
      </c>
      <c r="V11" s="16">
        <f t="shared" si="5"/>
        <v>5</v>
      </c>
    </row>
    <row r="12" spans="1:23" ht="50.25" customHeight="1" x14ac:dyDescent="0.2">
      <c r="A12" s="88">
        <v>4</v>
      </c>
      <c r="B12" s="13" t="s">
        <v>92</v>
      </c>
      <c r="C12" s="92" t="s">
        <v>99</v>
      </c>
      <c r="D12" s="21">
        <v>5</v>
      </c>
      <c r="E12" s="13" t="s">
        <v>7</v>
      </c>
      <c r="F12" s="76" t="str">
        <f t="shared" si="0"/>
        <v>H</v>
      </c>
      <c r="G12" s="103" t="s">
        <v>101</v>
      </c>
      <c r="H12" s="104"/>
      <c r="I12" s="105"/>
      <c r="J12" s="106"/>
      <c r="K12" s="21">
        <v>1</v>
      </c>
      <c r="L12" s="13" t="s">
        <v>8</v>
      </c>
      <c r="M12" s="66" t="str">
        <f t="shared" si="1"/>
        <v>L</v>
      </c>
      <c r="Q12" s="15"/>
      <c r="R12" s="16"/>
      <c r="S12" s="20">
        <f t="shared" si="2"/>
        <v>4</v>
      </c>
      <c r="T12" s="20">
        <f t="shared" si="3"/>
        <v>4</v>
      </c>
      <c r="U12" s="16">
        <f t="shared" si="4"/>
        <v>9</v>
      </c>
      <c r="V12" s="16">
        <f t="shared" si="5"/>
        <v>5</v>
      </c>
    </row>
    <row r="13" spans="1:23" ht="91.5" customHeight="1" x14ac:dyDescent="0.2">
      <c r="A13" s="88">
        <v>5</v>
      </c>
      <c r="B13" s="13" t="s">
        <v>92</v>
      </c>
      <c r="C13" s="92" t="s">
        <v>102</v>
      </c>
      <c r="D13" s="21">
        <v>4</v>
      </c>
      <c r="E13" s="13" t="s">
        <v>9</v>
      </c>
      <c r="F13" s="76" t="str">
        <f t="shared" si="0"/>
        <v>M</v>
      </c>
      <c r="G13" s="103" t="s">
        <v>103</v>
      </c>
      <c r="H13" s="104"/>
      <c r="I13" s="105"/>
      <c r="J13" s="106"/>
      <c r="K13" s="21">
        <v>2</v>
      </c>
      <c r="L13" s="13" t="s">
        <v>10</v>
      </c>
      <c r="M13" s="66" t="str">
        <f t="shared" si="1"/>
        <v>L</v>
      </c>
      <c r="Q13" s="15"/>
      <c r="R13" s="16"/>
      <c r="S13" s="20">
        <f t="shared" si="2"/>
        <v>3</v>
      </c>
      <c r="T13" s="20">
        <f t="shared" si="3"/>
        <v>3</v>
      </c>
      <c r="U13" s="16">
        <f t="shared" si="4"/>
        <v>7</v>
      </c>
      <c r="V13" s="16">
        <f t="shared" si="5"/>
        <v>5</v>
      </c>
    </row>
    <row r="14" spans="1:23" ht="150.6" customHeight="1" x14ac:dyDescent="0.2">
      <c r="A14" s="88">
        <v>6</v>
      </c>
      <c r="B14" s="13" t="s">
        <v>92</v>
      </c>
      <c r="C14" s="92" t="s">
        <v>104</v>
      </c>
      <c r="D14" s="21">
        <v>5</v>
      </c>
      <c r="E14" s="13" t="s">
        <v>11</v>
      </c>
      <c r="F14" s="76" t="str">
        <f t="shared" si="0"/>
        <v>H</v>
      </c>
      <c r="G14" s="133" t="s">
        <v>105</v>
      </c>
      <c r="H14" s="134"/>
      <c r="I14" s="135"/>
      <c r="J14" s="136"/>
      <c r="K14" s="21">
        <v>1</v>
      </c>
      <c r="L14" s="13" t="s">
        <v>12</v>
      </c>
      <c r="M14" s="66" t="str">
        <f t="shared" si="1"/>
        <v>M</v>
      </c>
      <c r="Q14" s="15"/>
      <c r="R14" s="16"/>
      <c r="S14" s="20">
        <f t="shared" si="2"/>
        <v>5</v>
      </c>
      <c r="T14" s="20">
        <f t="shared" si="3"/>
        <v>5</v>
      </c>
      <c r="U14" s="16">
        <f t="shared" si="4"/>
        <v>10</v>
      </c>
      <c r="V14" s="16">
        <f t="shared" si="5"/>
        <v>6</v>
      </c>
    </row>
    <row r="15" spans="1:23" ht="62.45" customHeight="1" x14ac:dyDescent="0.2">
      <c r="A15" s="88">
        <v>7</v>
      </c>
      <c r="B15" s="13" t="s">
        <v>96</v>
      </c>
      <c r="C15" s="92" t="s">
        <v>106</v>
      </c>
      <c r="D15" s="21">
        <v>4</v>
      </c>
      <c r="E15" s="13" t="s">
        <v>13</v>
      </c>
      <c r="F15" s="76" t="str">
        <f t="shared" si="0"/>
        <v>H</v>
      </c>
      <c r="G15" s="103" t="s">
        <v>107</v>
      </c>
      <c r="H15" s="104"/>
      <c r="I15" s="105"/>
      <c r="J15" s="106"/>
      <c r="K15" s="21">
        <v>1</v>
      </c>
      <c r="L15" s="13" t="s">
        <v>14</v>
      </c>
      <c r="M15" s="66" t="str">
        <f t="shared" si="1"/>
        <v>L</v>
      </c>
      <c r="Q15" s="15"/>
      <c r="R15" s="16"/>
      <c r="S15" s="20">
        <f t="shared" si="2"/>
        <v>4</v>
      </c>
      <c r="T15" s="20">
        <f t="shared" si="3"/>
        <v>4</v>
      </c>
      <c r="U15" s="16">
        <f t="shared" si="4"/>
        <v>8</v>
      </c>
      <c r="V15" s="16">
        <f t="shared" si="5"/>
        <v>5</v>
      </c>
    </row>
    <row r="16" spans="1:23" ht="15" x14ac:dyDescent="0.2">
      <c r="A16" s="88">
        <v>8</v>
      </c>
      <c r="B16" s="89"/>
      <c r="C16" s="14"/>
      <c r="D16" s="21"/>
      <c r="E16" s="13"/>
      <c r="F16" s="76" t="str">
        <f t="shared" si="0"/>
        <v/>
      </c>
      <c r="G16" s="107"/>
      <c r="H16" s="108"/>
      <c r="I16" s="109"/>
      <c r="J16" s="110"/>
      <c r="K16" s="21"/>
      <c r="L16" s="13"/>
      <c r="M16" s="66" t="str">
        <f t="shared" si="1"/>
        <v/>
      </c>
      <c r="Q16" s="15"/>
      <c r="R16" s="16"/>
      <c r="S16" s="20" t="str">
        <f t="shared" si="2"/>
        <v/>
      </c>
      <c r="T16" s="20" t="str">
        <f t="shared" si="3"/>
        <v/>
      </c>
      <c r="U16" s="16" t="e">
        <f t="shared" si="4"/>
        <v>#VALUE!</v>
      </c>
      <c r="V16" s="16" t="e">
        <f t="shared" si="5"/>
        <v>#VALUE!</v>
      </c>
    </row>
    <row r="17" spans="1:17" x14ac:dyDescent="0.2">
      <c r="A17" s="60"/>
      <c r="B17" s="52"/>
      <c r="C17" s="52"/>
      <c r="D17" s="52"/>
      <c r="E17" s="52"/>
      <c r="F17" s="52"/>
      <c r="G17" s="52"/>
      <c r="H17" s="52"/>
      <c r="I17" s="52"/>
      <c r="J17" s="52"/>
      <c r="K17" s="52"/>
      <c r="L17" s="52"/>
      <c r="M17" s="59"/>
    </row>
    <row r="18" spans="1:17" ht="43.5" customHeight="1" x14ac:dyDescent="0.2">
      <c r="A18" s="146" t="s">
        <v>108</v>
      </c>
      <c r="B18" s="147"/>
      <c r="C18" s="147"/>
      <c r="D18" s="147"/>
      <c r="E18" s="147"/>
      <c r="F18" s="147"/>
      <c r="G18" s="147"/>
      <c r="H18" s="147"/>
      <c r="I18" s="147"/>
      <c r="J18" s="147"/>
      <c r="K18" s="147"/>
      <c r="L18" s="147"/>
      <c r="M18" s="148"/>
    </row>
    <row r="19" spans="1:17" ht="39.75" customHeight="1" x14ac:dyDescent="0.2">
      <c r="A19" s="102" t="s">
        <v>109</v>
      </c>
      <c r="B19" s="102"/>
      <c r="C19" s="102"/>
      <c r="D19" s="102"/>
      <c r="E19" s="102"/>
      <c r="F19" s="102"/>
      <c r="G19" s="102"/>
      <c r="H19" s="102"/>
      <c r="I19" s="102"/>
      <c r="J19" s="102"/>
      <c r="K19" s="102"/>
      <c r="L19" s="102"/>
      <c r="M19" s="102"/>
    </row>
    <row r="20" spans="1:17" ht="27" customHeight="1" x14ac:dyDescent="0.35">
      <c r="A20" s="94" t="s">
        <v>177</v>
      </c>
      <c r="B20" s="95"/>
      <c r="C20" s="95"/>
      <c r="D20" s="71"/>
      <c r="E20" s="71"/>
      <c r="F20" s="71"/>
      <c r="G20" s="72"/>
      <c r="H20" s="73"/>
      <c r="I20" s="73"/>
      <c r="J20" s="73"/>
      <c r="K20" s="73"/>
      <c r="L20" s="74"/>
      <c r="M20" s="75"/>
    </row>
    <row r="21" spans="1:17" ht="46.5" customHeight="1" x14ac:dyDescent="0.2">
      <c r="A21" s="182" t="s">
        <v>110</v>
      </c>
      <c r="B21" s="183"/>
      <c r="C21" s="183"/>
      <c r="D21" s="183"/>
      <c r="E21" s="183"/>
      <c r="F21" s="183"/>
      <c r="G21" s="183"/>
      <c r="H21" s="183"/>
      <c r="I21" s="183"/>
      <c r="J21" s="183"/>
      <c r="K21" s="183"/>
      <c r="L21" s="183"/>
      <c r="M21" s="184"/>
    </row>
    <row r="22" spans="1:17" s="9" customFormat="1" ht="21" customHeight="1" x14ac:dyDescent="0.2">
      <c r="A22" s="225" t="s">
        <v>178</v>
      </c>
      <c r="B22" s="226"/>
      <c r="C22" s="226"/>
      <c r="D22" s="226"/>
      <c r="E22" s="226"/>
      <c r="F22" s="226"/>
      <c r="G22" s="226"/>
      <c r="H22" s="226"/>
      <c r="I22" s="226"/>
      <c r="J22" s="226"/>
      <c r="K22" s="226"/>
      <c r="L22" s="226"/>
      <c r="M22" s="227"/>
      <c r="N22" s="8"/>
      <c r="O22" s="8"/>
      <c r="P22" s="8"/>
      <c r="Q22" s="17"/>
    </row>
    <row r="23" spans="1:17" s="9" customFormat="1" ht="45" customHeight="1" x14ac:dyDescent="0.2">
      <c r="A23" s="67">
        <v>1</v>
      </c>
      <c r="B23" s="185" t="s">
        <v>111</v>
      </c>
      <c r="C23" s="186"/>
      <c r="D23" s="186"/>
      <c r="E23" s="186"/>
      <c r="F23" s="186"/>
      <c r="G23" s="186"/>
      <c r="H23" s="186"/>
      <c r="I23" s="186"/>
      <c r="J23" s="186"/>
      <c r="K23" s="186"/>
      <c r="L23" s="186"/>
      <c r="M23" s="186"/>
      <c r="N23" s="8"/>
      <c r="O23" s="8"/>
      <c r="P23" s="8"/>
      <c r="Q23" s="17"/>
    </row>
    <row r="24" spans="1:17" s="9" customFormat="1" ht="45" customHeight="1" x14ac:dyDescent="0.2">
      <c r="A24" s="67">
        <v>2</v>
      </c>
      <c r="B24" s="185" t="s">
        <v>112</v>
      </c>
      <c r="C24" s="186"/>
      <c r="D24" s="186"/>
      <c r="E24" s="186"/>
      <c r="F24" s="186"/>
      <c r="G24" s="186"/>
      <c r="H24" s="186"/>
      <c r="I24" s="186"/>
      <c r="J24" s="186"/>
      <c r="K24" s="186"/>
      <c r="L24" s="186"/>
      <c r="M24" s="186"/>
      <c r="N24" s="8"/>
      <c r="O24" s="8"/>
      <c r="P24" s="8"/>
      <c r="Q24" s="17"/>
    </row>
    <row r="25" spans="1:17" s="9" customFormat="1" ht="45" customHeight="1" x14ac:dyDescent="0.2">
      <c r="A25" s="67">
        <v>3</v>
      </c>
      <c r="B25" s="117" t="s">
        <v>113</v>
      </c>
      <c r="C25" s="118"/>
      <c r="D25" s="118"/>
      <c r="E25" s="118"/>
      <c r="F25" s="118"/>
      <c r="G25" s="118"/>
      <c r="H25" s="118"/>
      <c r="I25" s="118"/>
      <c r="J25" s="118"/>
      <c r="K25" s="118"/>
      <c r="L25" s="118"/>
      <c r="M25" s="119"/>
      <c r="N25" s="8"/>
      <c r="P25" s="8"/>
      <c r="Q25" s="17"/>
    </row>
    <row r="26" spans="1:17" s="9" customFormat="1" ht="45" customHeight="1" x14ac:dyDescent="0.2">
      <c r="A26" s="67">
        <v>4</v>
      </c>
      <c r="B26" s="185" t="s">
        <v>114</v>
      </c>
      <c r="C26" s="186"/>
      <c r="D26" s="186"/>
      <c r="E26" s="186"/>
      <c r="F26" s="186"/>
      <c r="G26" s="186"/>
      <c r="H26" s="186"/>
      <c r="I26" s="186"/>
      <c r="J26" s="186"/>
      <c r="K26" s="186"/>
      <c r="L26" s="186"/>
      <c r="M26" s="186"/>
      <c r="N26" s="8"/>
      <c r="P26" s="8"/>
      <c r="Q26" s="17"/>
    </row>
    <row r="27" spans="1:17" s="9" customFormat="1" ht="45" customHeight="1" x14ac:dyDescent="0.2">
      <c r="A27" s="67">
        <v>5</v>
      </c>
      <c r="B27" s="117" t="s">
        <v>115</v>
      </c>
      <c r="C27" s="118"/>
      <c r="D27" s="118"/>
      <c r="E27" s="118"/>
      <c r="F27" s="118"/>
      <c r="G27" s="118"/>
      <c r="H27" s="118"/>
      <c r="I27" s="118"/>
      <c r="J27" s="118"/>
      <c r="K27" s="118"/>
      <c r="L27" s="118"/>
      <c r="M27" s="119"/>
      <c r="N27" s="8"/>
      <c r="P27" s="8"/>
      <c r="Q27" s="17"/>
    </row>
    <row r="28" spans="1:17" s="9" customFormat="1" ht="45" customHeight="1" x14ac:dyDescent="0.2">
      <c r="A28" s="67">
        <v>6</v>
      </c>
      <c r="B28" s="185" t="s">
        <v>116</v>
      </c>
      <c r="C28" s="186"/>
      <c r="D28" s="186"/>
      <c r="E28" s="186"/>
      <c r="F28" s="186"/>
      <c r="G28" s="186"/>
      <c r="H28" s="186"/>
      <c r="I28" s="186"/>
      <c r="J28" s="186"/>
      <c r="K28" s="186"/>
      <c r="L28" s="186"/>
      <c r="M28" s="186"/>
      <c r="N28" s="8"/>
      <c r="P28" s="8"/>
      <c r="Q28" s="17"/>
    </row>
    <row r="29" spans="1:17" s="9" customFormat="1" ht="45" customHeight="1" x14ac:dyDescent="0.2">
      <c r="A29" s="67">
        <v>7</v>
      </c>
      <c r="B29" s="117" t="s">
        <v>117</v>
      </c>
      <c r="C29" s="118"/>
      <c r="D29" s="118"/>
      <c r="E29" s="118"/>
      <c r="F29" s="118"/>
      <c r="G29" s="118"/>
      <c r="H29" s="118"/>
      <c r="I29" s="118"/>
      <c r="J29" s="118"/>
      <c r="K29" s="118"/>
      <c r="L29" s="118"/>
      <c r="M29" s="119"/>
      <c r="N29" s="8"/>
      <c r="P29" s="8"/>
      <c r="Q29" s="17"/>
    </row>
    <row r="30" spans="1:17" s="9" customFormat="1" ht="45" customHeight="1" x14ac:dyDescent="0.2">
      <c r="A30" s="67">
        <v>8</v>
      </c>
      <c r="B30" s="117" t="s">
        <v>118</v>
      </c>
      <c r="C30" s="118"/>
      <c r="D30" s="118"/>
      <c r="E30" s="118"/>
      <c r="F30" s="118"/>
      <c r="G30" s="118"/>
      <c r="H30" s="118"/>
      <c r="I30" s="118"/>
      <c r="J30" s="118"/>
      <c r="K30" s="118"/>
      <c r="L30" s="118"/>
      <c r="M30" s="119"/>
      <c r="N30" s="8"/>
      <c r="P30" s="8"/>
      <c r="Q30" s="17"/>
    </row>
    <row r="31" spans="1:17" s="9" customFormat="1" ht="45" customHeight="1" x14ac:dyDescent="0.2">
      <c r="A31" s="67">
        <v>9</v>
      </c>
      <c r="B31" s="121" t="s">
        <v>119</v>
      </c>
      <c r="C31" s="149"/>
      <c r="D31" s="149"/>
      <c r="E31" s="149"/>
      <c r="F31" s="149"/>
      <c r="G31" s="149"/>
      <c r="H31" s="149"/>
      <c r="I31" s="149"/>
      <c r="J31" s="149"/>
      <c r="K31" s="149"/>
      <c r="L31" s="149"/>
      <c r="M31" s="149"/>
      <c r="N31" s="8"/>
      <c r="P31" s="8"/>
      <c r="Q31" s="17"/>
    </row>
    <row r="32" spans="1:17" s="9" customFormat="1" ht="45" customHeight="1" x14ac:dyDescent="0.2">
      <c r="A32" s="67">
        <v>10</v>
      </c>
      <c r="B32" s="120" t="s">
        <v>120</v>
      </c>
      <c r="C32" s="120"/>
      <c r="D32" s="120"/>
      <c r="E32" s="120"/>
      <c r="F32" s="120"/>
      <c r="G32" s="120"/>
      <c r="H32" s="120"/>
      <c r="I32" s="120"/>
      <c r="J32" s="120"/>
      <c r="K32" s="120"/>
      <c r="L32" s="120"/>
      <c r="M32" s="120"/>
      <c r="N32" s="8"/>
      <c r="P32" s="8"/>
      <c r="Q32" s="17"/>
    </row>
    <row r="33" spans="1:17" s="9" customFormat="1" ht="45" customHeight="1" x14ac:dyDescent="0.2">
      <c r="A33" s="67">
        <v>11</v>
      </c>
      <c r="B33" s="121" t="s">
        <v>121</v>
      </c>
      <c r="C33" s="149"/>
      <c r="D33" s="149"/>
      <c r="E33" s="149"/>
      <c r="F33" s="149"/>
      <c r="G33" s="149"/>
      <c r="H33" s="149"/>
      <c r="I33" s="149"/>
      <c r="J33" s="149"/>
      <c r="K33" s="149"/>
      <c r="L33" s="149"/>
      <c r="M33" s="149"/>
      <c r="N33" s="8"/>
      <c r="P33" s="8"/>
      <c r="Q33" s="17"/>
    </row>
    <row r="34" spans="1:17" s="9" customFormat="1" ht="45" customHeight="1" x14ac:dyDescent="0.2">
      <c r="A34" s="67">
        <v>12</v>
      </c>
      <c r="B34" s="121" t="s">
        <v>122</v>
      </c>
      <c r="C34" s="149"/>
      <c r="D34" s="149"/>
      <c r="E34" s="149"/>
      <c r="F34" s="149"/>
      <c r="G34" s="149"/>
      <c r="H34" s="149"/>
      <c r="I34" s="149"/>
      <c r="J34" s="149"/>
      <c r="K34" s="149"/>
      <c r="L34" s="149"/>
      <c r="M34" s="149"/>
      <c r="N34" s="8"/>
      <c r="P34" s="8"/>
      <c r="Q34" s="17"/>
    </row>
    <row r="35" spans="1:17" s="9" customFormat="1" ht="45" customHeight="1" x14ac:dyDescent="0.2">
      <c r="A35" s="67">
        <v>13</v>
      </c>
      <c r="B35" s="121" t="s">
        <v>123</v>
      </c>
      <c r="C35" s="149"/>
      <c r="D35" s="149"/>
      <c r="E35" s="149"/>
      <c r="F35" s="149"/>
      <c r="G35" s="149"/>
      <c r="H35" s="149"/>
      <c r="I35" s="149"/>
      <c r="J35" s="149"/>
      <c r="K35" s="149"/>
      <c r="L35" s="149"/>
      <c r="M35" s="149"/>
      <c r="N35" s="8"/>
      <c r="P35" s="8"/>
      <c r="Q35" s="17"/>
    </row>
    <row r="36" spans="1:17" s="9" customFormat="1" ht="45" customHeight="1" x14ac:dyDescent="0.2">
      <c r="A36" s="67">
        <v>14</v>
      </c>
      <c r="B36" s="121" t="s">
        <v>124</v>
      </c>
      <c r="C36" s="149"/>
      <c r="D36" s="149"/>
      <c r="E36" s="149"/>
      <c r="F36" s="149"/>
      <c r="G36" s="149"/>
      <c r="H36" s="149"/>
      <c r="I36" s="149"/>
      <c r="J36" s="149"/>
      <c r="K36" s="149"/>
      <c r="L36" s="149"/>
      <c r="M36" s="149"/>
      <c r="N36" s="8"/>
      <c r="P36" s="8"/>
      <c r="Q36" s="17"/>
    </row>
    <row r="37" spans="1:17" s="9" customFormat="1" ht="45" customHeight="1" x14ac:dyDescent="0.2">
      <c r="A37" s="67">
        <v>15</v>
      </c>
      <c r="B37" s="121" t="s">
        <v>125</v>
      </c>
      <c r="C37" s="122"/>
      <c r="D37" s="122"/>
      <c r="E37" s="122"/>
      <c r="F37" s="122"/>
      <c r="G37" s="122"/>
      <c r="H37" s="122"/>
      <c r="I37" s="122"/>
      <c r="J37" s="122"/>
      <c r="K37" s="122"/>
      <c r="L37" s="122"/>
      <c r="M37" s="122"/>
      <c r="Q37" s="18"/>
    </row>
    <row r="38" spans="1:17" ht="42.75" customHeight="1" x14ac:dyDescent="0.2">
      <c r="A38" s="143" t="s">
        <v>126</v>
      </c>
      <c r="B38" s="143"/>
      <c r="C38" s="143"/>
      <c r="D38" s="143"/>
      <c r="E38" s="143"/>
      <c r="F38" s="143"/>
      <c r="G38" s="143"/>
      <c r="H38" s="187"/>
      <c r="I38" s="187"/>
      <c r="J38" s="187"/>
      <c r="K38" s="187"/>
      <c r="L38" s="187"/>
      <c r="M38" s="187"/>
    </row>
    <row r="39" spans="1:17" ht="29.1" customHeight="1" x14ac:dyDescent="0.2">
      <c r="A39" s="111" t="s">
        <v>127</v>
      </c>
      <c r="B39" s="113"/>
      <c r="C39" s="79" t="s">
        <v>128</v>
      </c>
      <c r="D39" s="111" t="s">
        <v>129</v>
      </c>
      <c r="E39" s="112"/>
      <c r="F39" s="112"/>
      <c r="G39" s="113"/>
      <c r="H39" s="111" t="s">
        <v>130</v>
      </c>
      <c r="I39" s="112"/>
      <c r="J39" s="112"/>
      <c r="K39" s="112"/>
      <c r="L39" s="112"/>
      <c r="M39" s="113"/>
    </row>
    <row r="40" spans="1:17" ht="18" customHeight="1" x14ac:dyDescent="0.2">
      <c r="A40" s="153"/>
      <c r="B40" s="155"/>
      <c r="C40" s="6"/>
      <c r="D40" s="153"/>
      <c r="E40" s="154"/>
      <c r="F40" s="154"/>
      <c r="G40" s="155"/>
      <c r="H40" s="114"/>
      <c r="I40" s="115"/>
      <c r="J40" s="115"/>
      <c r="K40" s="115"/>
      <c r="L40" s="115"/>
      <c r="M40" s="116"/>
    </row>
    <row r="41" spans="1:17" ht="18" customHeight="1" x14ac:dyDescent="0.2">
      <c r="A41" s="96"/>
      <c r="B41" s="98"/>
      <c r="C41" s="6"/>
      <c r="D41" s="96"/>
      <c r="E41" s="97"/>
      <c r="F41" s="97"/>
      <c r="G41" s="98"/>
      <c r="H41" s="100"/>
      <c r="I41" s="101"/>
      <c r="J41" s="101"/>
      <c r="K41" s="101"/>
      <c r="L41" s="101"/>
      <c r="M41" s="99"/>
    </row>
    <row r="42" spans="1:17" ht="18" customHeight="1" x14ac:dyDescent="0.2">
      <c r="A42" s="96"/>
      <c r="B42" s="98"/>
      <c r="C42" s="6"/>
      <c r="D42" s="96"/>
      <c r="E42" s="97"/>
      <c r="F42" s="97"/>
      <c r="G42" s="98"/>
      <c r="H42" s="100"/>
      <c r="I42" s="101"/>
      <c r="J42" s="101"/>
      <c r="K42" s="101"/>
      <c r="L42" s="101"/>
      <c r="M42" s="99"/>
    </row>
    <row r="43" spans="1:17" ht="18" customHeight="1" x14ac:dyDescent="0.2">
      <c r="A43" s="96"/>
      <c r="B43" s="98"/>
      <c r="C43" s="6"/>
      <c r="D43" s="96"/>
      <c r="E43" s="97"/>
      <c r="F43" s="97"/>
      <c r="G43" s="98"/>
      <c r="H43" s="100"/>
      <c r="I43" s="101"/>
      <c r="J43" s="101"/>
      <c r="K43" s="101"/>
      <c r="L43" s="101"/>
      <c r="M43" s="99"/>
    </row>
    <row r="44" spans="1:17" ht="18" customHeight="1" x14ac:dyDescent="0.2">
      <c r="A44" s="96"/>
      <c r="B44" s="98"/>
      <c r="C44" s="6"/>
      <c r="D44" s="96"/>
      <c r="E44" s="97"/>
      <c r="F44" s="97"/>
      <c r="G44" s="98"/>
      <c r="H44" s="100"/>
      <c r="I44" s="101"/>
      <c r="J44" s="101"/>
      <c r="K44" s="101"/>
      <c r="L44" s="101"/>
      <c r="M44" s="99"/>
    </row>
    <row r="45" spans="1:17" ht="18" customHeight="1" x14ac:dyDescent="0.2">
      <c r="A45" s="96"/>
      <c r="B45" s="98"/>
      <c r="C45" s="6"/>
      <c r="D45" s="96"/>
      <c r="E45" s="97"/>
      <c r="F45" s="97"/>
      <c r="G45" s="98"/>
      <c r="H45" s="100"/>
      <c r="I45" s="101"/>
      <c r="J45" s="101"/>
      <c r="K45" s="101"/>
      <c r="L45" s="101"/>
      <c r="M45" s="99"/>
    </row>
    <row r="46" spans="1:17" ht="36" customHeight="1" x14ac:dyDescent="0.2">
      <c r="A46" s="179" t="s">
        <v>131</v>
      </c>
      <c r="B46" s="180"/>
      <c r="C46" s="180"/>
      <c r="D46" s="180"/>
      <c r="E46" s="180"/>
      <c r="F46" s="180"/>
      <c r="G46" s="180"/>
      <c r="H46" s="180"/>
      <c r="I46" s="180"/>
      <c r="J46" s="180"/>
      <c r="K46" s="180"/>
      <c r="L46" s="180"/>
      <c r="M46" s="181"/>
    </row>
    <row r="47" spans="1:17" ht="31.35" customHeight="1" x14ac:dyDescent="0.2">
      <c r="A47" s="188" t="s">
        <v>132</v>
      </c>
      <c r="B47" s="188"/>
      <c r="C47" s="80" t="s">
        <v>133</v>
      </c>
      <c r="D47" s="160" t="s">
        <v>134</v>
      </c>
      <c r="E47" s="161"/>
      <c r="F47" s="162"/>
      <c r="G47" s="172"/>
      <c r="H47" s="173"/>
      <c r="I47" s="173"/>
      <c r="J47" s="173"/>
      <c r="K47" s="173"/>
      <c r="L47" s="173"/>
      <c r="M47" s="174"/>
    </row>
    <row r="48" spans="1:17" ht="32.450000000000003" customHeight="1" x14ac:dyDescent="0.2">
      <c r="A48" s="157"/>
      <c r="B48" s="159"/>
      <c r="C48" s="10"/>
      <c r="D48" s="163"/>
      <c r="E48" s="164"/>
      <c r="F48" s="165"/>
      <c r="G48" s="175"/>
      <c r="H48" s="176"/>
      <c r="I48" s="176"/>
      <c r="J48" s="176"/>
      <c r="K48" s="176"/>
      <c r="L48" s="176"/>
      <c r="M48" s="177"/>
    </row>
    <row r="49" spans="1:13" s="11" customFormat="1" ht="15" customHeight="1" x14ac:dyDescent="0.2">
      <c r="A49" s="68"/>
      <c r="B49" s="69"/>
      <c r="C49" s="69"/>
      <c r="D49" s="69"/>
      <c r="E49" s="69"/>
      <c r="F49" s="69"/>
      <c r="G49" s="69"/>
      <c r="H49" s="69"/>
      <c r="I49" s="69"/>
      <c r="J49" s="69"/>
      <c r="K49" s="69"/>
      <c r="L49" s="69"/>
      <c r="M49" s="70"/>
    </row>
    <row r="50" spans="1:13" ht="91.5" customHeight="1" x14ac:dyDescent="0.2">
      <c r="A50" s="156" t="s">
        <v>135</v>
      </c>
      <c r="B50" s="142"/>
      <c r="C50" s="157"/>
      <c r="D50" s="158"/>
      <c r="E50" s="158"/>
      <c r="F50" s="158"/>
      <c r="G50" s="158"/>
      <c r="H50" s="158"/>
      <c r="I50" s="158"/>
      <c r="J50" s="158"/>
      <c r="K50" s="158"/>
      <c r="L50" s="158"/>
      <c r="M50" s="159"/>
    </row>
    <row r="51" spans="1:13" s="12" customFormat="1" ht="24" customHeight="1" x14ac:dyDescent="0.2">
      <c r="A51" s="143" t="s">
        <v>136</v>
      </c>
      <c r="B51" s="143"/>
      <c r="C51" s="143"/>
      <c r="D51" s="143"/>
      <c r="E51" s="143"/>
      <c r="F51" s="143"/>
      <c r="G51" s="143"/>
      <c r="H51" s="143"/>
      <c r="I51" s="143"/>
      <c r="J51" s="143"/>
      <c r="K51" s="143"/>
      <c r="L51" s="143"/>
      <c r="M51" s="143"/>
    </row>
  </sheetData>
  <sheetProtection formatCells="0" formatColumns="0" formatRows="0" insertColumns="0" insertRows="0" insertHyperlinks="0" deleteColumns="0" deleteRows="0" sort="0" autoFilter="0" pivotTables="0"/>
  <mergeCells count="54">
    <mergeCell ref="A1:B4"/>
    <mergeCell ref="G47:M48"/>
    <mergeCell ref="A6:B6"/>
    <mergeCell ref="A46:M46"/>
    <mergeCell ref="A21:M21"/>
    <mergeCell ref="B23:M23"/>
    <mergeCell ref="B24:M24"/>
    <mergeCell ref="B25:M25"/>
    <mergeCell ref="A38:M38"/>
    <mergeCell ref="A47:B47"/>
    <mergeCell ref="B28:M28"/>
    <mergeCell ref="A48:B48"/>
    <mergeCell ref="A22:M22"/>
    <mergeCell ref="H7:J7"/>
    <mergeCell ref="A40:B40"/>
    <mergeCell ref="B26:M26"/>
    <mergeCell ref="A51:M51"/>
    <mergeCell ref="A7:B7"/>
    <mergeCell ref="A18:M18"/>
    <mergeCell ref="B31:M31"/>
    <mergeCell ref="B36:M36"/>
    <mergeCell ref="B33:M33"/>
    <mergeCell ref="B34:M34"/>
    <mergeCell ref="B35:M35"/>
    <mergeCell ref="K7:M7"/>
    <mergeCell ref="D7:F7"/>
    <mergeCell ref="D39:G39"/>
    <mergeCell ref="D40:G40"/>
    <mergeCell ref="A50:B50"/>
    <mergeCell ref="C50:M50"/>
    <mergeCell ref="D47:F48"/>
    <mergeCell ref="A39:B39"/>
    <mergeCell ref="J2:M2"/>
    <mergeCell ref="J3:M3"/>
    <mergeCell ref="J4:M4"/>
    <mergeCell ref="C3:H3"/>
    <mergeCell ref="G14:J14"/>
    <mergeCell ref="G13:J13"/>
    <mergeCell ref="K6:M6"/>
    <mergeCell ref="G8:J8"/>
    <mergeCell ref="G9:J9"/>
    <mergeCell ref="G10:J10"/>
    <mergeCell ref="G11:J11"/>
    <mergeCell ref="G12:J12"/>
    <mergeCell ref="A19:M19"/>
    <mergeCell ref="G15:J15"/>
    <mergeCell ref="G16:J16"/>
    <mergeCell ref="H39:M39"/>
    <mergeCell ref="H40:M40"/>
    <mergeCell ref="B29:M29"/>
    <mergeCell ref="B27:M27"/>
    <mergeCell ref="B30:M30"/>
    <mergeCell ref="B32:M32"/>
    <mergeCell ref="B37:M37"/>
  </mergeCells>
  <phoneticPr fontId="0" type="noConversion"/>
  <conditionalFormatting sqref="F9:F16 M9:M16">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6 D9:D16">
      <formula1>$Q$2:$Q$7</formula1>
    </dataValidation>
    <dataValidation type="list" allowBlank="1" showInputMessage="1" showErrorMessage="1" sqref="L9:L16 E9:E16">
      <formula1>$R$2:$R$7</formula1>
    </dataValidation>
  </dataValidations>
  <pageMargins left="0.62029109589041098" right="0.59332191780821919" top="0.55118110236220474" bottom="0.51181102362204722" header="7.874015748031496E-2" footer="0.23622047244094491"/>
  <pageSetup paperSize="9" scale="63" fitToHeight="2" orientation="landscape" copies="3" r:id="rId1"/>
  <headerFooter>
    <oddFooter>&amp;L&amp;8&amp;"Arial"&amp;K000000Issue date: 03-03-2017 Revision: 02Document owner: Group SHEQ Manager.&amp;R&amp;8&amp;"Arial"&amp;P/&amp;N</oddFooter>
  </headerFooter>
  <rowBreaks count="1" manualBreakCount="1">
    <brk id="1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view="pageBreakPreview" zoomScaleSheetLayoutView="100" zoomScalePageLayoutView="80" workbookViewId="0">
      <selection activeCell="D32" sqref="D32"/>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5703125" style="3" hidden="1" customWidth="1"/>
    <col min="13" max="14" width="9.140625" style="3" hidden="1" customWidth="1"/>
    <col min="15" max="15" width="11.5703125" style="7" hidden="1" customWidth="1"/>
    <col min="16" max="16" width="13.425781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213" t="s">
        <v>73</v>
      </c>
      <c r="B1" s="214"/>
      <c r="C1" s="215"/>
      <c r="D1" s="53"/>
      <c r="E1" s="54"/>
      <c r="F1" s="54"/>
      <c r="G1" s="55"/>
      <c r="H1" s="56"/>
      <c r="I1" s="194" t="s">
        <v>30</v>
      </c>
      <c r="J1" s="195"/>
      <c r="O1" s="15" t="s">
        <v>49</v>
      </c>
      <c r="P1" s="15" t="s">
        <v>50</v>
      </c>
      <c r="Q1" s="15" t="s">
        <v>51</v>
      </c>
      <c r="R1" s="15" t="s">
        <v>52</v>
      </c>
      <c r="S1" s="15" t="s">
        <v>53</v>
      </c>
      <c r="T1" s="15" t="s">
        <v>54</v>
      </c>
      <c r="U1" s="19" t="s">
        <v>55</v>
      </c>
      <c r="V1" s="2"/>
    </row>
    <row r="2" spans="1:22" ht="25.5" customHeight="1" x14ac:dyDescent="0.2">
      <c r="A2" s="216"/>
      <c r="B2" s="217"/>
      <c r="C2" s="218"/>
      <c r="D2" s="200" t="s">
        <v>137</v>
      </c>
      <c r="E2" s="131"/>
      <c r="F2" s="131"/>
      <c r="G2" s="131"/>
      <c r="H2" s="132"/>
      <c r="I2" s="196" t="s">
        <v>138</v>
      </c>
      <c r="J2" s="197"/>
      <c r="N2" s="7"/>
      <c r="O2" s="15">
        <v>1</v>
      </c>
      <c r="P2" s="15" t="s">
        <v>56</v>
      </c>
      <c r="Q2" s="16"/>
      <c r="R2" s="16"/>
      <c r="S2" s="16"/>
      <c r="T2" s="16"/>
      <c r="U2" s="19" t="s">
        <v>57</v>
      </c>
      <c r="V2" s="5"/>
    </row>
    <row r="3" spans="1:22" ht="25.5" customHeight="1" x14ac:dyDescent="0.2">
      <c r="A3" s="216"/>
      <c r="B3" s="217"/>
      <c r="C3" s="218"/>
      <c r="D3" s="81"/>
      <c r="E3" s="82"/>
      <c r="F3" s="82"/>
      <c r="G3" s="82"/>
      <c r="H3" s="83"/>
      <c r="I3" s="198" t="s">
        <v>76</v>
      </c>
      <c r="J3" s="199"/>
      <c r="K3" s="50"/>
      <c r="L3" s="50"/>
      <c r="M3" s="23"/>
    </row>
    <row r="4" spans="1:22" ht="18.75" thickBot="1" x14ac:dyDescent="0.25">
      <c r="A4" s="47"/>
      <c r="B4" s="47"/>
      <c r="C4" s="47"/>
      <c r="D4" s="47"/>
      <c r="E4" s="47"/>
      <c r="F4" s="47"/>
      <c r="G4" s="47"/>
      <c r="H4" s="47"/>
      <c r="I4" s="47"/>
      <c r="J4" s="47"/>
      <c r="K4" s="47"/>
      <c r="L4" s="47"/>
      <c r="M4" s="23"/>
    </row>
    <row r="5" spans="1:22" ht="26.25" customHeight="1" thickBot="1" x14ac:dyDescent="0.25">
      <c r="A5" s="205" t="s">
        <v>86</v>
      </c>
      <c r="B5" s="206"/>
      <c r="C5" s="219" t="s">
        <v>139</v>
      </c>
      <c r="D5" s="220"/>
      <c r="E5" s="220"/>
      <c r="F5" s="220"/>
      <c r="G5" s="221"/>
      <c r="H5" s="219" t="s">
        <v>140</v>
      </c>
      <c r="I5" s="220"/>
      <c r="J5" s="220"/>
      <c r="K5" s="220"/>
      <c r="L5" s="221"/>
      <c r="M5" s="23"/>
    </row>
    <row r="6" spans="1:22" ht="20.25" customHeight="1" thickBot="1" x14ac:dyDescent="0.25">
      <c r="A6" s="207"/>
      <c r="B6" s="208"/>
      <c r="C6" s="222" t="s">
        <v>141</v>
      </c>
      <c r="D6" s="222" t="s">
        <v>142</v>
      </c>
      <c r="E6" s="222" t="s">
        <v>143</v>
      </c>
      <c r="F6" s="222" t="s">
        <v>144</v>
      </c>
      <c r="G6" s="222" t="s">
        <v>145</v>
      </c>
      <c r="H6" s="84" t="s">
        <v>31</v>
      </c>
      <c r="I6" s="84" t="s">
        <v>32</v>
      </c>
      <c r="J6" s="84" t="s">
        <v>33</v>
      </c>
      <c r="K6" s="22" t="s">
        <v>28</v>
      </c>
      <c r="L6" s="22" t="s">
        <v>29</v>
      </c>
      <c r="M6" s="23"/>
    </row>
    <row r="7" spans="1:22" ht="129.94999999999999" customHeight="1" x14ac:dyDescent="0.2">
      <c r="A7" s="207"/>
      <c r="B7" s="208"/>
      <c r="C7" s="223"/>
      <c r="D7" s="223"/>
      <c r="E7" s="223"/>
      <c r="F7" s="223"/>
      <c r="G7" s="223"/>
      <c r="H7" s="85" t="s">
        <v>146</v>
      </c>
      <c r="I7" s="85" t="s">
        <v>147</v>
      </c>
      <c r="J7" s="85" t="s">
        <v>148</v>
      </c>
      <c r="K7" s="24" t="s">
        <v>58</v>
      </c>
      <c r="L7" s="24" t="s">
        <v>59</v>
      </c>
      <c r="M7" s="23"/>
    </row>
    <row r="8" spans="1:22" ht="12.75" customHeight="1" x14ac:dyDescent="0.2">
      <c r="A8" s="207"/>
      <c r="B8" s="208"/>
      <c r="C8" s="223"/>
      <c r="D8" s="223"/>
      <c r="E8" s="223"/>
      <c r="F8" s="223"/>
      <c r="G8" s="223"/>
      <c r="H8" s="211" t="s">
        <v>149</v>
      </c>
      <c r="I8" s="211" t="s">
        <v>150</v>
      </c>
      <c r="J8" s="211" t="s">
        <v>151</v>
      </c>
      <c r="K8" s="211" t="s">
        <v>60</v>
      </c>
      <c r="L8" s="211" t="s">
        <v>61</v>
      </c>
      <c r="M8" s="23"/>
    </row>
    <row r="9" spans="1:22" ht="24.95" customHeight="1" thickBot="1" x14ac:dyDescent="0.25">
      <c r="A9" s="209"/>
      <c r="B9" s="210"/>
      <c r="C9" s="224"/>
      <c r="D9" s="224"/>
      <c r="E9" s="224"/>
      <c r="F9" s="224"/>
      <c r="G9" s="224"/>
      <c r="H9" s="212"/>
      <c r="I9" s="212"/>
      <c r="J9" s="212"/>
      <c r="K9" s="212"/>
      <c r="L9" s="212"/>
      <c r="M9" s="23"/>
    </row>
    <row r="10" spans="1:22" ht="65.099999999999994" customHeight="1" x14ac:dyDescent="0.2">
      <c r="A10" s="201">
        <v>1</v>
      </c>
      <c r="B10" s="202"/>
      <c r="C10" s="39" t="s">
        <v>152</v>
      </c>
      <c r="D10" s="39" t="s">
        <v>153</v>
      </c>
      <c r="E10" s="39" t="s">
        <v>154</v>
      </c>
      <c r="F10" s="39" t="s">
        <v>155</v>
      </c>
      <c r="G10" s="40" t="s">
        <v>156</v>
      </c>
      <c r="H10" s="31" t="s">
        <v>34</v>
      </c>
      <c r="I10" s="32" t="s">
        <v>35</v>
      </c>
      <c r="J10" s="32" t="s">
        <v>36</v>
      </c>
      <c r="K10" s="41" t="s">
        <v>62</v>
      </c>
      <c r="L10" s="33" t="s">
        <v>63</v>
      </c>
      <c r="M10" s="23"/>
    </row>
    <row r="11" spans="1:22" ht="65.099999999999994" customHeight="1" x14ac:dyDescent="0.2">
      <c r="A11" s="203">
        <v>2</v>
      </c>
      <c r="B11" s="204"/>
      <c r="C11" s="25" t="s">
        <v>157</v>
      </c>
      <c r="D11" s="25" t="s">
        <v>158</v>
      </c>
      <c r="E11" s="39" t="s">
        <v>159</v>
      </c>
      <c r="F11" s="25" t="s">
        <v>160</v>
      </c>
      <c r="G11" s="29" t="s">
        <v>161</v>
      </c>
      <c r="H11" s="34" t="s">
        <v>37</v>
      </c>
      <c r="I11" s="35" t="s">
        <v>38</v>
      </c>
      <c r="J11" s="35" t="s">
        <v>39</v>
      </c>
      <c r="K11" s="36" t="s">
        <v>64</v>
      </c>
      <c r="L11" s="37" t="s">
        <v>65</v>
      </c>
      <c r="M11" s="23"/>
    </row>
    <row r="12" spans="1:22" ht="65.099999999999994" customHeight="1" x14ac:dyDescent="0.2">
      <c r="A12" s="203">
        <v>3</v>
      </c>
      <c r="B12" s="204"/>
      <c r="C12" s="25" t="s">
        <v>162</v>
      </c>
      <c r="D12" s="25" t="s">
        <v>163</v>
      </c>
      <c r="E12" s="39" t="s">
        <v>164</v>
      </c>
      <c r="F12" s="25" t="s">
        <v>165</v>
      </c>
      <c r="G12" s="29" t="s">
        <v>166</v>
      </c>
      <c r="H12" s="34" t="s">
        <v>40</v>
      </c>
      <c r="I12" s="35" t="s">
        <v>41</v>
      </c>
      <c r="J12" s="36" t="s">
        <v>42</v>
      </c>
      <c r="K12" s="36" t="s">
        <v>66</v>
      </c>
      <c r="L12" s="42" t="s">
        <v>67</v>
      </c>
      <c r="M12" s="23"/>
    </row>
    <row r="13" spans="1:22" ht="65.099999999999994" customHeight="1" x14ac:dyDescent="0.2">
      <c r="A13" s="203">
        <v>4</v>
      </c>
      <c r="B13" s="204"/>
      <c r="C13" s="25" t="s">
        <v>167</v>
      </c>
      <c r="D13" s="25" t="s">
        <v>168</v>
      </c>
      <c r="E13" s="39" t="s">
        <v>169</v>
      </c>
      <c r="F13" s="25" t="s">
        <v>170</v>
      </c>
      <c r="G13" s="29" t="s">
        <v>171</v>
      </c>
      <c r="H13" s="34" t="s">
        <v>43</v>
      </c>
      <c r="I13" s="36" t="s">
        <v>44</v>
      </c>
      <c r="J13" s="36" t="s">
        <v>45</v>
      </c>
      <c r="K13" s="43" t="s">
        <v>68</v>
      </c>
      <c r="L13" s="42" t="s">
        <v>69</v>
      </c>
      <c r="M13" s="23"/>
    </row>
    <row r="14" spans="1:22" ht="65.099999999999994" customHeight="1" thickBot="1" x14ac:dyDescent="0.25">
      <c r="A14" s="192">
        <v>5</v>
      </c>
      <c r="B14" s="193"/>
      <c r="C14" s="26" t="s">
        <v>172</v>
      </c>
      <c r="D14" s="26" t="s">
        <v>173</v>
      </c>
      <c r="E14" s="26" t="s">
        <v>174</v>
      </c>
      <c r="F14" s="26" t="s">
        <v>175</v>
      </c>
      <c r="G14" s="30" t="s">
        <v>176</v>
      </c>
      <c r="H14" s="46" t="s">
        <v>46</v>
      </c>
      <c r="I14" s="38" t="s">
        <v>47</v>
      </c>
      <c r="J14" s="44" t="s">
        <v>48</v>
      </c>
      <c r="K14" s="44" t="s">
        <v>70</v>
      </c>
      <c r="L14" s="45" t="s">
        <v>71</v>
      </c>
      <c r="M14" s="23"/>
    </row>
    <row r="15" spans="1:22" x14ac:dyDescent="0.2">
      <c r="A15" s="48"/>
      <c r="B15" s="48"/>
      <c r="C15" s="49"/>
      <c r="D15" s="49"/>
      <c r="E15" s="49"/>
      <c r="F15" s="49"/>
      <c r="G15" s="49"/>
      <c r="H15" s="27"/>
      <c r="I15" s="27"/>
      <c r="J15" s="27"/>
      <c r="K15" s="28"/>
      <c r="L15" s="28"/>
      <c r="M15" s="23"/>
    </row>
    <row r="16" spans="1:22" x14ac:dyDescent="0.2">
      <c r="A16" s="23"/>
      <c r="B16" s="23"/>
      <c r="C16" s="23"/>
      <c r="D16" s="23"/>
      <c r="E16" s="23"/>
      <c r="F16" s="23"/>
      <c r="G16" s="23"/>
      <c r="H16" s="23"/>
      <c r="I16" s="23"/>
      <c r="J16" s="23"/>
      <c r="K16" s="23"/>
      <c r="L16" s="23"/>
      <c r="M16" s="23"/>
    </row>
    <row r="17" spans="1:13" x14ac:dyDescent="0.2">
      <c r="A17" s="23"/>
      <c r="B17" s="23"/>
      <c r="C17" s="23"/>
      <c r="D17" s="23"/>
      <c r="E17" s="23"/>
      <c r="F17" s="23"/>
      <c r="G17" s="23"/>
      <c r="H17" s="23"/>
      <c r="I17" s="23"/>
      <c r="J17" s="23"/>
      <c r="K17" s="23"/>
      <c r="L17" s="23"/>
      <c r="M17" s="23"/>
    </row>
    <row r="18" spans="1:13" x14ac:dyDescent="0.2">
      <c r="A18" s="23"/>
      <c r="B18" s="23"/>
      <c r="C18" s="23"/>
      <c r="D18" s="23"/>
      <c r="E18" s="23"/>
      <c r="F18" s="23"/>
      <c r="G18" s="23"/>
      <c r="H18" s="23"/>
      <c r="I18" s="23"/>
      <c r="J18" s="23"/>
      <c r="K18" s="23"/>
      <c r="L18" s="23"/>
      <c r="M18" s="23"/>
    </row>
    <row r="19" spans="1:13" x14ac:dyDescent="0.2">
      <c r="A19" s="23"/>
      <c r="B19" s="23"/>
      <c r="C19" s="23"/>
      <c r="D19" s="23"/>
      <c r="E19" s="23"/>
      <c r="F19" s="23"/>
      <c r="G19" s="23"/>
      <c r="H19" s="23"/>
      <c r="I19" s="23"/>
      <c r="J19" s="23"/>
      <c r="K19" s="23"/>
      <c r="L19" s="23"/>
      <c r="M19" s="23"/>
    </row>
    <row r="20" spans="1:13" ht="45" customHeight="1" x14ac:dyDescent="0.2">
      <c r="A20" s="23"/>
      <c r="B20" s="23"/>
      <c r="C20" s="23"/>
      <c r="D20" s="23"/>
      <c r="E20" s="23"/>
      <c r="F20" s="23"/>
      <c r="G20" s="23"/>
      <c r="H20" s="23"/>
      <c r="I20" s="23"/>
      <c r="J20" s="23"/>
      <c r="K20" s="23"/>
      <c r="L20" s="23"/>
      <c r="M20" s="23"/>
    </row>
    <row r="21" spans="1:13" ht="15.75" customHeight="1" x14ac:dyDescent="0.2">
      <c r="A21" s="23"/>
      <c r="B21" s="23"/>
      <c r="C21" s="23"/>
      <c r="D21" s="23"/>
      <c r="E21" s="23"/>
      <c r="F21" s="23"/>
      <c r="G21" s="23"/>
      <c r="H21" s="23"/>
      <c r="I21" s="23"/>
      <c r="J21" s="23"/>
      <c r="K21" s="23"/>
      <c r="L21" s="23"/>
      <c r="M21" s="23"/>
    </row>
    <row r="22" spans="1:13" x14ac:dyDescent="0.2">
      <c r="A22" s="23"/>
      <c r="B22" s="23"/>
      <c r="C22" s="23"/>
      <c r="D22" s="23"/>
      <c r="E22" s="23"/>
      <c r="F22" s="23"/>
      <c r="G22" s="23"/>
      <c r="H22" s="23"/>
      <c r="I22" s="23"/>
      <c r="J22" s="23"/>
      <c r="K22" s="23"/>
      <c r="L22" s="23"/>
      <c r="M22" s="23"/>
    </row>
    <row r="23" spans="1:13" x14ac:dyDescent="0.2">
      <c r="A23" s="23"/>
      <c r="B23" s="23"/>
      <c r="C23" s="23"/>
      <c r="D23" s="23"/>
      <c r="E23" s="23"/>
      <c r="F23" s="23"/>
      <c r="G23" s="23"/>
      <c r="H23" s="23"/>
      <c r="I23" s="23"/>
      <c r="J23" s="23"/>
      <c r="K23" s="23"/>
      <c r="L23" s="23"/>
      <c r="M23" s="23"/>
    </row>
    <row r="24" spans="1:13" x14ac:dyDescent="0.2">
      <c r="A24" s="23"/>
      <c r="B24" s="23"/>
      <c r="C24" s="23"/>
      <c r="D24" s="23"/>
      <c r="E24" s="23"/>
      <c r="F24" s="23"/>
      <c r="G24" s="23"/>
      <c r="H24" s="23"/>
      <c r="I24" s="23"/>
      <c r="J24" s="23"/>
      <c r="K24" s="23"/>
      <c r="L24" s="23"/>
      <c r="M24" s="23"/>
    </row>
    <row r="25" spans="1:13" ht="36.6" customHeight="1" x14ac:dyDescent="0.2">
      <c r="A25" s="23"/>
      <c r="B25" s="23"/>
      <c r="C25" s="23"/>
      <c r="D25" s="23"/>
      <c r="E25" s="23"/>
      <c r="F25" s="23"/>
      <c r="G25" s="23"/>
      <c r="H25" s="23"/>
      <c r="I25" s="23"/>
      <c r="J25" s="23"/>
      <c r="K25" s="23"/>
      <c r="L25" s="23"/>
      <c r="M25" s="23"/>
    </row>
    <row r="26" spans="1:13" ht="26.25" customHeight="1" x14ac:dyDescent="0.2">
      <c r="A26" s="23"/>
      <c r="B26" s="23"/>
      <c r="C26" s="23"/>
      <c r="D26" s="23"/>
      <c r="E26" s="23"/>
      <c r="F26" s="23"/>
      <c r="G26" s="23"/>
      <c r="H26" s="23"/>
      <c r="I26" s="23"/>
      <c r="J26" s="23"/>
      <c r="K26" s="23"/>
      <c r="L26" s="23"/>
      <c r="M26" s="23"/>
    </row>
    <row r="27" spans="1:13" x14ac:dyDescent="0.2">
      <c r="A27" s="23"/>
      <c r="B27" s="23"/>
      <c r="C27" s="23"/>
      <c r="D27" s="23"/>
      <c r="E27" s="23"/>
      <c r="F27" s="23"/>
      <c r="G27" s="23"/>
      <c r="H27" s="23"/>
      <c r="I27" s="23"/>
      <c r="J27" s="23"/>
      <c r="K27" s="23"/>
      <c r="L27" s="23"/>
      <c r="M27" s="23"/>
    </row>
    <row r="28" spans="1:13" x14ac:dyDescent="0.2">
      <c r="A28" s="23"/>
      <c r="B28" s="23"/>
      <c r="C28" s="23"/>
      <c r="D28" s="23"/>
      <c r="E28" s="23"/>
      <c r="F28" s="23"/>
      <c r="G28" s="23"/>
      <c r="H28" s="23"/>
      <c r="I28" s="23"/>
      <c r="J28" s="23"/>
      <c r="K28" s="23"/>
      <c r="L28" s="23"/>
      <c r="M28" s="23"/>
    </row>
    <row r="29" spans="1:13" x14ac:dyDescent="0.2">
      <c r="A29" s="23"/>
      <c r="B29" s="23"/>
      <c r="C29" s="23"/>
      <c r="D29" s="23"/>
      <c r="E29" s="23"/>
      <c r="F29" s="23"/>
      <c r="G29" s="23"/>
      <c r="H29" s="23"/>
      <c r="I29" s="23"/>
      <c r="J29" s="23"/>
      <c r="K29" s="23"/>
      <c r="L29" s="23"/>
      <c r="M29" s="23"/>
    </row>
    <row r="30" spans="1:13" x14ac:dyDescent="0.2">
      <c r="A30" s="23"/>
      <c r="B30" s="23"/>
      <c r="C30" s="23"/>
      <c r="D30" s="23"/>
      <c r="E30" s="23"/>
      <c r="F30" s="23"/>
      <c r="G30" s="23"/>
      <c r="H30" s="23"/>
      <c r="I30" s="23"/>
      <c r="J30" s="23"/>
      <c r="K30" s="23"/>
      <c r="L30" s="23"/>
      <c r="M30" s="23"/>
    </row>
    <row r="31" spans="1:13" x14ac:dyDescent="0.2">
      <c r="A31" s="23"/>
      <c r="B31" s="23"/>
      <c r="C31" s="23"/>
      <c r="D31" s="23"/>
      <c r="E31" s="23"/>
      <c r="F31" s="23"/>
      <c r="G31" s="23"/>
      <c r="H31" s="23"/>
      <c r="I31" s="23"/>
      <c r="J31" s="23"/>
      <c r="K31" s="23"/>
      <c r="L31" s="23"/>
      <c r="M31" s="23"/>
    </row>
    <row r="32" spans="1:13" ht="69" customHeight="1" x14ac:dyDescent="0.2">
      <c r="A32" s="23"/>
      <c r="B32" s="23"/>
      <c r="C32" s="23"/>
      <c r="D32" s="23"/>
      <c r="E32" s="23"/>
      <c r="F32" s="23"/>
      <c r="G32" s="23"/>
      <c r="H32" s="23"/>
      <c r="I32" s="23"/>
      <c r="J32" s="23"/>
      <c r="K32" s="23"/>
      <c r="L32" s="23"/>
      <c r="M32" s="23"/>
    </row>
    <row r="33" spans="1:13" ht="29.1" customHeight="1" x14ac:dyDescent="0.2">
      <c r="A33" s="23"/>
      <c r="B33" s="23"/>
      <c r="C33" s="23"/>
      <c r="D33" s="23"/>
      <c r="E33" s="23"/>
      <c r="F33" s="23"/>
      <c r="G33" s="23"/>
      <c r="H33" s="23"/>
      <c r="I33" s="23"/>
      <c r="J33" s="23"/>
      <c r="K33" s="23"/>
      <c r="L33" s="23"/>
      <c r="M33" s="23"/>
    </row>
    <row r="34" spans="1:13" hidden="1" x14ac:dyDescent="0.2">
      <c r="A34" s="23"/>
      <c r="B34" s="23"/>
      <c r="C34" s="23"/>
      <c r="D34" s="23"/>
      <c r="E34" s="23"/>
      <c r="F34" s="23"/>
      <c r="G34" s="23"/>
      <c r="H34" s="23"/>
      <c r="I34" s="23"/>
      <c r="J34" s="23"/>
      <c r="K34" s="23"/>
      <c r="L34" s="23"/>
      <c r="M34" s="23"/>
    </row>
  </sheetData>
  <sheetProtection selectLockedCells="1" selectUnlockedCells="1"/>
  <mergeCells count="23">
    <mergeCell ref="K8:K9"/>
    <mergeCell ref="L8:L9"/>
    <mergeCell ref="C5:G5"/>
    <mergeCell ref="H5:L5"/>
    <mergeCell ref="C6:C9"/>
    <mergeCell ref="D6:D9"/>
    <mergeCell ref="E6:E9"/>
    <mergeCell ref="F6:F9"/>
    <mergeCell ref="G6:G9"/>
    <mergeCell ref="H8:H9"/>
    <mergeCell ref="A14:B14"/>
    <mergeCell ref="I1:J1"/>
    <mergeCell ref="I2:J2"/>
    <mergeCell ref="I3:J3"/>
    <mergeCell ref="D2:H2"/>
    <mergeCell ref="A10:B10"/>
    <mergeCell ref="A11:B11"/>
    <mergeCell ref="A12:B12"/>
    <mergeCell ref="A5:B9"/>
    <mergeCell ref="A13:B13"/>
    <mergeCell ref="I8:I9"/>
    <mergeCell ref="J8:J9"/>
    <mergeCell ref="A1:C3"/>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&amp;L&amp;7&amp;"Arial"Issue date: 01-01-2014 Revision: 01 Document Owner: Group SHEQ Manager&amp;R&amp;7&amp;"Arial"&amp;P/&amp;N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2.xml><?xml version="1.0" encoding="utf-8"?>
<ds:datastoreItem xmlns:ds="http://schemas.openxmlformats.org/officeDocument/2006/customXml" ds:itemID="{34A5DBCF-E2DA-4D23-9549-E8E78AF171AB}">
  <ds:schemaRefs>
    <ds:schemaRef ds:uri="http://purl.org/dc/terms/"/>
    <ds:schemaRef ds:uri="http://schemas.microsoft.com/office/2006/documentManagement/types"/>
    <ds:schemaRef ds:uri="http://schemas.openxmlformats.org/package/2006/metadata/core-properties"/>
    <ds:schemaRef ds:uri="http://purl.org/dc/elements/1.1/"/>
    <ds:schemaRef ds:uri="faa5c77d-98fa-4e50-863f-182fb51ee117"/>
    <ds:schemaRef ds:uri="http://schemas.microsoft.com/office/2006/metadata/properties"/>
    <ds:schemaRef ds:uri="5470fdc2-d5b4-45ba-ae4a-b04105b307e7"/>
    <ds:schemaRef ds:uri="http://www.w3.org/XML/1998/namespace"/>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C5B5785D-A764-4DF2-800E-02F490C0ABC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4</vt:i4>
      </vt:variant>
    </vt:vector>
  </HeadingPairs>
  <TitlesOfParts>
    <vt:vector size="6" baseType="lpstr">
      <vt:lpstr>АСОР</vt:lpstr>
      <vt:lpstr>МОР</vt:lpstr>
      <vt:lpstr>АСОР!Strongly_emphasise_each_individual_s__71</vt:lpstr>
      <vt:lpstr>АСОР!Заголовки_для_печати</vt:lpstr>
      <vt:lpstr>МОР!Заголовки_для_печати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Master.Andromeda</cp:lastModifiedBy>
  <cp:lastPrinted>2018-09-20T06:59:06Z</cp:lastPrinted>
  <dcterms:created xsi:type="dcterms:W3CDTF">2011-02-21T14:14:41Z</dcterms:created>
  <dcterms:modified xsi:type="dcterms:W3CDTF">2024-07-21T12:54:26Z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