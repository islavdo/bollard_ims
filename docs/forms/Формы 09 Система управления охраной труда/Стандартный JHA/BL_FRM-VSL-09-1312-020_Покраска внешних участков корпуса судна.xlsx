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2A5EF2C4-E68E-4CAA-8EB3-B0848B6958FA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АСОР!$O$48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АСОР!$A$1:$M$49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  <c r="V14" i="1"/>
  <c r="S14" i="1"/>
  <c r="U14" i="1"/>
  <c r="M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<sst xmlns="http://schemas.openxmlformats.org/spreadsheetml/2006/main" count="177" uniqueCount="160">
  <si>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</si>
  <si>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</si>
  <si>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</si>
  <si>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</si>
  <si>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</si>
  <si>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</si>
  <si>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</si>
  <si>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</si>
  <si>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</si>
  <si>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</si>
  <si>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</si>
  <si>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</si>
  <si>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</si>
  <si>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</si>
  <si>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</si>
  <si>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</si>
  <si>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</si>
  <si>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</si>
  <si>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</si>
  <si>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</si>
  <si>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</si>
  <si>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</si>
  <si>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</si>
  <si>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</si>
  <si>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</si>
  <si>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</si>
  <si>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</si>
  <si>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</si>
  <si>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</si>
  <si>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</si>
  <si>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</si>
  <si>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</si>
  <si>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</si>
  <si>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</si>
  <si>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</si>
  <si>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</si>
  <si>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</si>
  <si>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</si>
  <si>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</si>
  <si>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</si>
  <si>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</si>
  <si>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</si>
  <si>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</si>
  <si>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</si>
  <si>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</si>
  <si>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</si>
  <si>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</si>
  <si>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</si>
  <si>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</si>
  <si>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</si>
  <si>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</si>
  <si>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</si>
  <si>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</si>
  <si>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</si>
  <si>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</si>
  <si>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</si>
  <si>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</si>
  <si>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АНАЛИЗ СТЕПЕНИ ОПАСНОСТИ РАБОТ (АСОР)</t>
  </si>
  <si>
    <t xml:space="preserve"> Название судна</t>
  </si>
  <si>
    <t>Дата</t>
  </si>
  <si>
    <t xml:space="preserve"> Описание работ</t>
  </si>
  <si>
    <t>Исходный риск</t>
  </si>
  <si>
    <t>Оборудование</t>
  </si>
  <si>
    <t xml:space="preserve"> Остаточный риск</t>
  </si>
  <si>
    <t>Номер оценки рисков</t>
  </si>
  <si>
    <t>Меры контроля для снижения риска</t>
  </si>
  <si>
    <t>Степень тяжести</t>
  </si>
  <si>
    <t>Вероятность</t>
  </si>
  <si>
    <t>Риск</t>
  </si>
  <si>
    <t>Источник опасности / Энергия / Сценарий потенциального несчастного случая</t>
  </si>
  <si>
    <t>Этапы работ</t>
  </si>
  <si>
    <t>Этап</t>
  </si>
  <si>
    <t xml:space="preserve"> Покраска внешних участков корпуса судна</t>
  </si>
  <si>
    <t>Смешивание и переливание краски в контейнер для использования</t>
  </si>
  <si>
    <t>Налив и смешивание краски - разбрызгивание на кожу или в глаза.</t>
  </si>
  <si>
    <t>1)  Определение соответствующей краски.
2)  Ознакомление с паспортом безопасности материала на предмет пригодности, мер предосторожности и применения.
3)  Отпуск со склада только необходимого количества краски для немедленного использования.
4)  Использование надлежащих СИЗ для налива в соответствии с мерами предосторожности в паспорте безопасности.
5)  После налива контейнер для хранения необходимо герметично закрыть.
6)  Все разливы должны быть удалены.</t>
  </si>
  <si>
    <t>Перенос краски на рабочую площадку</t>
  </si>
  <si>
    <t>Опасность спотыкания, скольжения, разлива краски.</t>
  </si>
  <si>
    <t>1)  Следует нести контейнер в одной руке, оставляя другую руку для поручней.
2)  Все разливы должны быть немедленно убраны</t>
  </si>
  <si>
    <t>Использование краски на рабочей площадке</t>
  </si>
  <si>
    <t>Опасность воздействия паров краски</t>
  </si>
  <si>
    <t>1)  Необходимо придерживаться временных ограничений воздействия, согласно указанию в паспорте безопасности материала.
2)  Участок должен хорошо проветриваться (согласно мерам предосторожности в паспорте безопасности материала).
3)  Использование СИЗ согласно паспорту безопасности материала обязательно.
4)  Убедиться в отсутствии на площадке совмещенных во времени работ.
5)  Обозначьте свежеокрашенные участки (ограждением) для персонала.
6)  Убедитесь, чтобы пары краски не попадают в жилые отсеки или в нагнетательные вентиляторы машинных помещений.</t>
  </si>
  <si>
    <t>Опасность от разбрызгивания краски</t>
  </si>
  <si>
    <t>1)  Будьте осторожны при использовании.
2)  Обращайтесь с разливами/разбрызгиванием согласно паспорту безопасности.</t>
  </si>
  <si>
    <t>Утилизация неиспользованной краски</t>
  </si>
  <si>
    <t>Ущерб окружающей среде</t>
  </si>
  <si>
    <t>Неиспользованную краску утилизировать в соответствии с судовой политикой обращения с отходами.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</si>
  <si>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</si>
  <si>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</si>
  <si>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</si>
  <si>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</si>
  <si>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</si>
  <si>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</si>
  <si>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</si>
  <si>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</si>
  <si>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</si>
  <si>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</si>
  <si>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</si>
  <si>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</si>
  <si>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</si>
  <si>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</si>
  <si>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</si>
  <si>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</si>
  <si>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</si>
  <si>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</si>
  <si>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</si>
  <si>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</si>
  <si>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</si>
  <si>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</si>
  <si>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</si>
  <si>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</si>
  <si>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</si>
  <si>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</si>
  <si>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</si>
  <si>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</si>
  <si>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</si>
  <si>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</si>
  <si>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МАТРИЦА ОЦЕНКИ РИСКОВ</t>
  </si>
  <si>
    <t>Возрастающая вероятность</t>
  </si>
  <si>
    <t>Последствия</t>
  </si>
  <si>
    <t>Люди</t>
  </si>
  <si>
    <t>Окружающая среда</t>
  </si>
  <si>
    <t>Имущество</t>
  </si>
  <si>
    <t xml:space="preserve"> Репутация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</si>
  <si>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</si>
  <si>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</si>
  <si>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</si>
  <si>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</si>
  <si>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>Травмы с оказанием доврачебной помощи</t>
  </si>
  <si>
    <t>Незначительное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</si>
  <si>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</si>
  <si>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</si>
  <si>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</si>
  <si>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</si>
  <si>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повреждение 
&lt;500.000€ / евро</t>
  </si>
  <si>
    <t>Задержка 48 часов – 7 дней</t>
  </si>
  <si>
    <t>Сильное негативное воздействие</t>
  </si>
  <si>
    <t>Задержка более 7 дней</t>
  </si>
  <si>
    <r>
      <rPr>
        <i/>
        <sz val="12"/>
        <color rgb="FF000000"/>
        <rFont val="Arial"/>
        <family val="2"/>
        <charset val="204"/>
      </rPr>
      <t>Необходимо</t>
    </r>
    <r>
      <rPr>
        <sz val="12"/>
        <color rgb="FF000000"/>
        <rFont val="Arial"/>
        <family val="2"/>
        <charset val="204"/>
      </rPr>
      <t xml:space="preserve"> проверить следующие пункты:</t>
    </r>
  </si>
  <si>
    <t>File 09 / Папка 09</t>
  </si>
  <si>
    <t>Retention 3 Year / Срок хранения документа 3 года</t>
  </si>
  <si>
    <t>BL_FRM-VSL-09-1312-020</t>
  </si>
  <si>
    <t xml:space="preserve"> График</t>
  </si>
  <si>
    <t>Маловероятно</t>
  </si>
  <si>
    <t>Возможно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</si>
  <si>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</si>
  <si>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</si>
  <si>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</si>
  <si>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</si>
  <si>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</si>
  <si>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</si>
  <si>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</si>
  <si>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>Умеренное воздействие
 менее - 1 баррель</t>
  </si>
  <si>
    <t>Умеренное повреждение 
&lt;50.000€ / евро</t>
  </si>
  <si>
    <t>Умеренное негативное воздействие</t>
  </si>
  <si>
    <t>Значительное воздействие
1-10 баррелей</t>
  </si>
  <si>
    <t>Значительное негативное воздействие</t>
  </si>
  <si>
    <t>Более 1 смертельного случая</t>
  </si>
  <si>
    <t>Сильное воздействие
&gt; 10  баррелей</t>
  </si>
  <si>
    <t>Обширное повреждение
&gt; 500.000€ /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</si>
</sst>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sz val="1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  <font>
      <sz val="14"/>
      <color indexed="62"/>
      <name val="Arial Black"/>
      <family val="2"/>
    </font>
    <font>
      <sz val="8"/>
      <color rgb="FF333399"/>
      <name val="Arial Blac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0" fillId="2" borderId="0" xfId="0" applyFont="1" applyFill="1"/>
    <xf numFmtId="0" fontId="13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4" fillId="0" borderId="6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2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14" fontId="33" fillId="2" borderId="1" xfId="0" applyNumberFormat="1" applyFont="1" applyFill="1" applyBorder="1" applyAlignment="1" applyProtection="1">
      <alignment horizontal="left" vertical="center" wrapText="1"/>
      <protection locked="0"/>
    </xf>
    <xf numFmtId="0" fontId="32" fillId="2" borderId="1" xfId="0" applyFont="1" applyFill="1" applyBorder="1" applyAlignment="1" applyProtection="1">
      <alignment horizontal="left" vertical="center" wrapText="1"/>
      <protection locked="0"/>
    </xf>
    <xf numFmtId="0" fontId="11" fillId="2" borderId="8" xfId="0" applyFont="1" applyFill="1" applyBorder="1" applyAlignment="1" applyProtection="1">
      <alignment horizontal="left" vertical="center" wrapText="1" shrinkToFit="1"/>
      <protection locked="0"/>
    </xf>
    <xf numFmtId="0" fontId="36" fillId="2" borderId="0" xfId="0" applyFont="1" applyFill="1" applyAlignment="1">
      <alignment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33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7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39" fillId="2" borderId="8" xfId="0" applyFont="1" applyFill="1" applyBorder="1" applyAlignment="1">
      <alignment horizontal="left" vertical="center" wrapText="1"/>
    </xf>
    <xf numFmtId="0" fontId="41" fillId="2" borderId="17" xfId="0" applyFont="1" applyFill="1" applyBorder="1" applyAlignment="1">
      <alignment horizontal="left" vertical="center" wrapText="1"/>
    </xf>
    <xf numFmtId="0" fontId="41" fillId="2" borderId="4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4" fillId="2" borderId="1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38" fillId="3" borderId="6" xfId="0" applyFont="1" applyFill="1" applyBorder="1" applyAlignment="1">
      <alignment horizontal="center" textRotation="90" wrapText="1"/>
    </xf>
    <xf numFmtId="0" fontId="38" fillId="3" borderId="24" xfId="0" applyFont="1" applyFill="1" applyBorder="1" applyAlignment="1">
      <alignment horizontal="center" textRotation="90" wrapText="1"/>
    </xf>
    <xf numFmtId="0" fontId="38" fillId="3" borderId="25" xfId="0" applyFont="1" applyFill="1" applyBorder="1" applyAlignment="1">
      <alignment horizontal="center" textRotation="90" wrapText="1"/>
    </xf>
    <xf numFmtId="0" fontId="15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42" fillId="2" borderId="21" xfId="0" applyFont="1" applyFill="1" applyBorder="1" applyAlignment="1">
      <alignment horizontal="center" vertical="center"/>
    </xf>
    <xf numFmtId="0" fontId="42" fillId="2" borderId="29" xfId="0" applyFont="1" applyFill="1" applyBorder="1" applyAlignment="1">
      <alignment horizontal="center" vertical="center"/>
    </xf>
    <xf numFmtId="0" fontId="42" fillId="2" borderId="30" xfId="0" applyFont="1" applyFill="1" applyBorder="1" applyAlignment="1">
      <alignment horizontal="center" vertical="center"/>
    </xf>
    <xf numFmtId="0" fontId="42" fillId="2" borderId="14" xfId="0" applyFont="1" applyFill="1" applyBorder="1" applyAlignment="1">
      <alignment horizontal="center" vertical="center"/>
    </xf>
    <xf numFmtId="0" fontId="42" fillId="2" borderId="23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right" vertical="center" wrapText="1"/>
    </xf>
    <xf numFmtId="0" fontId="21" fillId="8" borderId="8" xfId="0" applyFont="1" applyFill="1" applyBorder="1" applyAlignment="1">
      <alignment horizontal="right" vertical="center" wrapText="1"/>
    </xf>
    <xf numFmtId="0" fontId="21" fillId="8" borderId="4" xfId="0" applyFont="1" applyFill="1" applyBorder="1" applyAlignment="1">
      <alignment horizontal="right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textRotation="90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14" fontId="21" fillId="8" borderId="8" xfId="0" applyNumberFormat="1" applyFont="1" applyFill="1" applyBorder="1" applyAlignment="1">
      <alignment horizontal="center" vertical="center" wrapText="1"/>
    </xf>
    <xf numFmtId="14" fontId="21" fillId="8" borderId="17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right" vertical="center" wrapText="1"/>
    </xf>
    <xf numFmtId="0" fontId="21" fillId="8" borderId="1" xfId="0" applyFont="1" applyFill="1" applyBorder="1" applyAlignment="1" applyProtection="1">
      <alignment horizontal="center" vertical="center" wrapText="1"/>
      <protection locked="0"/>
    </xf>
    <xf numFmtId="14" fontId="21" fillId="8" borderId="4" xfId="0" applyNumberFormat="1" applyFont="1" applyFill="1" applyBorder="1" applyAlignment="1">
      <alignment horizontal="center" vertical="center" wrapText="1"/>
    </xf>
    <xf numFmtId="0" fontId="35" fillId="8" borderId="19" xfId="0" applyFont="1" applyFill="1" applyBorder="1" applyAlignment="1">
      <alignment horizontal="left" vertical="center" wrapText="1"/>
    </xf>
    <xf numFmtId="0" fontId="26" fillId="8" borderId="18" xfId="0" applyFont="1" applyFill="1" applyBorder="1" applyAlignment="1">
      <alignment vertical="center"/>
    </xf>
    <xf numFmtId="0" fontId="26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center"/>
    </xf>
    <xf numFmtId="0" fontId="28" fillId="8" borderId="19" xfId="0" applyFont="1" applyFill="1" applyBorder="1" applyAlignment="1">
      <alignment horizontal="left" vertical="center" indent="1"/>
    </xf>
    <xf numFmtId="0" fontId="25" fillId="8" borderId="19" xfId="0" applyFont="1" applyFill="1" applyBorder="1" applyAlignment="1">
      <alignment vertical="center"/>
    </xf>
    <xf numFmtId="0" fontId="25" fillId="8" borderId="19" xfId="0" applyFont="1" applyFill="1" applyBorder="1" applyAlignment="1">
      <alignment horizontal="left" vertical="center"/>
    </xf>
    <xf numFmtId="0" fontId="25" fillId="8" borderId="21" xfId="0" applyFont="1" applyFill="1" applyBorder="1" applyAlignment="1">
      <alignment horizontal="right" vertical="center"/>
    </xf>
    <xf numFmtId="0" fontId="20" fillId="8" borderId="8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7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335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AADD42B0-52F9-4E5E-BFC7-424DCC7B93C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02891C42-C8E1-4599-A03D-FD972BEB6BA7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70E9CC8B-CF51-459D-9933-1CF482F56F9C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2560A161-65A2-46A9-AF42-3C84D2C8AB6B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12DDA0-167B-4441-9F94-22196CF9B6AA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348B62-AB89-48B2-B939-CA760916B2A9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9F45EEB-A96A-49F3-AE0B-AA460755F154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7212FD-F290-4584-931B-570D9973E5B9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7BC2B670-AEF6-4DE9-91AD-C77EF92A30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49"/>
  <sheetViews>
    <sheetView tabSelected="1" topLeftCell="A33" zoomScale="80" zoomScaleNormal="80" zoomScalePageLayoutView="73" workbookViewId="0">
      <selection activeCell="K6" sqref="K6:M6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36"/>
      <c r="B1" s="166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10</v>
      </c>
      <c r="R1" s="14" t="s">
        <v>11</v>
      </c>
      <c r="S1" s="14" t="s">
        <v>12</v>
      </c>
      <c r="T1" s="14" t="s">
        <v>13</v>
      </c>
      <c r="U1" s="14" t="s">
        <v>14</v>
      </c>
      <c r="V1" s="14" t="s">
        <v>15</v>
      </c>
      <c r="W1" s="18" t="s">
        <v>16</v>
      </c>
    </row>
    <row r="2" spans="1:23" ht="25.5" customHeight="1" x14ac:dyDescent="0.2">
      <c r="A2" s="167"/>
      <c r="B2" s="168"/>
      <c r="C2" s="55"/>
      <c r="D2" s="50"/>
      <c r="E2" s="50"/>
      <c r="F2" s="50"/>
      <c r="G2" s="50"/>
      <c r="H2" s="56"/>
      <c r="I2" s="4"/>
      <c r="J2" s="137" t="s">
        <v>141</v>
      </c>
      <c r="K2" s="138"/>
      <c r="L2" s="138"/>
      <c r="M2" s="139"/>
      <c r="P2" s="7"/>
      <c r="Q2" s="14">
        <v>1</v>
      </c>
      <c r="R2" s="14" t="s">
        <v>17</v>
      </c>
      <c r="S2" s="15"/>
      <c r="T2" s="15"/>
      <c r="U2" s="15"/>
      <c r="V2" s="15"/>
      <c r="W2" s="18" t="s">
        <v>18</v>
      </c>
    </row>
    <row r="3" spans="1:23" ht="25.5" customHeight="1" x14ac:dyDescent="0.2">
      <c r="A3" s="167"/>
      <c r="B3" s="168"/>
      <c r="C3" s="143" t="s">
        <v>57</v>
      </c>
      <c r="D3" s="144"/>
      <c r="E3" s="144"/>
      <c r="F3" s="144"/>
      <c r="G3" s="144"/>
      <c r="H3" s="145"/>
      <c r="J3" s="137" t="s">
        <v>139</v>
      </c>
      <c r="K3" s="138"/>
      <c r="L3" s="138"/>
      <c r="M3" s="139"/>
      <c r="P3" s="7"/>
      <c r="Q3" s="14">
        <v>2</v>
      </c>
      <c r="R3" s="14" t="s">
        <v>19</v>
      </c>
      <c r="S3" s="15"/>
      <c r="T3" s="15"/>
      <c r="U3" s="15"/>
      <c r="V3" s="15"/>
      <c r="W3" s="18" t="s">
        <v>20</v>
      </c>
    </row>
    <row r="4" spans="1:23" ht="53.25" customHeight="1" x14ac:dyDescent="0.2">
      <c r="A4" s="169"/>
      <c r="B4" s="170"/>
      <c r="C4" s="58"/>
      <c r="H4" s="57"/>
      <c r="J4" s="140" t="s">
        <v>140</v>
      </c>
      <c r="K4" s="141"/>
      <c r="L4" s="141"/>
      <c r="M4" s="142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21</v>
      </c>
      <c r="S5" s="15"/>
      <c r="T5" s="15"/>
      <c r="U5" s="15"/>
      <c r="V5" s="15"/>
      <c r="W5" s="18" t="s">
        <v>22</v>
      </c>
    </row>
    <row r="6" spans="1:23" s="7" customFormat="1" ht="47.25" customHeight="1" x14ac:dyDescent="0.2">
      <c r="A6" s="171" t="s">
        <v>58</v>
      </c>
      <c r="B6" s="171"/>
      <c r="C6" s="72"/>
      <c r="D6" s="62"/>
      <c r="E6" s="62"/>
      <c r="F6" s="63"/>
      <c r="G6" s="182" t="s">
        <v>60</v>
      </c>
      <c r="H6" s="85" t="s">
        <v>72</v>
      </c>
      <c r="I6" s="62"/>
      <c r="J6" s="183" t="s">
        <v>64</v>
      </c>
      <c r="K6" s="134" t="s">
        <v>141</v>
      </c>
      <c r="L6" s="134"/>
      <c r="M6" s="135"/>
      <c r="Q6" s="14">
        <v>4</v>
      </c>
      <c r="R6" s="14" t="s">
        <v>23</v>
      </c>
      <c r="S6" s="14"/>
      <c r="T6" s="14"/>
      <c r="U6" s="14"/>
      <c r="V6" s="14"/>
    </row>
    <row r="7" spans="1:23" s="7" customFormat="1" ht="46.5" customHeight="1" x14ac:dyDescent="0.2">
      <c r="A7" s="172" t="s">
        <v>59</v>
      </c>
      <c r="B7" s="173"/>
      <c r="C7" s="71"/>
      <c r="D7" s="180" t="s">
        <v>61</v>
      </c>
      <c r="E7" s="181"/>
      <c r="F7" s="181"/>
      <c r="G7" s="182" t="s">
        <v>62</v>
      </c>
      <c r="H7" s="87"/>
      <c r="I7" s="88"/>
      <c r="J7" s="89"/>
      <c r="K7" s="180" t="s">
        <v>63</v>
      </c>
      <c r="L7" s="181"/>
      <c r="M7" s="184"/>
      <c r="Q7" s="14">
        <v>5</v>
      </c>
      <c r="R7" s="14" t="s">
        <v>24</v>
      </c>
      <c r="S7" s="14"/>
      <c r="T7" s="14"/>
      <c r="U7" s="14"/>
      <c r="V7" s="14"/>
    </row>
    <row r="8" spans="1:23" ht="115.5" customHeight="1" x14ac:dyDescent="0.2">
      <c r="A8" s="174" t="s">
        <v>71</v>
      </c>
      <c r="B8" s="174" t="s">
        <v>70</v>
      </c>
      <c r="C8" s="174" t="s">
        <v>69</v>
      </c>
      <c r="D8" s="175" t="s">
        <v>66</v>
      </c>
      <c r="E8" s="175" t="s">
        <v>67</v>
      </c>
      <c r="F8" s="175" t="s">
        <v>61</v>
      </c>
      <c r="G8" s="176" t="s">
        <v>65</v>
      </c>
      <c r="H8" s="177"/>
      <c r="I8" s="178"/>
      <c r="J8" s="179"/>
      <c r="K8" s="175" t="s">
        <v>66</v>
      </c>
      <c r="L8" s="175" t="s">
        <v>67</v>
      </c>
      <c r="M8" s="175" t="s">
        <v>68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170.45" customHeight="1" x14ac:dyDescent="0.2">
      <c r="A9" s="73">
        <v>1</v>
      </c>
      <c r="B9" s="75" t="s">
        <v>73</v>
      </c>
      <c r="C9" s="75" t="s">
        <v>74</v>
      </c>
      <c r="D9" s="20">
        <v>4</v>
      </c>
      <c r="E9" s="12" t="s">
        <v>0</v>
      </c>
      <c r="F9" s="68" t="str">
        <f t="shared" ref="F9:F14" si="0">IF(D9="","",(IF(E9="","",IF(U9&lt;=1,"",IF(U9&lt;=5,$W$2,IF(U9=6,$W$3,IF(U9=7,$W$3,IF(U9&gt;=8,$W$5,""))))))))</f>
        <v>M</v>
      </c>
      <c r="G9" s="130" t="s">
        <v>75</v>
      </c>
      <c r="H9" s="131"/>
      <c r="I9" s="132"/>
      <c r="J9" s="133"/>
      <c r="K9" s="20">
        <v>1</v>
      </c>
      <c r="L9" s="12" t="s">
        <v>1</v>
      </c>
      <c r="M9" s="64" t="str">
        <f t="shared" ref="M9:M14" si="1">IF(K9="","",(IF(L9="","",IF(V9&lt;=1,"",IF(V9&lt;=5,$W$2,IF(V9=6,$W$3,IF(V9=7,$W$3,IF(V9&gt;=8,$W$5,""))))))))</f>
        <v>L</v>
      </c>
      <c r="Q9" s="14"/>
      <c r="R9" s="15"/>
      <c r="S9" s="19">
        <f t="shared" ref="S9:S14" si="2">IF(E9="A",1,IF(E9="B",2,IF(E9="C",3,IF(E9="D",4,IF(E9="E",5,"")))))</f>
        <v>3</v>
      </c>
      <c r="T9" s="19">
        <f t="shared" ref="T9:T14" si="3">IF(L9="A",1,IF(L9="B",2,IF(L9="C",3,IF(L9="D",4,IF(L9="E",5,"")))))</f>
        <v>3</v>
      </c>
      <c r="U9" s="15">
        <f t="shared" ref="U9:U14" si="4">D9+S9</f>
        <v>7</v>
      </c>
      <c r="V9" s="15">
        <f t="shared" ref="V9:V14" si="5">K9+T9</f>
        <v>4</v>
      </c>
    </row>
    <row r="10" spans="1:23" ht="67.5" customHeight="1" x14ac:dyDescent="0.2">
      <c r="A10" s="73">
        <v>2</v>
      </c>
      <c r="B10" s="76" t="s">
        <v>76</v>
      </c>
      <c r="C10" s="75" t="s">
        <v>77</v>
      </c>
      <c r="D10" s="20">
        <v>3</v>
      </c>
      <c r="E10" s="12" t="s">
        <v>2</v>
      </c>
      <c r="F10" s="68" t="str">
        <f t="shared" si="0"/>
        <v>M</v>
      </c>
      <c r="G10" s="130" t="s">
        <v>78</v>
      </c>
      <c r="H10" s="131"/>
      <c r="I10" s="132"/>
      <c r="J10" s="133"/>
      <c r="K10" s="20">
        <v>1</v>
      </c>
      <c r="L10" s="12" t="s">
        <v>3</v>
      </c>
      <c r="M10" s="64" t="str">
        <f t="shared" si="1"/>
        <v>L</v>
      </c>
      <c r="Q10" s="14"/>
      <c r="R10" s="15"/>
      <c r="S10" s="19">
        <f t="shared" si="2"/>
        <v>3</v>
      </c>
      <c r="T10" s="19">
        <f t="shared" si="3"/>
        <v>3</v>
      </c>
      <c r="U10" s="15">
        <f t="shared" si="4"/>
        <v>6</v>
      </c>
      <c r="V10" s="15">
        <f t="shared" si="5"/>
        <v>4</v>
      </c>
    </row>
    <row r="11" spans="1:23" ht="210" customHeight="1" x14ac:dyDescent="0.2">
      <c r="A11" s="73">
        <v>3</v>
      </c>
      <c r="B11" s="12" t="s">
        <v>79</v>
      </c>
      <c r="C11" s="75" t="s">
        <v>80</v>
      </c>
      <c r="D11" s="20">
        <v>4</v>
      </c>
      <c r="E11" s="12" t="s">
        <v>4</v>
      </c>
      <c r="F11" s="68" t="str">
        <f t="shared" si="0"/>
        <v>M</v>
      </c>
      <c r="G11" s="130" t="s">
        <v>81</v>
      </c>
      <c r="H11" s="131"/>
      <c r="I11" s="132"/>
      <c r="J11" s="133"/>
      <c r="K11" s="20">
        <v>1</v>
      </c>
      <c r="L11" s="12" t="s">
        <v>5</v>
      </c>
      <c r="M11" s="64" t="str">
        <f t="shared" si="1"/>
        <v>L</v>
      </c>
      <c r="Q11" s="14"/>
      <c r="R11" s="15"/>
      <c r="S11" s="19">
        <f t="shared" si="2"/>
        <v>3</v>
      </c>
      <c r="T11" s="19">
        <f t="shared" si="3"/>
        <v>3</v>
      </c>
      <c r="U11" s="15">
        <f t="shared" si="4"/>
        <v>7</v>
      </c>
      <c r="V11" s="15">
        <f t="shared" si="5"/>
        <v>4</v>
      </c>
    </row>
    <row r="12" spans="1:23" ht="54" customHeight="1" x14ac:dyDescent="0.2">
      <c r="A12" s="73">
        <v>4</v>
      </c>
      <c r="B12" s="12" t="s">
        <v>79</v>
      </c>
      <c r="C12" s="75" t="s">
        <v>82</v>
      </c>
      <c r="D12" s="20">
        <v>3</v>
      </c>
      <c r="E12" s="12" t="s">
        <v>6</v>
      </c>
      <c r="F12" s="68" t="str">
        <f t="shared" si="0"/>
        <v>M</v>
      </c>
      <c r="G12" s="130" t="s">
        <v>83</v>
      </c>
      <c r="H12" s="131"/>
      <c r="I12" s="132"/>
      <c r="J12" s="133"/>
      <c r="K12" s="20">
        <v>1</v>
      </c>
      <c r="L12" s="12" t="s">
        <v>7</v>
      </c>
      <c r="M12" s="64" t="str">
        <f t="shared" si="1"/>
        <v>L</v>
      </c>
      <c r="Q12" s="14"/>
      <c r="R12" s="15"/>
      <c r="S12" s="19">
        <f t="shared" si="2"/>
        <v>3</v>
      </c>
      <c r="T12" s="19">
        <f t="shared" si="3"/>
        <v>3</v>
      </c>
      <c r="U12" s="15">
        <f t="shared" si="4"/>
        <v>6</v>
      </c>
      <c r="V12" s="15">
        <f t="shared" si="5"/>
        <v>4</v>
      </c>
    </row>
    <row r="13" spans="1:23" ht="62.25" customHeight="1" x14ac:dyDescent="0.2">
      <c r="A13" s="73">
        <v>5</v>
      </c>
      <c r="B13" s="75" t="s">
        <v>84</v>
      </c>
      <c r="C13" s="75" t="s">
        <v>85</v>
      </c>
      <c r="D13" s="20">
        <v>3</v>
      </c>
      <c r="E13" s="12" t="s">
        <v>8</v>
      </c>
      <c r="F13" s="68" t="str">
        <f t="shared" si="0"/>
        <v>M</v>
      </c>
      <c r="G13" s="130" t="s">
        <v>86</v>
      </c>
      <c r="H13" s="131"/>
      <c r="I13" s="132"/>
      <c r="J13" s="133"/>
      <c r="K13" s="20">
        <v>1</v>
      </c>
      <c r="L13" s="12" t="s">
        <v>9</v>
      </c>
      <c r="M13" s="64" t="str">
        <f t="shared" si="1"/>
        <v>L</v>
      </c>
      <c r="Q13" s="14"/>
      <c r="R13" s="15"/>
      <c r="S13" s="19">
        <f t="shared" si="2"/>
        <v>3</v>
      </c>
      <c r="T13" s="19">
        <f t="shared" si="3"/>
        <v>3</v>
      </c>
      <c r="U13" s="15">
        <f t="shared" si="4"/>
        <v>6</v>
      </c>
      <c r="V13" s="15">
        <f t="shared" si="5"/>
        <v>4</v>
      </c>
    </row>
    <row r="14" spans="1:23" ht="15" x14ac:dyDescent="0.2">
      <c r="A14" s="73">
        <v>6</v>
      </c>
      <c r="B14" s="74"/>
      <c r="C14" s="13"/>
      <c r="D14" s="20"/>
      <c r="E14" s="12"/>
      <c r="F14" s="68" t="str">
        <f t="shared" si="0"/>
        <v/>
      </c>
      <c r="G14" s="126"/>
      <c r="H14" s="127"/>
      <c r="I14" s="128"/>
      <c r="J14" s="129"/>
      <c r="K14" s="20"/>
      <c r="L14" s="12"/>
      <c r="M14" s="64" t="str">
        <f t="shared" si="1"/>
        <v/>
      </c>
      <c r="Q14" s="14"/>
      <c r="R14" s="15"/>
      <c r="S14" s="19" t="str">
        <f t="shared" si="2"/>
        <v/>
      </c>
      <c r="T14" s="19" t="str">
        <f t="shared" si="3"/>
        <v/>
      </c>
      <c r="U14" s="15" t="e">
        <f t="shared" si="4"/>
        <v>#VALUE!</v>
      </c>
      <c r="V14" s="15" t="e">
        <f t="shared" si="5"/>
        <v>#VALUE!</v>
      </c>
    </row>
    <row r="15" spans="1:23" x14ac:dyDescent="0.2">
      <c r="A15" s="58"/>
      <c r="M15" s="57"/>
    </row>
    <row r="16" spans="1:23" ht="50.1" customHeight="1" x14ac:dyDescent="0.2">
      <c r="A16" s="91" t="s">
        <v>87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3"/>
    </row>
    <row r="17" spans="1:17" s="86" customFormat="1" ht="39.75" customHeight="1" x14ac:dyDescent="0.2">
      <c r="A17" s="185" t="s">
        <v>88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</row>
    <row r="18" spans="1:17" ht="30.6" customHeight="1" x14ac:dyDescent="0.35">
      <c r="A18" s="186" t="s">
        <v>89</v>
      </c>
      <c r="B18" s="187"/>
      <c r="C18" s="187"/>
      <c r="D18" s="188"/>
      <c r="E18" s="188"/>
      <c r="F18" s="188"/>
      <c r="G18" s="189"/>
      <c r="H18" s="190"/>
      <c r="I18" s="190"/>
      <c r="J18" s="190"/>
      <c r="K18" s="190"/>
      <c r="L18" s="191"/>
      <c r="M18" s="192"/>
    </row>
    <row r="19" spans="1:17" ht="47.25" customHeight="1" x14ac:dyDescent="0.2">
      <c r="A19" s="106" t="s">
        <v>90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8"/>
    </row>
    <row r="20" spans="1:17" s="9" customFormat="1" ht="29.1" customHeight="1" x14ac:dyDescent="0.2">
      <c r="A20" s="112" t="s">
        <v>138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4"/>
      <c r="N20" s="8"/>
      <c r="O20" s="8"/>
      <c r="P20" s="8"/>
      <c r="Q20" s="16"/>
    </row>
    <row r="21" spans="1:17" s="9" customFormat="1" ht="45" customHeight="1" x14ac:dyDescent="0.2">
      <c r="A21" s="65">
        <v>1</v>
      </c>
      <c r="B21" s="109" t="s">
        <v>91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8"/>
      <c r="O21" s="8"/>
      <c r="P21" s="8"/>
      <c r="Q21" s="16"/>
    </row>
    <row r="22" spans="1:17" s="9" customFormat="1" ht="45" customHeight="1" x14ac:dyDescent="0.2">
      <c r="A22" s="65">
        <v>2</v>
      </c>
      <c r="B22" s="109" t="s">
        <v>92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8"/>
      <c r="O22" s="8"/>
      <c r="P22" s="8"/>
      <c r="Q22" s="16"/>
    </row>
    <row r="23" spans="1:17" s="9" customFormat="1" ht="45" customHeight="1" x14ac:dyDescent="0.2">
      <c r="A23" s="65">
        <v>3</v>
      </c>
      <c r="B23" s="94" t="s">
        <v>93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8"/>
      <c r="P23" s="8"/>
      <c r="Q23" s="16"/>
    </row>
    <row r="24" spans="1:17" s="9" customFormat="1" ht="45" customHeight="1" x14ac:dyDescent="0.2">
      <c r="A24" s="65">
        <v>4</v>
      </c>
      <c r="B24" s="109" t="s">
        <v>94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8"/>
      <c r="P24" s="8"/>
      <c r="Q24" s="16"/>
    </row>
    <row r="25" spans="1:17" s="9" customFormat="1" ht="45" customHeight="1" x14ac:dyDescent="0.2">
      <c r="A25" s="65">
        <v>5</v>
      </c>
      <c r="B25" s="94" t="s">
        <v>95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8"/>
      <c r="P25" s="8"/>
      <c r="Q25" s="16"/>
    </row>
    <row r="26" spans="1:17" s="9" customFormat="1" ht="45" customHeight="1" x14ac:dyDescent="0.2">
      <c r="A26" s="65">
        <v>6</v>
      </c>
      <c r="B26" s="109" t="s">
        <v>96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8"/>
      <c r="P26" s="8"/>
      <c r="Q26" s="16"/>
    </row>
    <row r="27" spans="1:17" s="9" customFormat="1" ht="45" customHeight="1" x14ac:dyDescent="0.2">
      <c r="A27" s="65">
        <v>7</v>
      </c>
      <c r="B27" s="94" t="s">
        <v>97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8"/>
      <c r="P27" s="8"/>
      <c r="Q27" s="16"/>
    </row>
    <row r="28" spans="1:17" s="9" customFormat="1" ht="45" customHeight="1" x14ac:dyDescent="0.2">
      <c r="A28" s="65">
        <v>8</v>
      </c>
      <c r="B28" s="94" t="s">
        <v>98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8"/>
      <c r="P28" s="8"/>
      <c r="Q28" s="16"/>
    </row>
    <row r="29" spans="1:17" s="9" customFormat="1" ht="45" customHeight="1" x14ac:dyDescent="0.2">
      <c r="A29" s="65">
        <v>9</v>
      </c>
      <c r="B29" s="94" t="s">
        <v>99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8"/>
      <c r="P29" s="8"/>
      <c r="Q29" s="16"/>
    </row>
    <row r="30" spans="1:17" s="9" customFormat="1" ht="45" customHeight="1" x14ac:dyDescent="0.2">
      <c r="A30" s="65">
        <v>10</v>
      </c>
      <c r="B30" s="121" t="s">
        <v>100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8"/>
      <c r="P30" s="8"/>
      <c r="Q30" s="16"/>
    </row>
    <row r="31" spans="1:17" s="9" customFormat="1" ht="45" customHeight="1" x14ac:dyDescent="0.2">
      <c r="A31" s="65">
        <v>11</v>
      </c>
      <c r="B31" s="94" t="s">
        <v>101</v>
      </c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8"/>
      <c r="P31" s="8"/>
      <c r="Q31" s="16"/>
    </row>
    <row r="32" spans="1:17" s="9" customFormat="1" ht="45" customHeight="1" x14ac:dyDescent="0.2">
      <c r="A32" s="65">
        <v>12</v>
      </c>
      <c r="B32" s="94" t="s">
        <v>102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8"/>
      <c r="P32" s="8"/>
      <c r="Q32" s="16"/>
    </row>
    <row r="33" spans="1:17" s="9" customFormat="1" ht="45" customHeight="1" x14ac:dyDescent="0.2">
      <c r="A33" s="65">
        <v>13</v>
      </c>
      <c r="B33" s="94" t="s">
        <v>103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8"/>
      <c r="P33" s="8"/>
      <c r="Q33" s="16"/>
    </row>
    <row r="34" spans="1:17" s="9" customFormat="1" ht="45" customHeight="1" x14ac:dyDescent="0.2">
      <c r="A34" s="65">
        <v>14</v>
      </c>
      <c r="B34" s="94" t="s">
        <v>104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8"/>
      <c r="P34" s="8"/>
      <c r="Q34" s="16"/>
    </row>
    <row r="35" spans="1:17" s="9" customFormat="1" ht="45" customHeight="1" x14ac:dyDescent="0.2">
      <c r="A35" s="65">
        <v>15</v>
      </c>
      <c r="B35" s="94" t="s">
        <v>105</v>
      </c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Q35" s="17"/>
    </row>
    <row r="36" spans="1:17" ht="45" customHeight="1" x14ac:dyDescent="0.2">
      <c r="A36" s="90" t="s">
        <v>106</v>
      </c>
      <c r="B36" s="90"/>
      <c r="C36" s="90"/>
      <c r="D36" s="90"/>
      <c r="E36" s="90"/>
      <c r="F36" s="90"/>
      <c r="G36" s="90"/>
      <c r="H36" s="111"/>
      <c r="I36" s="111"/>
      <c r="J36" s="111"/>
      <c r="K36" s="111"/>
      <c r="L36" s="111"/>
      <c r="M36" s="111"/>
    </row>
    <row r="37" spans="1:17" ht="25.5" customHeight="1" x14ac:dyDescent="0.2">
      <c r="A37" s="193" t="s">
        <v>107</v>
      </c>
      <c r="B37" s="194"/>
      <c r="C37" s="195" t="s">
        <v>108</v>
      </c>
      <c r="D37" s="193" t="s">
        <v>109</v>
      </c>
      <c r="E37" s="196"/>
      <c r="F37" s="196"/>
      <c r="G37" s="194"/>
      <c r="H37" s="193" t="s">
        <v>110</v>
      </c>
      <c r="I37" s="196"/>
      <c r="J37" s="196"/>
      <c r="K37" s="196"/>
      <c r="L37" s="196"/>
      <c r="M37" s="194"/>
    </row>
    <row r="38" spans="1:17" ht="18" customHeight="1" x14ac:dyDescent="0.2">
      <c r="A38" s="99"/>
      <c r="B38" s="98"/>
      <c r="C38" s="84"/>
      <c r="D38" s="96"/>
      <c r="E38" s="97"/>
      <c r="F38" s="97"/>
      <c r="G38" s="98"/>
      <c r="H38" s="123"/>
      <c r="I38" s="124"/>
      <c r="J38" s="124"/>
      <c r="K38" s="124"/>
      <c r="L38" s="124"/>
      <c r="M38" s="125"/>
    </row>
    <row r="39" spans="1:17" ht="18" customHeight="1" x14ac:dyDescent="0.2">
      <c r="A39" s="99"/>
      <c r="B39" s="98"/>
      <c r="C39" s="84"/>
      <c r="D39" s="77"/>
      <c r="E39" s="78"/>
      <c r="F39" s="78"/>
      <c r="G39" s="79"/>
      <c r="H39" s="81"/>
      <c r="I39" s="82"/>
      <c r="J39" s="82"/>
      <c r="K39" s="82"/>
      <c r="L39" s="82"/>
      <c r="M39" s="80"/>
    </row>
    <row r="40" spans="1:17" ht="18" customHeight="1" x14ac:dyDescent="0.2">
      <c r="A40" s="77"/>
      <c r="B40" s="79"/>
      <c r="C40" s="6"/>
      <c r="D40" s="77"/>
      <c r="E40" s="78"/>
      <c r="F40" s="78"/>
      <c r="G40" s="79"/>
      <c r="H40" s="81"/>
      <c r="I40" s="82"/>
      <c r="J40" s="82"/>
      <c r="K40" s="82"/>
      <c r="L40" s="82"/>
      <c r="M40" s="80"/>
    </row>
    <row r="41" spans="1:17" ht="18" customHeight="1" x14ac:dyDescent="0.2">
      <c r="A41" s="77"/>
      <c r="B41" s="79"/>
      <c r="C41" s="6"/>
      <c r="D41" s="77"/>
      <c r="E41" s="78"/>
      <c r="F41" s="78"/>
      <c r="G41" s="79"/>
      <c r="H41" s="81"/>
      <c r="I41" s="82"/>
      <c r="J41" s="82"/>
      <c r="K41" s="82"/>
      <c r="L41" s="82"/>
      <c r="M41" s="80"/>
    </row>
    <row r="42" spans="1:17" ht="18" customHeight="1" x14ac:dyDescent="0.2">
      <c r="A42" s="77"/>
      <c r="B42" s="79"/>
      <c r="C42" s="6"/>
      <c r="D42" s="77"/>
      <c r="E42" s="78"/>
      <c r="F42" s="78"/>
      <c r="G42" s="79"/>
      <c r="H42" s="81"/>
      <c r="I42" s="82"/>
      <c r="J42" s="82"/>
      <c r="K42" s="82"/>
      <c r="L42" s="82"/>
      <c r="M42" s="80"/>
    </row>
    <row r="43" spans="1:17" ht="18" customHeight="1" x14ac:dyDescent="0.2">
      <c r="A43" s="77"/>
      <c r="B43" s="79"/>
      <c r="C43" s="6"/>
      <c r="D43" s="77"/>
      <c r="E43" s="78"/>
      <c r="F43" s="78"/>
      <c r="G43" s="79"/>
      <c r="H43" s="81"/>
      <c r="I43" s="82"/>
      <c r="J43" s="82"/>
      <c r="K43" s="82"/>
      <c r="L43" s="82"/>
      <c r="M43" s="80"/>
    </row>
    <row r="44" spans="1:17" ht="35.450000000000003" customHeight="1" x14ac:dyDescent="0.2">
      <c r="A44" s="103" t="s">
        <v>116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5"/>
    </row>
    <row r="45" spans="1:17" ht="30.75" customHeight="1" x14ac:dyDescent="0.2">
      <c r="A45" s="197" t="s">
        <v>111</v>
      </c>
      <c r="B45" s="197"/>
      <c r="C45" s="198" t="s">
        <v>112</v>
      </c>
      <c r="D45" s="199" t="s">
        <v>113</v>
      </c>
      <c r="E45" s="200"/>
      <c r="F45" s="201"/>
      <c r="G45" s="115"/>
      <c r="H45" s="116"/>
      <c r="I45" s="116"/>
      <c r="J45" s="116"/>
      <c r="K45" s="116"/>
      <c r="L45" s="116"/>
      <c r="M45" s="117"/>
    </row>
    <row r="46" spans="1:17" ht="36" customHeight="1" x14ac:dyDescent="0.2">
      <c r="A46" s="99"/>
      <c r="B46" s="102"/>
      <c r="C46" s="83"/>
      <c r="D46" s="202"/>
      <c r="E46" s="203"/>
      <c r="F46" s="204"/>
      <c r="G46" s="118"/>
      <c r="H46" s="119"/>
      <c r="I46" s="119"/>
      <c r="J46" s="119"/>
      <c r="K46" s="119"/>
      <c r="L46" s="119"/>
      <c r="M46" s="120"/>
    </row>
    <row r="47" spans="1:17" s="10" customFormat="1" ht="15" customHeight="1" x14ac:dyDescent="0.2">
      <c r="A47" s="66"/>
      <c r="M47" s="67"/>
    </row>
    <row r="48" spans="1:17" ht="87" customHeight="1" x14ac:dyDescent="0.2">
      <c r="A48" s="205" t="s">
        <v>114</v>
      </c>
      <c r="B48" s="179"/>
      <c r="C48" s="100"/>
      <c r="D48" s="101"/>
      <c r="E48" s="101"/>
      <c r="F48" s="101"/>
      <c r="G48" s="101"/>
      <c r="H48" s="101"/>
      <c r="I48" s="101"/>
      <c r="J48" s="101"/>
      <c r="K48" s="101"/>
      <c r="L48" s="101"/>
      <c r="M48" s="102"/>
    </row>
    <row r="49" spans="1:13" s="11" customFormat="1" ht="24" customHeight="1" x14ac:dyDescent="0.2">
      <c r="A49" s="90" t="s">
        <v>115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</row>
  </sheetData>
  <sheetProtection formatCells="0" formatColumns="0" formatRows="0" insertColumns="0" insertRows="0" insertHyperlinks="0" deleteColumns="0" deleteRows="0" sort="0" autoFilter="0" pivotTables="0"/>
  <mergeCells count="53">
    <mergeCell ref="A1:B4"/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  <mergeCell ref="H38:M38"/>
    <mergeCell ref="A37:B37"/>
    <mergeCell ref="A38:B38"/>
    <mergeCell ref="A17:M17"/>
    <mergeCell ref="B24:M24"/>
    <mergeCell ref="B25:M25"/>
    <mergeCell ref="B28:M28"/>
    <mergeCell ref="B27:M27"/>
    <mergeCell ref="C48:M48"/>
    <mergeCell ref="A44:M44"/>
    <mergeCell ref="A19:M19"/>
    <mergeCell ref="B21:M21"/>
    <mergeCell ref="B22:M22"/>
    <mergeCell ref="B23:M23"/>
    <mergeCell ref="A36:M36"/>
    <mergeCell ref="A45:B45"/>
    <mergeCell ref="B26:M26"/>
    <mergeCell ref="A46:B46"/>
    <mergeCell ref="A20:M20"/>
    <mergeCell ref="D45:F46"/>
    <mergeCell ref="G45:M46"/>
    <mergeCell ref="B30:M30"/>
    <mergeCell ref="B35:M35"/>
    <mergeCell ref="H37:M37"/>
    <mergeCell ref="A6:B6"/>
    <mergeCell ref="H7:J7"/>
    <mergeCell ref="A49:M49"/>
    <mergeCell ref="A7:B7"/>
    <mergeCell ref="A16:M16"/>
    <mergeCell ref="B29:M29"/>
    <mergeCell ref="B34:M34"/>
    <mergeCell ref="B31:M31"/>
    <mergeCell ref="B32:M32"/>
    <mergeCell ref="B33:M33"/>
    <mergeCell ref="K7:M7"/>
    <mergeCell ref="D7:F7"/>
    <mergeCell ref="D37:G37"/>
    <mergeCell ref="D38:G38"/>
    <mergeCell ref="A48:B48"/>
    <mergeCell ref="A39:B39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4 D9:D14" xr:uid="{00000000-0002-0000-0000-000000000000}">
      <formula1>$Q$2:$Q$7</formula1>
    </dataValidation>
    <dataValidation type="list" allowBlank="1" showInputMessage="1" showErrorMessage="1" sqref="L9:L14 E9:E14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5A55-B32C-4010-A0CB-B89A52851A6B}">
  <dimension ref="A1:V34"/>
  <sheetViews>
    <sheetView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06"/>
      <c r="B1" s="206"/>
      <c r="C1" s="206"/>
      <c r="D1" s="207"/>
      <c r="E1" s="207"/>
      <c r="F1" s="207"/>
      <c r="G1" s="1"/>
      <c r="H1" s="1"/>
      <c r="I1" s="208"/>
      <c r="J1" s="208"/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8" t="s">
        <v>16</v>
      </c>
      <c r="V1" s="2"/>
    </row>
    <row r="2" spans="1:22" ht="25.5" customHeight="1" x14ac:dyDescent="0.2">
      <c r="A2" s="206"/>
      <c r="B2" s="206"/>
      <c r="C2" s="206"/>
      <c r="D2" s="209" t="s">
        <v>117</v>
      </c>
      <c r="E2" s="144"/>
      <c r="F2" s="144"/>
      <c r="G2" s="144"/>
      <c r="H2" s="144"/>
      <c r="I2" s="210"/>
      <c r="J2" s="210"/>
      <c r="N2" s="7"/>
      <c r="O2" s="14">
        <v>1</v>
      </c>
      <c r="P2" s="14" t="s">
        <v>17</v>
      </c>
      <c r="Q2" s="15"/>
      <c r="R2" s="15"/>
      <c r="S2" s="15"/>
      <c r="T2" s="15"/>
      <c r="U2" s="18" t="s">
        <v>18</v>
      </c>
      <c r="V2" s="5"/>
    </row>
    <row r="3" spans="1:22" ht="25.5" customHeight="1" x14ac:dyDescent="0.2">
      <c r="A3" s="206"/>
      <c r="B3" s="206"/>
      <c r="C3" s="206"/>
      <c r="D3" s="49"/>
      <c r="E3" s="49"/>
      <c r="F3" s="49"/>
      <c r="G3" s="49"/>
      <c r="H3" s="49"/>
      <c r="I3" s="211"/>
      <c r="J3" s="211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60" t="s">
        <v>66</v>
      </c>
      <c r="B5" s="161"/>
      <c r="C5" s="148" t="s">
        <v>119</v>
      </c>
      <c r="D5" s="149"/>
      <c r="E5" s="149"/>
      <c r="F5" s="149"/>
      <c r="G5" s="150"/>
      <c r="H5" s="148" t="s">
        <v>118</v>
      </c>
      <c r="I5" s="149"/>
      <c r="J5" s="149"/>
      <c r="K5" s="149"/>
      <c r="L5" s="150"/>
      <c r="M5" s="22"/>
    </row>
    <row r="6" spans="1:22" ht="20.25" customHeight="1" thickBot="1" x14ac:dyDescent="0.25">
      <c r="A6" s="162"/>
      <c r="B6" s="163"/>
      <c r="C6" s="151" t="s">
        <v>120</v>
      </c>
      <c r="D6" s="151" t="s">
        <v>121</v>
      </c>
      <c r="E6" s="151" t="s">
        <v>122</v>
      </c>
      <c r="F6" s="151" t="s">
        <v>123</v>
      </c>
      <c r="G6" s="151" t="s">
        <v>142</v>
      </c>
      <c r="H6" s="69" t="s">
        <v>25</v>
      </c>
      <c r="I6" s="69" t="s">
        <v>26</v>
      </c>
      <c r="J6" s="69" t="s">
        <v>27</v>
      </c>
      <c r="K6" s="21" t="s">
        <v>23</v>
      </c>
      <c r="L6" s="21" t="s">
        <v>24</v>
      </c>
      <c r="M6" s="22"/>
    </row>
    <row r="7" spans="1:22" ht="112.5" x14ac:dyDescent="0.2">
      <c r="A7" s="162"/>
      <c r="B7" s="163"/>
      <c r="C7" s="152"/>
      <c r="D7" s="152"/>
      <c r="E7" s="152"/>
      <c r="F7" s="152"/>
      <c r="G7" s="152"/>
      <c r="H7" s="70" t="s">
        <v>124</v>
      </c>
      <c r="I7" s="70" t="s">
        <v>125</v>
      </c>
      <c r="J7" s="70" t="s">
        <v>126</v>
      </c>
      <c r="K7" s="23" t="s">
        <v>43</v>
      </c>
      <c r="L7" s="23" t="s">
        <v>44</v>
      </c>
      <c r="M7" s="22"/>
    </row>
    <row r="8" spans="1:22" ht="12.75" customHeight="1" x14ac:dyDescent="0.2">
      <c r="A8" s="162"/>
      <c r="B8" s="163"/>
      <c r="C8" s="152"/>
      <c r="D8" s="152"/>
      <c r="E8" s="152"/>
      <c r="F8" s="152"/>
      <c r="G8" s="152"/>
      <c r="H8" s="146" t="s">
        <v>127</v>
      </c>
      <c r="I8" s="146" t="s">
        <v>143</v>
      </c>
      <c r="J8" s="146" t="s">
        <v>144</v>
      </c>
      <c r="K8" s="146" t="s">
        <v>45</v>
      </c>
      <c r="L8" s="146" t="s">
        <v>46</v>
      </c>
      <c r="M8" s="22"/>
    </row>
    <row r="9" spans="1:22" ht="40.5" customHeight="1" thickBot="1" x14ac:dyDescent="0.25">
      <c r="A9" s="164"/>
      <c r="B9" s="165"/>
      <c r="C9" s="153"/>
      <c r="D9" s="153"/>
      <c r="E9" s="153"/>
      <c r="F9" s="153"/>
      <c r="G9" s="153"/>
      <c r="H9" s="147"/>
      <c r="I9" s="147"/>
      <c r="J9" s="147"/>
      <c r="K9" s="147"/>
      <c r="L9" s="147"/>
      <c r="M9" s="22"/>
    </row>
    <row r="10" spans="1:22" ht="49.5" customHeight="1" x14ac:dyDescent="0.2">
      <c r="A10" s="156">
        <v>1</v>
      </c>
      <c r="B10" s="157"/>
      <c r="C10" s="38" t="s">
        <v>128</v>
      </c>
      <c r="D10" s="38" t="s">
        <v>129</v>
      </c>
      <c r="E10" s="38" t="s">
        <v>145</v>
      </c>
      <c r="F10" s="38" t="s">
        <v>146</v>
      </c>
      <c r="G10" s="39" t="s">
        <v>147</v>
      </c>
      <c r="H10" s="30" t="s">
        <v>28</v>
      </c>
      <c r="I10" s="31" t="s">
        <v>29</v>
      </c>
      <c r="J10" s="31" t="s">
        <v>30</v>
      </c>
      <c r="K10" s="40" t="s">
        <v>47</v>
      </c>
      <c r="L10" s="32" t="s">
        <v>48</v>
      </c>
      <c r="M10" s="22"/>
    </row>
    <row r="11" spans="1:22" ht="64.5" customHeight="1" x14ac:dyDescent="0.2">
      <c r="A11" s="158">
        <v>2</v>
      </c>
      <c r="B11" s="159"/>
      <c r="C11" s="24" t="s">
        <v>148</v>
      </c>
      <c r="D11" s="24" t="s">
        <v>149</v>
      </c>
      <c r="E11" s="38" t="s">
        <v>150</v>
      </c>
      <c r="F11" s="24" t="s">
        <v>151</v>
      </c>
      <c r="G11" s="28" t="s">
        <v>130</v>
      </c>
      <c r="H11" s="33" t="s">
        <v>31</v>
      </c>
      <c r="I11" s="34" t="s">
        <v>32</v>
      </c>
      <c r="J11" s="34" t="s">
        <v>33</v>
      </c>
      <c r="K11" s="35" t="s">
        <v>49</v>
      </c>
      <c r="L11" s="36" t="s">
        <v>50</v>
      </c>
      <c r="M11" s="22"/>
    </row>
    <row r="12" spans="1:22" ht="69" customHeight="1" x14ac:dyDescent="0.2">
      <c r="A12" s="158">
        <v>3</v>
      </c>
      <c r="B12" s="159"/>
      <c r="C12" s="24" t="s">
        <v>131</v>
      </c>
      <c r="D12" s="24" t="s">
        <v>152</v>
      </c>
      <c r="E12" s="38" t="s">
        <v>153</v>
      </c>
      <c r="F12" s="24" t="s">
        <v>154</v>
      </c>
      <c r="G12" s="28" t="s">
        <v>132</v>
      </c>
      <c r="H12" s="33" t="s">
        <v>34</v>
      </c>
      <c r="I12" s="34" t="s">
        <v>35</v>
      </c>
      <c r="J12" s="35" t="s">
        <v>36</v>
      </c>
      <c r="K12" s="35" t="s">
        <v>51</v>
      </c>
      <c r="L12" s="41" t="s">
        <v>52</v>
      </c>
      <c r="M12" s="22"/>
    </row>
    <row r="13" spans="1:22" ht="78.75" customHeight="1" x14ac:dyDescent="0.2">
      <c r="A13" s="158">
        <v>4</v>
      </c>
      <c r="B13" s="159"/>
      <c r="C13" s="24" t="s">
        <v>133</v>
      </c>
      <c r="D13" s="24" t="s">
        <v>155</v>
      </c>
      <c r="E13" s="38" t="s">
        <v>134</v>
      </c>
      <c r="F13" s="24" t="s">
        <v>156</v>
      </c>
      <c r="G13" s="28" t="s">
        <v>135</v>
      </c>
      <c r="H13" s="33" t="s">
        <v>37</v>
      </c>
      <c r="I13" s="35" t="s">
        <v>38</v>
      </c>
      <c r="J13" s="35" t="s">
        <v>39</v>
      </c>
      <c r="K13" s="42" t="s">
        <v>53</v>
      </c>
      <c r="L13" s="41" t="s">
        <v>54</v>
      </c>
      <c r="M13" s="22"/>
    </row>
    <row r="14" spans="1:22" ht="75" customHeight="1" thickBot="1" x14ac:dyDescent="0.25">
      <c r="A14" s="154">
        <v>5</v>
      </c>
      <c r="B14" s="155"/>
      <c r="C14" s="25" t="s">
        <v>157</v>
      </c>
      <c r="D14" s="25" t="s">
        <v>158</v>
      </c>
      <c r="E14" s="25" t="s">
        <v>159</v>
      </c>
      <c r="F14" s="25" t="s">
        <v>136</v>
      </c>
      <c r="G14" s="29" t="s">
        <v>137</v>
      </c>
      <c r="H14" s="45" t="s">
        <v>40</v>
      </c>
      <c r="I14" s="37" t="s">
        <v>41</v>
      </c>
      <c r="J14" s="43" t="s">
        <v>42</v>
      </c>
      <c r="K14" s="43" t="s">
        <v>55</v>
      </c>
      <c r="L14" s="44" t="s">
        <v>56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faa5c77d-98fa-4e50-863f-182fb51ee117"/>
    <ds:schemaRef ds:uri="http://purl.org/dc/elements/1.1/"/>
    <ds:schemaRef ds:uri="5470fdc2-d5b4-45ba-ae4a-b04105b307e7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2018-09-20T07:10:03Z</cp:lastPrinted>
  <dcterms:created xsi:type="dcterms:W3CDTF">2011-02-21T14:14:41Z</dcterms:created>
  <dcterms:modified xsi:type="dcterms:W3CDTF">2025-02-26T14:49:18Z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