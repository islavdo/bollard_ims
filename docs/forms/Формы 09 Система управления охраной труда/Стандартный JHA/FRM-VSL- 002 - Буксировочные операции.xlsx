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xr:revisionPtr revIDLastSave="0" documentId="13_ncr:1_{B4E08C76-FCEB-49B1-8FD7-1213F1690B77}" xr6:coauthVersionLast="36" xr6:coauthVersionMax="36" xr10:uidLastSave="{00000000-0000-0000-0000-000000000000}"/>
  <bookViews>
    <workbookView xWindow="0" yWindow="0" windowWidth="23250" windowHeight="11700" tabRatio="307" xr2:uid="{00000000-000D-0000-FFFF-FFFF00000000}"/>
  </bookViews>
  <sheets>
    <sheet name="АСОР" sheetId="1" r:id="rId1"/>
    <sheet name="МОР" sheetId="3" r:id="rId2"/>
  </sheets>
  <definedNames>
    <definedName name="Strongly_emphasise_each_individual_s__71" localSheetId="0">АСОР!$O$55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АСОР!$A$1:$M$47</definedName>
    <definedName name="_xlnm.Print_Area" localSheetId="1">МОР!$A$1:$V$34</definedName>
  </definedNames>
  <calcPr calcId="191029" concurrentCalc="0"/>
</workbook>
</file>

<file path=xl/calcChain.xml><?xml version="1.0" encoding="utf-8"?>
<calcChain xmlns="http://schemas.openxmlformats.org/spreadsheetml/2006/main">
  <c r="T22" i="1" l="1"/>
  <c r="V22" i="1"/>
  <c r="S22" i="1"/>
  <c r="U22" i="1"/>
  <c r="T21" i="1"/>
  <c r="V21" i="1"/>
  <c r="S21" i="1"/>
  <c r="U21" i="1"/>
  <c r="T20" i="1"/>
  <c r="V20" i="1"/>
  <c r="S20" i="1"/>
  <c r="U20" i="1"/>
  <c r="T19" i="1"/>
  <c r="V19" i="1"/>
  <c r="S19" i="1"/>
  <c r="U19" i="1"/>
  <c r="T18" i="1"/>
  <c r="V18" i="1"/>
  <c r="S18" i="1"/>
  <c r="U18" i="1"/>
  <c r="T17" i="1"/>
  <c r="V17" i="1"/>
  <c r="S17" i="1"/>
  <c r="U17" i="1"/>
  <c r="T16" i="1"/>
  <c r="V16" i="1"/>
  <c r="S16" i="1"/>
  <c r="U16" i="1"/>
  <c r="T15" i="1"/>
  <c r="V15" i="1"/>
  <c r="S15" i="1"/>
  <c r="U15" i="1"/>
  <c r="T14" i="1"/>
  <c r="V14" i="1"/>
  <c r="M14" i="1"/>
  <c r="S14" i="1"/>
  <c r="U14" i="1"/>
  <c r="F14" i="1"/>
  <c r="T13" i="1"/>
  <c r="V13" i="1"/>
  <c r="M13" i="1"/>
  <c r="S13" i="1"/>
  <c r="U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<sst xmlns="http://schemas.openxmlformats.org/spreadsheetml/2006/main" count="188" uniqueCount="182">
  <si>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</si>
  <si>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</si>
  <si>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</si>
  <si>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</si>
  <si>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</si>
  <si>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</si>
  <si>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B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</si>
  <si>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</si>
  <si>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</si>
  <si>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</si>
  <si>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</si>
  <si>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</si>
  <si>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</si>
  <si>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0"/>
        <color rgb="FF000000"/>
        <rFont val="Arial"/>
        <family val="2"/>
      </rPr>
      <t>Ensure that any required tools are inspected before use, and that they are in good, safe condition and working order / Обеспечение осмотра всех требуемых инструментов перед использованием, а также их надежного, исправного и рабочего состояния.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</si>
  <si>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</si>
  <si>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</si>
  <si>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</si>
  <si>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</si>
  <si>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</si>
  <si>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</si>
  <si>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</si>
  <si>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</si>
  <si>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</si>
  <si>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B</t>
  </si>
  <si>
    <t>M</t>
  </si>
  <si>
    <t>C</t>
  </si>
  <si>
    <t>H</t>
  </si>
  <si>
    <t>D</t>
  </si>
  <si>
    <t>E</t>
  </si>
  <si>
    <r>
      <rPr>
        <b/>
        <sz val="11"/>
        <rFont val="Arial"/>
        <family val="2"/>
      </rPr>
      <t>FRM-VSL-09-1301-001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</si>
  <si>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</si>
  <si>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</si>
  <si>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</si>
  <si>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</si>
  <si>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</si>
  <si>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</si>
  <si>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</si>
  <si>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</si>
  <si>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</si>
  <si>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</si>
  <si>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</si>
  <si>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</si>
  <si>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</si>
  <si>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</si>
  <si>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</si>
  <si>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</si>
  <si>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</si>
  <si>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</si>
  <si>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t>Severity</t>
  </si>
  <si>
    <t>Likelihood</t>
  </si>
  <si>
    <t>Likelihood tranf initial</t>
  </si>
  <si>
    <t>Likelihood tranf residual</t>
  </si>
  <si>
    <t>Initial</t>
  </si>
  <si>
    <t>residual</t>
  </si>
  <si>
    <t xml:space="preserve">Risk </t>
  </si>
  <si>
    <t>A</t>
  </si>
  <si>
    <t>L</t>
  </si>
  <si>
    <t>D</t>
  </si>
  <si>
    <t>E</t>
  </si>
  <si>
    <t>Occurred in the Company more than once in the last year (ashore or afloat)</t>
  </si>
  <si>
    <t>Occurred in the Company repeatedly in the last year (ashore or afloat)</t>
  </si>
  <si>
    <t>Likely</t>
  </si>
  <si>
    <t>Very Likely</t>
  </si>
  <si>
    <t>1D</t>
  </si>
  <si>
    <t>1E</t>
  </si>
  <si>
    <t>2D</t>
  </si>
  <si>
    <t>2E</t>
  </si>
  <si>
    <t>3D</t>
  </si>
  <si>
    <t>3E</t>
  </si>
  <si>
    <t>4D</t>
  </si>
  <si>
    <t>4E</t>
  </si>
  <si>
    <t>5D</t>
  </si>
  <si>
    <t>5E</t>
  </si>
  <si>
    <t>Toolbox Talk Record / Учетная документация по инструктажам на рабочем месте</t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</si>
  <si>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</si>
  <si>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t>АНАЛИЗ СТЕПЕНИ ОПАСНОСТИ РАБОТ (АСОР)</t>
  </si>
  <si>
    <t>Описание работ</t>
  </si>
  <si>
    <t>Буксировочные операции</t>
  </si>
  <si>
    <t>Швартовое оборудование.</t>
  </si>
  <si>
    <t>Номер оценки рисков</t>
  </si>
  <si>
    <t xml:space="preserve"> Файл 09</t>
  </si>
  <si>
    <t>Срок хранения 3 года</t>
  </si>
  <si>
    <t>Остаточный риск</t>
  </si>
  <si>
    <t>Оборудование</t>
  </si>
  <si>
    <t>Название судна</t>
  </si>
  <si>
    <t>Дата</t>
  </si>
  <si>
    <t>Исходный риск</t>
  </si>
  <si>
    <t>Этап</t>
  </si>
  <si>
    <t>Этапы работ</t>
  </si>
  <si>
    <t xml:space="preserve"> Источник опасности / Энергия / Сценарий потенциального несчастного случая</t>
  </si>
  <si>
    <t>Степень тяжести</t>
  </si>
  <si>
    <t>Вероятность</t>
  </si>
  <si>
    <t>Меры контроля для снижения риска</t>
  </si>
  <si>
    <t>Риск</t>
  </si>
  <si>
    <t>До начала швартовки</t>
  </si>
  <si>
    <t>Пренебрежение мерами предосторожности</t>
  </si>
  <si>
    <t xml:space="preserve">До начала операций заполнить проверочный чек -лист. </t>
  </si>
  <si>
    <t>Подбор браги  и подключение буксировочного троса.</t>
  </si>
  <si>
    <t xml:space="preserve">Выборка буксирного троса.   
</t>
  </si>
  <si>
    <t xml:space="preserve"> Эскортирование, буксировка и толкание. 
</t>
  </si>
  <si>
    <t xml:space="preserve">Повреждение оборудования буксира из-за неправильного управления буксиром / отказа оборудования. Повреждение из-за неспособности буксира оказать помощь. Буксир может буксировать с недостаточной мощностью. Буксир может иметь недостаточную мощность. Буксир может буксировать со слишком большой мощностью. Буксир может быть застигнут врасплох внезапным изменением погоды. Буксирный трос может оборваться во время буксировки. </t>
  </si>
  <si>
    <t xml:space="preserve">Работа с палубными механизмами (такими как лебедки и шпили)
</t>
  </si>
  <si>
    <t>Травма с потерей рабочего времени. Возможны постоянные травмы, летальный исход не исключен. Воздействие на окружающую среду считается минимальным. Повреждение оборудования, что может привести к задержке операций и воздействию на терминал. Травмы персонала из-за неправильного использования/неисправности оборудования.  Ущерб окружающей среде из-за неисправности оборудования. Повреждение оборудования из-за неправильного использования/неопытного персонала.</t>
  </si>
  <si>
    <t xml:space="preserve">Работа в условиях ограниченной видимости
</t>
  </si>
  <si>
    <t xml:space="preserve">Травмы персонала в результате столкновения с другим судном или объектом.  Ущерб окружающей среде из-за протечки мазута с буксира. Ущерб имуществу в результате столкновения, посадки на мель или контакта с объектом/судном. Травмы с потерей рабочего времени(включая летальный исход). Разлив нефти &lt; 100 баррелей с локальным воздействием на окружающую среду, но не требующий внешней помощи. Повреждение буксира или объекта/судна, требующее вывода его из эксплуатации. 
</t>
  </si>
  <si>
    <t>Травмы персонала из-за раздавленного и/или зажатого и/или находящегося в небезопасном положении персонала и/или отказа оборудования. 
Повреждение оборудования буксира из-за неправильного использования и/или отказа. 
Попадание буксировочного троса в гребной винт</t>
  </si>
  <si>
    <t>Буксировочные тросы необходимо регулярно осматривать. 
Буксировочные тросы должны обслуживаться только опытным и квалифицированным персоналом. Запасной буксировочный трос должен быть всегда готов к использованию. Должна быть обеспечена хорошая связь. Оборудование буксира должно быть проверено перед началом буксировки. Необходимо разработать контрольные чек-листы. 
Необходимо регулярно проводить занятия с экипажем. Персонал должен соблюдать осторожность при приеме браги с судна. Опытный и квалифицированный специалист должен управлять буксирной лебедкой.</t>
  </si>
  <si>
    <t xml:space="preserve">Перед началом работ необходимо провести инструктаж. Необходимо использовать соответствующие СИЗ, включая каску, защитную обувь, рабочий жилет, защитные очки. Необходимо установить параметры безопасной погоды. 
Обучение персонала в отношении его обязанностей. Минимизировать пребывание персонала на палубе во время работ. Постоянно поддерживать порядок на палубе. Обеспечить четкую коммуникацию между всеми участвующими сторонами.
 </t>
  </si>
  <si>
    <t xml:space="preserve">                                                             Буксировочный трос зацепился за гребной винт(ВРК). Повреждение судна. 
Человек за бортом из-за неожиданного рывка судна, вызванного внезапным натяжением буксирного каната. 
Падение из-за неожиданного движения, повлекшее за собой травму. 
Человек получает травму из-за неправильной техники выполнения работ. Инцидент с потерей рабочего времени.Вероятность летального исхода. Повреждение оборудования буксирного каната/линии 
требующее ремонта или замены. 
</t>
  </si>
  <si>
    <t xml:space="preserve"> Необходимо использовать соответствующие СИЗ, включая каску, защитную обувь, защитные очки, перчатки и т.д. Машины должны обслуживаться в соответствии с правилами охраны труда. Рабочая зона должна быть хорошо освещена в любое время. Должна быть обеспечена четкая связь (возможно с помощью ручных сигналов, либо по радио). К работе с оборудованием допускается только опытный персонал. Оборудование должно эксплуатироваться в соответствии с рекомендациями производителя. Должны проводиться учебные занятия по использованию инстркментов. Для конкретных видов работ должны быть разработаны ППР.</t>
  </si>
  <si>
    <t xml:space="preserve">Используйте сертифицированное буксировочное устройство. Регулярный визуальный осмотр (проверка после завершения работы, во время выборки букирного троса/каната).  Стропа проверяются и заменяются, если остаток прочночти &lt; 70%. от начального. Отсутствие персонала на палубе во время оказания помощи. Обучение капитанов использованию буксирных тросов. Наличие постоянных инструкций, запрещающих нахождение людей в опасных зонах во время буксировки/сопровождения. Опытный моряк должен регулярно осматривать буксирные тросы. Следует роверять буксировочный трос как на объекте (судне), так и на юуксире на наличие признаков перетирания. Только квалифицированный и опытный 
персонал должен управлять буксиром. Запасной буксирный трос должен быть всегда под рукой и готов к использованию. Между капитаном буксира и капитаном или лоцманом судна должна быть хорошая связь и взаимопонимание. Оборудование буксира должно быть проверено перед началом сопровождения. Буксирный трос должен иметь слабое звено - "растяжку". Команды лоцмана судна и капитана буксира должны быть согласованы. Должны быть разработаны и соблюдаться графики технического обслуживания лебедок и общего оборудования буксира. Должны быть использованы СИЗ в соответствии с картой. Необходимо иметь опытного капитана букира и команду. Должны быть разработаны контрольные списки проверки оборудования. Должны быть проведены инструктажи по операциям/плану. Поддержание палумного имущества и инвентвря в надлежащем состоянии 
</t>
  </si>
  <si>
    <t>Анализ степени опасности работ подлежит обсуждению на инструктаже в начале каждой смены как минимум.</t>
  </si>
  <si>
    <t xml:space="preserve">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 </t>
  </si>
  <si>
    <r>
      <rPr>
        <b/>
        <sz val="10"/>
        <color rgb="FF000000"/>
        <rFont val="Arial"/>
      </rPr>
      <t xml:space="preserve">В рамках процедур ООО Боллард по предварительному планированию работ, </t>
    </r>
    <r>
      <rPr>
        <b/>
        <i/>
        <sz val="10"/>
        <color rgb="FF000000"/>
        <rFont val="Arial"/>
      </rPr>
      <t>необходимо</t>
    </r>
    <r>
      <rPr>
        <b/>
        <sz val="10"/>
        <color rgb="FF000000"/>
        <rFont val="Arial"/>
      </rPr>
      <t xml:space="preserve"> провести задокументированный инструктаж на рабочем месте. Все рабочие, участвующие в выполнении работ, должны присутствовать на инструктаже на рабочем месте. После инструктажа </t>
    </r>
    <r>
      <rPr>
        <b/>
        <i/>
        <sz val="10"/>
        <color rgb="FF000000"/>
        <rFont val="Arial"/>
      </rPr>
      <t>следует</t>
    </r>
    <r>
      <rPr>
        <b/>
        <sz val="10"/>
        <color rgb="FF000000"/>
        <rFont val="Arial"/>
      </rPr>
      <t xml:space="preserve">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 </t>
    </r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</si>
  <si>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</si>
  <si>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</si>
  <si>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</si>
  <si>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</si>
  <si>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>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</si>
  <si>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</si>
  <si>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</si>
  <si>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</si>
  <si>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</si>
  <si>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</si>
  <si>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</si>
  <si>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</si>
  <si>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</si>
  <si>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</si>
  <si>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</si>
  <si>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</si>
  <si>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</si>
  <si>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</si>
  <si>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</si>
  <si>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</si>
  <si>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</si>
  <si>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</si>
  <si>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>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</si>
  <si>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</si>
  <si>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</si>
  <si>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</si>
  <si>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ФАЙЛ 09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</si>
  <si>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</si>
  <si>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</si>
  <si>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</si>
  <si>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</si>
  <si>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</si>
  <si>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 xml:space="preserve"> Репутация</t>
  </si>
  <si>
    <t xml:space="preserve"> График</t>
  </si>
  <si>
    <t>Нет сведений о подобном в сфере морских судов обеспечения (ни на берегу, ни в плавании)</t>
  </si>
  <si>
    <t>Редкие сведения в сфере морских судов обеспечения (на берегу или в плавании)</t>
  </si>
  <si>
    <t>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</si>
  <si>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</si>
  <si>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>Маловероятно</t>
  </si>
  <si>
    <t>Возможно</t>
  </si>
  <si>
    <t>Травмы с оказанием доврачебной помощи</t>
  </si>
  <si>
    <t>Незначительное воздействие</t>
  </si>
  <si>
    <t>Незначительное повреждение 
&lt; 500€ / евро</t>
  </si>
  <si>
    <t>Незначительное негативное воздействие</t>
  </si>
  <si>
    <t>Задержка 1 час</t>
  </si>
  <si>
    <t>Медицинская помощь, травма с ограничением рабочих функций</t>
  </si>
  <si>
    <t>Несущественное повреждение 
&lt; 5000€ / евро</t>
  </si>
  <si>
    <t>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</si>
  <si>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</si>
  <si>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</si>
  <si>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>Умеренное повреждение 
&lt;50.000€ / евро</t>
  </si>
  <si>
    <t>Умеренное негативное воздействие</t>
  </si>
  <si>
    <t xml:space="preserve"> Задержка 12–48 часов</t>
  </si>
  <si>
    <t>Умеренное воздействие
 менее - 1 баррель</t>
  </si>
  <si>
    <t>Несущественное воздействие 
&lt; 10 литров</t>
  </si>
  <si>
    <t>Постоянная утрата трудоспособности или летальный исход</t>
  </si>
  <si>
    <t>Значительное воздействие
1-10 баррелей</t>
  </si>
  <si>
    <t xml:space="preserve"> Значительное повреждение 
&lt;500.000€ / евро</t>
  </si>
  <si>
    <t>Значительное негативное воздействие</t>
  </si>
  <si>
    <t>Задержка 48 часов – 7 дней</t>
  </si>
  <si>
    <t>Более 1 смертельного случая</t>
  </si>
  <si>
    <t>Сильное воздействие
&gt; 10  баррелей</t>
  </si>
  <si>
    <t>Обширное повреждение
&gt; 500.000€ / евро</t>
  </si>
  <si>
    <t>Сильное негативное воздействие</t>
  </si>
  <si>
    <t>Задержка более 7 дней</t>
  </si>
  <si>
    <t>FRM-VSL-002</t>
  </si>
  <si>
    <t>Во время нахождения судна в море необходимо нести вахту на мостике. В условиях ограниченной видимости необходимо выставить дополнительного впередсмотрящего. Судно должно маневрировать со скоростью, соответствующей видимости. Навигационные средства должны быть исправны и умело использоваться (радар, эхолот и прожекторы). Должен быть разработан утвержден и использоваться план перехода. Обеспечена постоянная связь с капитаном судна и дежурным офицером портового контроля. Персонал, не участвующий в навигации судна, не должен находиться на мостике. Убедитесь, что используются необходимые дневные и ночные сигналы. Обеспечена связь со всеми заинтересованными сторонами.</t>
  </si>
  <si>
    <r>
      <rPr>
        <i/>
        <sz val="10"/>
        <color rgb="FF000000"/>
        <rFont val="Arial"/>
        <family val="2"/>
        <charset val="204"/>
      </rPr>
      <t>Необходимо</t>
    </r>
    <r>
      <rPr>
        <sz val="10"/>
        <color rgb="FF000000"/>
        <rFont val="Arial"/>
        <family val="2"/>
        <charset val="204"/>
      </rPr>
      <t xml:space="preserve"> проверить следующие пункты: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</si>
</sst>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Arial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14"/>
      <color indexed="62"/>
      <name val="Arial Black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sz val="12"/>
      <name val="Verdana"/>
      <family val="2"/>
    </font>
    <font>
      <b/>
      <i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  <family val="2"/>
    </font>
    <font>
      <sz val="12"/>
      <name val="Arial"/>
      <family val="2"/>
      <charset val="204"/>
    </font>
    <font>
      <sz val="8"/>
      <color rgb="FF006666"/>
      <name val="Arial Black"/>
      <family val="2"/>
      <charset val="204"/>
    </font>
    <font>
      <sz val="8"/>
      <color rgb="FF333399"/>
      <name val="Arial Black"/>
      <family val="2"/>
      <charset val="204"/>
    </font>
    <font>
      <b/>
      <sz val="12"/>
      <name val="Verdana"/>
      <family val="2"/>
    </font>
    <font>
      <b/>
      <sz val="12"/>
      <color theme="0"/>
      <name val="Arial"/>
      <family val="2"/>
      <charset val="204"/>
    </font>
    <font>
      <b/>
      <i/>
      <sz val="12"/>
      <color theme="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12" fillId="2" borderId="0" xfId="0" applyFont="1" applyFill="1"/>
    <xf numFmtId="0" fontId="15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4" fillId="2" borderId="0" xfId="0" applyFont="1" applyFill="1" applyBorder="1" applyAlignment="1">
      <alignment vertical="center"/>
    </xf>
    <xf numFmtId="0" fontId="1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4" fillId="2" borderId="1" xfId="0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8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6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1" fillId="2" borderId="0" xfId="0" applyFont="1" applyFill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1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7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1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7" fillId="2" borderId="0" xfId="0" applyFont="1" applyFill="1" applyBorder="1" applyAlignment="1">
      <alignment horizontal="center" wrapText="1"/>
    </xf>
    <xf numFmtId="0" fontId="20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2" fillId="2" borderId="19" xfId="0" applyFont="1" applyFill="1" applyBorder="1"/>
    <xf numFmtId="0" fontId="12" fillId="2" borderId="21" xfId="0" applyFont="1" applyFill="1" applyBorder="1"/>
    <xf numFmtId="0" fontId="2" fillId="2" borderId="29" xfId="0" applyFont="1" applyFill="1" applyBorder="1" applyAlignment="1">
      <alignment horizontal="left" vertical="center" indent="1"/>
    </xf>
    <xf numFmtId="0" fontId="14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2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5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5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>
      <alignment wrapTex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 applyProtection="1">
      <alignment horizontal="right" vertical="center"/>
    </xf>
    <xf numFmtId="0" fontId="3" fillId="2" borderId="8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3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18" fillId="3" borderId="5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29" fillId="0" borderId="4" xfId="0" applyFont="1" applyBorder="1" applyAlignment="1" applyProtection="1">
      <alignment horizontal="left" vertical="center" wrapText="1"/>
      <protection locked="0"/>
    </xf>
    <xf numFmtId="0" fontId="29" fillId="0" borderId="1" xfId="0" applyFont="1" applyBorder="1" applyAlignment="1" applyProtection="1">
      <alignment horizontal="left" vertical="center" wrapText="1"/>
      <protection locked="0"/>
    </xf>
    <xf numFmtId="49" fontId="11" fillId="2" borderId="18" xfId="0" applyNumberFormat="1" applyFont="1" applyFill="1" applyBorder="1" applyAlignment="1" applyProtection="1">
      <alignment horizontal="left" vertical="center" wrapText="1"/>
    </xf>
    <xf numFmtId="0" fontId="8" fillId="0" borderId="1" xfId="0" applyFont="1" applyBorder="1" applyAlignment="1" applyProtection="1">
      <alignment horizontal="left" vertical="center" wrapText="1"/>
      <protection locked="0"/>
    </xf>
    <xf numFmtId="0" fontId="36" fillId="0" borderId="1" xfId="0" applyFont="1" applyBorder="1" applyAlignment="1" applyProtection="1">
      <alignment horizontal="left" vertical="center" wrapText="1"/>
      <protection locked="0"/>
    </xf>
    <xf numFmtId="0" fontId="37" fillId="8" borderId="18" xfId="0" applyFont="1" applyFill="1" applyBorder="1" applyAlignment="1">
      <alignment vertical="center"/>
    </xf>
    <xf numFmtId="0" fontId="37" fillId="8" borderId="19" xfId="0" applyFont="1" applyFill="1" applyBorder="1" applyAlignment="1">
      <alignment vertical="center"/>
    </xf>
    <xf numFmtId="0" fontId="37" fillId="8" borderId="19" xfId="0" applyFont="1" applyFill="1" applyBorder="1" applyAlignment="1">
      <alignment horizontal="center"/>
    </xf>
    <xf numFmtId="0" fontId="38" fillId="8" borderId="19" xfId="0" applyFont="1" applyFill="1" applyBorder="1" applyAlignment="1">
      <alignment horizontal="left" vertical="center" indent="1"/>
    </xf>
    <xf numFmtId="0" fontId="4" fillId="2" borderId="18" xfId="0" applyFont="1" applyFill="1" applyBorder="1" applyAlignment="1" applyProtection="1">
      <alignment horizontal="left" vertical="center" wrapText="1"/>
      <protection locked="0"/>
    </xf>
    <xf numFmtId="0" fontId="4" fillId="2" borderId="19" xfId="0" applyFont="1" applyFill="1" applyBorder="1" applyAlignment="1" applyProtection="1">
      <alignment horizontal="left" vertical="center" wrapText="1"/>
      <protection locked="0"/>
    </xf>
    <xf numFmtId="0" fontId="4" fillId="2" borderId="21" xfId="0" applyFont="1" applyFill="1" applyBorder="1" applyAlignment="1" applyProtection="1">
      <alignment horizontal="left" vertical="center" wrapText="1"/>
      <protection locked="0"/>
    </xf>
    <xf numFmtId="0" fontId="4" fillId="2" borderId="14" xfId="0" applyFont="1" applyFill="1" applyBorder="1" applyAlignment="1" applyProtection="1">
      <alignment horizontal="left" vertical="center" wrapText="1"/>
      <protection locked="0"/>
    </xf>
    <xf numFmtId="0" fontId="4" fillId="2" borderId="22" xfId="0" applyFont="1" applyFill="1" applyBorder="1" applyAlignment="1" applyProtection="1">
      <alignment horizontal="left" vertical="center" wrapText="1"/>
      <protection locked="0"/>
    </xf>
    <xf numFmtId="0" fontId="4" fillId="2" borderId="23" xfId="0" applyFont="1" applyFill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3" fillId="0" borderId="17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32" fillId="2" borderId="8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14" fontId="23" fillId="8" borderId="4" xfId="0" applyNumberFormat="1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22" fillId="8" borderId="8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 applyProtection="1">
      <alignment horizontal="left" vertical="center" wrapText="1"/>
      <protection locked="0"/>
    </xf>
    <xf numFmtId="0" fontId="4" fillId="2" borderId="4" xfId="0" applyFont="1" applyFill="1" applyBorder="1" applyAlignment="1" applyProtection="1">
      <alignment horizontal="left" vertical="center" wrapText="1"/>
      <protection locked="0"/>
    </xf>
    <xf numFmtId="0" fontId="4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39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32" fillId="2" borderId="8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4" fillId="2" borderId="1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4" fillId="0" borderId="17" xfId="0" applyFont="1" applyBorder="1" applyAlignment="1">
      <alignment horizontal="left" vertical="center" wrapText="1" shrinkToFit="1"/>
    </xf>
    <xf numFmtId="0" fontId="4" fillId="0" borderId="4" xfId="0" applyFont="1" applyBorder="1" applyAlignment="1">
      <alignment horizontal="left" vertical="center" wrapText="1" shrinkToFit="1"/>
    </xf>
    <xf numFmtId="0" fontId="3" fillId="2" borderId="8" xfId="0" applyFont="1" applyFill="1" applyBorder="1" applyAlignment="1" applyProtection="1">
      <alignment horizontal="left" vertical="center" wrapText="1" shrinkToFit="1"/>
      <protection locked="0"/>
    </xf>
    <xf numFmtId="0" fontId="3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34" fillId="2" borderId="18" xfId="0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/>
    </xf>
    <xf numFmtId="0" fontId="11" fillId="2" borderId="29" xfId="0" applyFont="1" applyFill="1" applyBorder="1" applyAlignment="1" applyProtection="1">
      <alignment horizontal="center" vertical="center"/>
    </xf>
    <xf numFmtId="0" fontId="11" fillId="2" borderId="30" xfId="0" applyFont="1" applyFill="1" applyBorder="1" applyAlignment="1" applyProtection="1">
      <alignment horizontal="center" vertical="center"/>
    </xf>
    <xf numFmtId="0" fontId="11" fillId="2" borderId="14" xfId="0" applyFont="1" applyFill="1" applyBorder="1" applyAlignment="1" applyProtection="1">
      <alignment horizontal="center" vertical="center"/>
    </xf>
    <xf numFmtId="0" fontId="11" fillId="2" borderId="23" xfId="0" applyFont="1" applyFill="1" applyBorder="1" applyAlignment="1" applyProtection="1">
      <alignment horizontal="center" vertical="center"/>
    </xf>
    <xf numFmtId="0" fontId="10" fillId="2" borderId="29" xfId="0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5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5" fillId="7" borderId="26" xfId="0" applyFont="1" applyFill="1" applyBorder="1" applyAlignment="1">
      <alignment horizontal="justify" wrapText="1"/>
    </xf>
    <xf numFmtId="0" fontId="5" fillId="7" borderId="27" xfId="0" applyFont="1" applyFill="1" applyBorder="1" applyAlignment="1">
      <alignment horizontal="justify" wrapText="1"/>
    </xf>
    <xf numFmtId="0" fontId="5" fillId="7" borderId="28" xfId="0" applyFont="1" applyFill="1" applyBorder="1" applyAlignment="1">
      <alignment horizontal="justify" wrapText="1"/>
    </xf>
    <xf numFmtId="0" fontId="40" fillId="3" borderId="6" xfId="0" applyFont="1" applyFill="1" applyBorder="1" applyAlignment="1">
      <alignment horizontal="center" textRotation="90" wrapText="1"/>
    </xf>
    <xf numFmtId="0" fontId="40" fillId="3" borderId="24" xfId="0" applyFont="1" applyFill="1" applyBorder="1" applyAlignment="1">
      <alignment horizontal="center" textRotation="90" wrapText="1"/>
    </xf>
    <xf numFmtId="0" fontId="40" fillId="3" borderId="25" xfId="0" applyFont="1" applyFill="1" applyBorder="1" applyAlignment="1">
      <alignment horizontal="center" textRotation="90" wrapText="1"/>
    </xf>
    <xf numFmtId="0" fontId="17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3" fillId="2" borderId="29" xfId="0" applyFont="1" applyFill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17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7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3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3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3" fillId="0" borderId="5" xfId="0" applyFont="1" applyBorder="1" applyAlignment="1">
      <alignment horizontal="center" textRotation="90" wrapText="1"/>
    </xf>
    <xf numFmtId="0" fontId="35" fillId="2" borderId="18" xfId="0" applyFont="1" applyFill="1" applyBorder="1" applyAlignment="1" applyProtection="1">
      <alignment horizontal="center" vertical="center" wrapText="1"/>
    </xf>
    <xf numFmtId="0" fontId="35" fillId="2" borderId="19" xfId="0" applyFont="1" applyFill="1" applyBorder="1" applyAlignment="1" applyProtection="1">
      <alignment horizontal="center" vertical="center" wrapText="1"/>
    </xf>
    <xf numFmtId="0" fontId="35" fillId="2" borderId="21" xfId="0" applyFont="1" applyFill="1" applyBorder="1" applyAlignment="1" applyProtection="1">
      <alignment horizontal="center" vertical="center" wrapText="1"/>
    </xf>
    <xf numFmtId="0" fontId="35" fillId="2" borderId="29" xfId="0" applyFont="1" applyFill="1" applyBorder="1" applyAlignment="1" applyProtection="1">
      <alignment horizontal="center" vertical="center" wrapText="1"/>
    </xf>
    <xf numFmtId="0" fontId="35" fillId="2" borderId="0" xfId="0" applyFont="1" applyFill="1" applyBorder="1" applyAlignment="1" applyProtection="1">
      <alignment horizontal="center" vertical="center" wrapText="1"/>
    </xf>
    <xf numFmtId="0" fontId="35" fillId="2" borderId="30" xfId="0" applyFont="1" applyFill="1" applyBorder="1" applyAlignment="1" applyProtection="1">
      <alignment horizontal="center" vertical="center" wrapText="1"/>
    </xf>
    <xf numFmtId="0" fontId="35" fillId="2" borderId="14" xfId="0" applyFont="1" applyFill="1" applyBorder="1" applyAlignment="1" applyProtection="1">
      <alignment horizontal="center" vertical="center" wrapText="1"/>
    </xf>
    <xf numFmtId="0" fontId="35" fillId="2" borderId="22" xfId="0" applyFont="1" applyFill="1" applyBorder="1" applyAlignment="1" applyProtection="1">
      <alignment horizontal="center" vertical="center" wrapText="1"/>
    </xf>
    <xf numFmtId="0" fontId="35" fillId="2" borderId="23" xfId="0" applyFont="1" applyFill="1" applyBorder="1" applyAlignment="1" applyProtection="1">
      <alignment horizontal="center" vertical="center" wrapText="1"/>
    </xf>
    <xf numFmtId="0" fontId="33" fillId="2" borderId="8" xfId="0" applyFont="1" applyFill="1" applyBorder="1" applyAlignment="1" applyProtection="1">
      <alignment horizontal="left" vertical="center" wrapText="1" shrinkToFit="1"/>
      <protection locked="0"/>
    </xf>
    <xf numFmtId="0" fontId="41" fillId="8" borderId="19" xfId="0" applyFont="1" applyFill="1" applyBorder="1" applyAlignment="1">
      <alignment horizontal="left" vertical="center" wrapText="1"/>
    </xf>
    <xf numFmtId="0" fontId="42" fillId="2" borderId="8" xfId="0" applyFont="1" applyFill="1" applyBorder="1" applyAlignment="1">
      <alignment horizontal="left" vertical="center" wrapText="1"/>
    </xf>
    <xf numFmtId="0" fontId="44" fillId="2" borderId="17" xfId="0" applyFont="1" applyFill="1" applyBorder="1" applyAlignment="1">
      <alignment horizontal="left" vertical="center" wrapText="1"/>
    </xf>
    <xf numFmtId="0" fontId="44" fillId="2" borderId="4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9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2057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6</xdr:col>
      <xdr:colOff>952500</xdr:colOff>
      <xdr:row>14</xdr:row>
      <xdr:rowOff>0</xdr:rowOff>
    </xdr:from>
    <xdr:ext cx="184731" cy="264560"/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6991350" y="1373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23850" y="6724650"/>
          <a:ext cx="1600200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LOW RISK / НИЗКИЙ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28575</xdr:colOff>
      <xdr:row>21</xdr:row>
      <xdr:rowOff>28575</xdr:rowOff>
    </xdr:from>
    <xdr:to>
      <xdr:col>4</xdr:col>
      <xdr:colOff>2117</xdr:colOff>
      <xdr:row>24</xdr:row>
      <xdr:rowOff>0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333375" y="7562850"/>
          <a:ext cx="1619250" cy="457200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0</xdr:col>
      <xdr:colOff>2117</xdr:colOff>
      <xdr:row>26</xdr:row>
      <xdr:rowOff>76200</xdr:rowOff>
    </xdr:from>
    <xdr:to>
      <xdr:col>4</xdr:col>
      <xdr:colOff>2117</xdr:colOff>
      <xdr:row>29</xdr:row>
      <xdr:rowOff>38100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304800" y="8582025"/>
          <a:ext cx="1609725" cy="447675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</a:pPr>
          <a:r>
            <a:rPr lang="en-GB" b="1">
              <a:solidFill>
                <a:srgbClr val="FFFFFF"/>
              </a:solidFill>
              <a:latin typeface="Arial"/>
              <a:cs typeface="Arial"/>
            </a:rPr>
            <a:t>HIGH RISK / ВЫСОКИЙ РИСК</a:t>
          </a:r>
        </a:p>
        <a:p>
          <a:pPr algn="l" rtl="0">
            <a:lnSpc>
              <a:spcPts val="1100"/>
            </a:lnSpc>
          </a:pPr>
          <a:endParaRPr lang="en-GB" sz="1100"/>
        </a:p>
      </xdr:txBody>
    </xdr:sp>
    <xdr:clientData/>
  </xdr:twoCellAnchor>
  <xdr:twoCellAnchor>
    <xdr:from>
      <xdr:col>4</xdr:col>
      <xdr:colOff>27214</xdr:colOff>
      <xdr:row>15</xdr:row>
      <xdr:rowOff>85727</xdr:rowOff>
    </xdr:from>
    <xdr:to>
      <xdr:col>10</xdr:col>
      <xdr:colOff>0</xdr:colOff>
      <xdr:row>19</xdr:row>
      <xdr:rowOff>197304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932339" y="8494941"/>
          <a:ext cx="5687786" cy="7647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GB">
              <a:solidFill>
                <a:schemeClr val="dk1"/>
              </a:solidFill>
              <a:latin typeface="Calibri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29332</xdr:colOff>
      <xdr:row>20</xdr:row>
      <xdr:rowOff>57831</xdr:rowOff>
    </xdr:from>
    <xdr:to>
      <xdr:col>21</xdr:col>
      <xdr:colOff>27215</xdr:colOff>
      <xdr:row>25</xdr:row>
      <xdr:rowOff>360591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34457" y="9507992"/>
          <a:ext cx="5712883" cy="1119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Опасные факторы, уровень риска которых находится в желтой зоне матрицы, </a:t>
          </a:r>
          <a:r>
            <a:rPr i="1"/>
            <a:t>требуют</a:t>
          </a:r>
          <a:r>
            <a:t>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b="1"/>
            <a:t>капитана/менеджера базового подразделения</a:t>
          </a:r>
          <a:r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26</xdr:row>
      <xdr:rowOff>19050</xdr:rowOff>
    </xdr:from>
    <xdr:to>
      <xdr:col>10</xdr:col>
      <xdr:colOff>0</xdr:colOff>
      <xdr:row>32</xdr:row>
      <xdr:rowOff>224518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907242" y="10550979"/>
          <a:ext cx="5712883" cy="11851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t>При наличии опасных факторов с уровнем риска в красной зоне приступать к выполнению задания </a:t>
          </a:r>
          <a:r>
            <a:rPr i="1"/>
            <a:t>запрещено</a:t>
          </a:r>
          <a:r>
            <a:t>. Необходимо уведомить </a:t>
          </a:r>
          <a:r>
            <a:rPr b="1"/>
            <a:t>капитана/менеджера базового подразделения</a:t>
          </a:r>
          <a:r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r>
            <a:rPr lang="en-GB"/>
            <a:t> </a:t>
          </a:r>
          <a:endParaRPr lang="en-GB" sz="1100"/>
        </a:p>
      </xdr:txBody>
    </xdr:sp>
    <xdr:clientData/>
  </xdr:twoCellAnchor>
  <xdr:twoCellAnchor>
    <xdr:from>
      <xdr:col>3</xdr:col>
      <xdr:colOff>938893</xdr:colOff>
      <xdr:row>32</xdr:row>
      <xdr:rowOff>312964</xdr:rowOff>
    </xdr:from>
    <xdr:to>
      <xdr:col>9</xdr:col>
      <xdr:colOff>843643</xdr:colOff>
      <xdr:row>32</xdr:row>
      <xdr:rowOff>809625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864304" y="11824607"/>
          <a:ext cx="5674178" cy="4966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l"/>
          <a:r>
            <a:rPr lang="en-GB" b="1">
              <a:solidFill>
                <a:schemeClr val="dk1"/>
              </a:solidFill>
              <a:latin typeface="Calibri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W56"/>
  <sheetViews>
    <sheetView tabSelected="1" zoomScale="80" zoomScaleNormal="80" zoomScalePageLayoutView="70" workbookViewId="0">
      <selection activeCell="A39" sqref="A39:B39"/>
    </sheetView>
  </sheetViews>
  <sheetFormatPr defaultColWidth="9.1796875" defaultRowHeight="12.5" x14ac:dyDescent="0.25"/>
  <cols>
    <col min="1" max="1" width="6.81640625" style="3" customWidth="1"/>
    <col min="2" max="2" width="28.7265625" style="3" customWidth="1"/>
    <col min="3" max="3" width="66.1796875" style="3" customWidth="1"/>
    <col min="4" max="4" width="4.81640625" style="3" customWidth="1"/>
    <col min="5" max="5" width="5.1796875" style="3" customWidth="1"/>
    <col min="6" max="6" width="5.26953125" style="3" customWidth="1"/>
    <col min="7" max="7" width="16.81640625" style="3" customWidth="1"/>
    <col min="8" max="8" width="37" style="3" customWidth="1"/>
    <col min="9" max="9" width="58.453125" style="3" hidden="1" customWidth="1"/>
    <col min="10" max="10" width="19.54296875" style="3" customWidth="1"/>
    <col min="11" max="11" width="5.453125" style="3" customWidth="1"/>
    <col min="12" max="12" width="5.1796875" style="3" customWidth="1"/>
    <col min="13" max="13" width="5.54296875" style="3" customWidth="1"/>
    <col min="14" max="14" width="10.1796875" style="3" customWidth="1"/>
    <col min="15" max="15" width="9.1796875" style="3" customWidth="1"/>
    <col min="16" max="16" width="9.1796875" style="3" hidden="1" customWidth="1"/>
    <col min="17" max="17" width="11.54296875" style="7" hidden="1" customWidth="1"/>
    <col min="18" max="18" width="13.26953125" style="3" hidden="1" customWidth="1"/>
    <col min="19" max="20" width="14.453125" style="3" hidden="1" customWidth="1"/>
    <col min="21" max="21" width="10.1796875" style="3" hidden="1" customWidth="1"/>
    <col min="22" max="23" width="9.1796875" style="3" hidden="1" customWidth="1"/>
    <col min="24" max="16384" width="9.1796875" style="3"/>
  </cols>
  <sheetData>
    <row r="1" spans="1:23" ht="3.65" customHeight="1" x14ac:dyDescent="0.5">
      <c r="A1" s="91"/>
      <c r="B1" s="55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14</v>
      </c>
      <c r="R1" s="14" t="s">
        <v>15</v>
      </c>
      <c r="S1" s="14" t="s">
        <v>16</v>
      </c>
      <c r="T1" s="14" t="s">
        <v>17</v>
      </c>
      <c r="U1" s="14" t="s">
        <v>18</v>
      </c>
      <c r="V1" s="14" t="s">
        <v>19</v>
      </c>
      <c r="W1" s="18" t="s">
        <v>20</v>
      </c>
    </row>
    <row r="2" spans="1:23" ht="25.15" customHeight="1" x14ac:dyDescent="0.25">
      <c r="A2" s="167" t="s">
        <v>74</v>
      </c>
      <c r="B2" s="168"/>
      <c r="C2" s="56"/>
      <c r="D2" s="50"/>
      <c r="E2" s="50"/>
      <c r="F2" s="50"/>
      <c r="G2" s="50"/>
      <c r="H2" s="57"/>
      <c r="I2" s="4"/>
      <c r="J2" s="173" t="s">
        <v>0</v>
      </c>
      <c r="K2" s="174"/>
      <c r="L2" s="174"/>
      <c r="M2" s="175"/>
      <c r="P2" s="7"/>
      <c r="Q2" s="14">
        <v>1</v>
      </c>
      <c r="R2" s="14" t="s">
        <v>21</v>
      </c>
      <c r="S2" s="15"/>
      <c r="T2" s="15"/>
      <c r="U2" s="15"/>
      <c r="V2" s="15"/>
      <c r="W2" s="18" t="s">
        <v>22</v>
      </c>
    </row>
    <row r="3" spans="1:23" ht="25.5" customHeight="1" x14ac:dyDescent="0.25">
      <c r="A3" s="169"/>
      <c r="B3" s="170"/>
      <c r="C3" s="180" t="s">
        <v>75</v>
      </c>
      <c r="D3" s="181"/>
      <c r="E3" s="181"/>
      <c r="F3" s="181"/>
      <c r="G3" s="181"/>
      <c r="H3" s="182"/>
      <c r="J3" s="176" t="s">
        <v>80</v>
      </c>
      <c r="K3" s="174"/>
      <c r="L3" s="174"/>
      <c r="M3" s="175"/>
      <c r="P3" s="7"/>
      <c r="Q3" s="14">
        <v>2</v>
      </c>
      <c r="R3" s="14" t="s">
        <v>23</v>
      </c>
      <c r="S3" s="15"/>
      <c r="T3" s="15"/>
      <c r="U3" s="15"/>
      <c r="V3" s="15"/>
      <c r="W3" s="18" t="s">
        <v>24</v>
      </c>
    </row>
    <row r="4" spans="1:23" ht="25.15" customHeight="1" x14ac:dyDescent="0.25">
      <c r="A4" s="169"/>
      <c r="B4" s="170"/>
      <c r="C4" s="59"/>
      <c r="D4" s="51"/>
      <c r="E4" s="51"/>
      <c r="F4" s="51"/>
      <c r="G4" s="51"/>
      <c r="H4" s="58"/>
      <c r="J4" s="177" t="s">
        <v>81</v>
      </c>
      <c r="K4" s="178"/>
      <c r="L4" s="178"/>
      <c r="M4" s="179"/>
      <c r="P4" s="7"/>
      <c r="Q4" s="14"/>
      <c r="R4" s="14"/>
      <c r="S4" s="15"/>
      <c r="T4" s="15"/>
      <c r="U4" s="15"/>
      <c r="V4" s="15"/>
      <c r="W4" s="18"/>
    </row>
    <row r="5" spans="1:23" ht="15" customHeight="1" x14ac:dyDescent="0.25">
      <c r="A5" s="171"/>
      <c r="B5" s="17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25</v>
      </c>
      <c r="S5" s="15"/>
      <c r="T5" s="15"/>
      <c r="U5" s="15"/>
      <c r="V5" s="15"/>
      <c r="W5" s="18" t="s">
        <v>26</v>
      </c>
    </row>
    <row r="6" spans="1:23" s="7" customFormat="1" ht="36" customHeight="1" x14ac:dyDescent="0.25">
      <c r="A6" s="104" t="s">
        <v>84</v>
      </c>
      <c r="B6" s="104"/>
      <c r="C6" s="85"/>
      <c r="D6" s="63"/>
      <c r="E6" s="63"/>
      <c r="F6" s="64"/>
      <c r="G6" s="76" t="s">
        <v>76</v>
      </c>
      <c r="H6" s="88" t="s">
        <v>77</v>
      </c>
      <c r="I6" s="63"/>
      <c r="J6" s="87" t="s">
        <v>79</v>
      </c>
      <c r="K6" s="162" t="s">
        <v>179</v>
      </c>
      <c r="L6" s="162"/>
      <c r="M6" s="163"/>
      <c r="Q6" s="14">
        <v>4</v>
      </c>
      <c r="R6" s="14" t="s">
        <v>27</v>
      </c>
      <c r="S6" s="14"/>
      <c r="T6" s="14"/>
      <c r="U6" s="14"/>
      <c r="V6" s="14"/>
    </row>
    <row r="7" spans="1:23" s="7" customFormat="1" ht="36" customHeight="1" x14ac:dyDescent="0.25">
      <c r="A7" s="109" t="s">
        <v>85</v>
      </c>
      <c r="B7" s="110"/>
      <c r="C7" s="84"/>
      <c r="D7" s="117" t="s">
        <v>86</v>
      </c>
      <c r="E7" s="118"/>
      <c r="F7" s="118"/>
      <c r="G7" s="76" t="s">
        <v>83</v>
      </c>
      <c r="H7" s="105" t="s">
        <v>78</v>
      </c>
      <c r="I7" s="106"/>
      <c r="J7" s="107"/>
      <c r="K7" s="117" t="s">
        <v>82</v>
      </c>
      <c r="L7" s="118"/>
      <c r="M7" s="119"/>
      <c r="Q7" s="14">
        <v>5</v>
      </c>
      <c r="R7" s="14" t="s">
        <v>28</v>
      </c>
      <c r="S7" s="14"/>
      <c r="T7" s="14"/>
      <c r="U7" s="14"/>
      <c r="V7" s="14"/>
    </row>
    <row r="8" spans="1:23" ht="158.25" customHeight="1" x14ac:dyDescent="0.25">
      <c r="A8" s="74" t="s">
        <v>87</v>
      </c>
      <c r="B8" s="74" t="s">
        <v>88</v>
      </c>
      <c r="C8" s="74" t="s">
        <v>89</v>
      </c>
      <c r="D8" s="75" t="s">
        <v>90</v>
      </c>
      <c r="E8" s="75" t="s">
        <v>91</v>
      </c>
      <c r="F8" s="75" t="s">
        <v>86</v>
      </c>
      <c r="G8" s="164" t="s">
        <v>92</v>
      </c>
      <c r="H8" s="165"/>
      <c r="I8" s="166"/>
      <c r="J8" s="127"/>
      <c r="K8" s="75" t="s">
        <v>90</v>
      </c>
      <c r="L8" s="75" t="s">
        <v>91</v>
      </c>
      <c r="M8" s="75" t="s">
        <v>93</v>
      </c>
      <c r="Q8" s="14"/>
      <c r="R8" s="15"/>
      <c r="S8" s="15"/>
      <c r="T8" s="15"/>
      <c r="U8" s="15" t="str">
        <f>IF(L11="","",IF(N11="","",IF(M11+O11&lt;=5,$W$12,IF(M11+O11=6,$W$13,IF(M11+O11=7,$W$13,IF(M11+O11&gt;=8,$W$14,""))))))</f>
        <v/>
      </c>
      <c r="V8" s="15"/>
    </row>
    <row r="9" spans="1:23" ht="46.5" customHeight="1" x14ac:dyDescent="0.25">
      <c r="A9" s="86">
        <v>1</v>
      </c>
      <c r="B9" s="92" t="s">
        <v>94</v>
      </c>
      <c r="C9" s="89" t="s">
        <v>95</v>
      </c>
      <c r="D9" s="20">
        <v>4</v>
      </c>
      <c r="E9" s="13" t="s">
        <v>1</v>
      </c>
      <c r="F9" s="73" t="str">
        <f t="shared" ref="F9:F14" si="0">IF(D9="","",(IF(E9="","",IF(U9&lt;=1,"",IF(U9&lt;=5,$W$2,IF(U9=6,$W$3,IF(U9=7,$W$3,IF(U9&gt;=8,$W$5,""))))))))</f>
        <v>M</v>
      </c>
      <c r="G9" s="158" t="s">
        <v>96</v>
      </c>
      <c r="H9" s="159"/>
      <c r="I9" s="160"/>
      <c r="J9" s="161"/>
      <c r="K9" s="20">
        <v>1</v>
      </c>
      <c r="L9" s="13" t="s">
        <v>2</v>
      </c>
      <c r="M9" s="65" t="str">
        <f t="shared" ref="M9:M14" si="1">IF(K9="","",(IF(L9="","",IF(V9&lt;=1,"",IF(V9&lt;=5,$W$2,IF(V9=6,$W$3,IF(V9=7,$W$3,IF(V9&gt;=8,$W$5,""))))))))</f>
        <v>L</v>
      </c>
      <c r="Q9" s="14"/>
      <c r="R9" s="15"/>
      <c r="S9" s="19">
        <f t="shared" ref="S9:S14" si="2">IF(E9="A",1,IF(E9="B",2,IF(E9="C",3,IF(E9="D",4,IF(E9="E",5,"")))))</f>
        <v>3</v>
      </c>
      <c r="T9" s="19">
        <f t="shared" ref="T9:T14" si="3">IF(L9="A",1,IF(L9="B",2,IF(L9="C",3,IF(L9="D",4,IF(L9="E",5,"")))))</f>
        <v>3</v>
      </c>
      <c r="U9" s="15">
        <f t="shared" ref="U9:U14" si="4">D9+S9</f>
        <v>7</v>
      </c>
      <c r="V9" s="15">
        <f t="shared" ref="V9:V14" si="5">K9+T9</f>
        <v>4</v>
      </c>
    </row>
    <row r="10" spans="1:23" ht="183.75" customHeight="1" x14ac:dyDescent="0.25">
      <c r="A10" s="86">
        <v>2</v>
      </c>
      <c r="B10" s="92" t="s">
        <v>97</v>
      </c>
      <c r="C10" s="90" t="s">
        <v>108</v>
      </c>
      <c r="D10" s="20">
        <v>3</v>
      </c>
      <c r="E10" s="13" t="s">
        <v>3</v>
      </c>
      <c r="F10" s="73" t="str">
        <f t="shared" si="0"/>
        <v>M</v>
      </c>
      <c r="G10" s="158" t="s">
        <v>107</v>
      </c>
      <c r="H10" s="159"/>
      <c r="I10" s="160"/>
      <c r="J10" s="161"/>
      <c r="K10" s="20">
        <v>1</v>
      </c>
      <c r="L10" s="13" t="s">
        <v>4</v>
      </c>
      <c r="M10" s="65" t="str">
        <f t="shared" si="1"/>
        <v>L</v>
      </c>
      <c r="Q10" s="14"/>
      <c r="R10" s="15"/>
      <c r="S10" s="19">
        <f t="shared" si="2"/>
        <v>3</v>
      </c>
      <c r="T10" s="19">
        <f t="shared" si="3"/>
        <v>3</v>
      </c>
      <c r="U10" s="15">
        <f t="shared" si="4"/>
        <v>6</v>
      </c>
      <c r="V10" s="15">
        <f t="shared" si="5"/>
        <v>4</v>
      </c>
    </row>
    <row r="11" spans="1:23" ht="159.5" customHeight="1" x14ac:dyDescent="0.25">
      <c r="A11" s="86">
        <v>3</v>
      </c>
      <c r="B11" s="93" t="s">
        <v>98</v>
      </c>
      <c r="C11" s="90" t="s">
        <v>105</v>
      </c>
      <c r="D11" s="20">
        <v>3</v>
      </c>
      <c r="E11" s="13" t="s">
        <v>5</v>
      </c>
      <c r="F11" s="73" t="str">
        <f t="shared" si="0"/>
        <v>L</v>
      </c>
      <c r="G11" s="158" t="s">
        <v>106</v>
      </c>
      <c r="H11" s="159"/>
      <c r="I11" s="160"/>
      <c r="J11" s="161"/>
      <c r="K11" s="20">
        <v>2</v>
      </c>
      <c r="L11" s="13" t="s">
        <v>6</v>
      </c>
      <c r="M11" s="65" t="str">
        <f t="shared" si="1"/>
        <v>L</v>
      </c>
      <c r="Q11" s="14"/>
      <c r="R11" s="15"/>
      <c r="S11" s="19">
        <f t="shared" si="2"/>
        <v>2</v>
      </c>
      <c r="T11" s="19">
        <f t="shared" si="3"/>
        <v>2</v>
      </c>
      <c r="U11" s="15">
        <f t="shared" si="4"/>
        <v>5</v>
      </c>
      <c r="V11" s="15">
        <f t="shared" si="5"/>
        <v>4</v>
      </c>
    </row>
    <row r="12" spans="1:23" ht="180.75" customHeight="1" x14ac:dyDescent="0.25">
      <c r="A12" s="86">
        <v>4</v>
      </c>
      <c r="B12" s="93" t="s">
        <v>101</v>
      </c>
      <c r="C12" s="90" t="s">
        <v>102</v>
      </c>
      <c r="D12" s="20">
        <v>3</v>
      </c>
      <c r="E12" s="13" t="s">
        <v>7</v>
      </c>
      <c r="F12" s="73" t="str">
        <f t="shared" si="0"/>
        <v>M</v>
      </c>
      <c r="G12" s="158" t="s">
        <v>109</v>
      </c>
      <c r="H12" s="159"/>
      <c r="I12" s="160"/>
      <c r="J12" s="161"/>
      <c r="K12" s="20">
        <v>1</v>
      </c>
      <c r="L12" s="13" t="s">
        <v>8</v>
      </c>
      <c r="M12" s="65" t="str">
        <f t="shared" si="1"/>
        <v>L</v>
      </c>
      <c r="Q12" s="14"/>
      <c r="R12" s="15"/>
      <c r="S12" s="19">
        <f t="shared" si="2"/>
        <v>4</v>
      </c>
      <c r="T12" s="19">
        <f t="shared" si="3"/>
        <v>4</v>
      </c>
      <c r="U12" s="15">
        <f t="shared" si="4"/>
        <v>7</v>
      </c>
      <c r="V12" s="15">
        <f t="shared" si="5"/>
        <v>5</v>
      </c>
    </row>
    <row r="13" spans="1:23" ht="409.5" customHeight="1" x14ac:dyDescent="0.25">
      <c r="A13" s="86">
        <v>5</v>
      </c>
      <c r="B13" s="93" t="s">
        <v>99</v>
      </c>
      <c r="C13" s="90" t="s">
        <v>100</v>
      </c>
      <c r="D13" s="20">
        <v>3</v>
      </c>
      <c r="E13" s="13" t="s">
        <v>9</v>
      </c>
      <c r="F13" s="73" t="str">
        <f t="shared" si="0"/>
        <v>M</v>
      </c>
      <c r="G13" s="158" t="s">
        <v>110</v>
      </c>
      <c r="H13" s="159"/>
      <c r="I13" s="160"/>
      <c r="J13" s="161"/>
      <c r="K13" s="20">
        <v>1</v>
      </c>
      <c r="L13" s="13" t="s">
        <v>10</v>
      </c>
      <c r="M13" s="65" t="str">
        <f t="shared" si="1"/>
        <v>L</v>
      </c>
      <c r="Q13" s="14"/>
      <c r="R13" s="15"/>
      <c r="S13" s="19">
        <f t="shared" si="2"/>
        <v>3</v>
      </c>
      <c r="T13" s="19">
        <f t="shared" si="3"/>
        <v>3</v>
      </c>
      <c r="U13" s="15">
        <f t="shared" si="4"/>
        <v>6</v>
      </c>
      <c r="V13" s="15">
        <f t="shared" si="5"/>
        <v>4</v>
      </c>
    </row>
    <row r="14" spans="1:23" ht="186.5" customHeight="1" x14ac:dyDescent="0.25">
      <c r="A14" s="86">
        <v>6</v>
      </c>
      <c r="B14" s="93" t="s">
        <v>103</v>
      </c>
      <c r="C14" s="90" t="s">
        <v>104</v>
      </c>
      <c r="D14" s="20">
        <v>4</v>
      </c>
      <c r="E14" s="13" t="s">
        <v>11</v>
      </c>
      <c r="F14" s="73" t="str">
        <f t="shared" si="0"/>
        <v>H</v>
      </c>
      <c r="G14" s="219" t="s">
        <v>180</v>
      </c>
      <c r="H14" s="155"/>
      <c r="I14" s="156"/>
      <c r="J14" s="157"/>
      <c r="K14" s="20">
        <v>2</v>
      </c>
      <c r="L14" s="13" t="s">
        <v>12</v>
      </c>
      <c r="M14" s="65" t="str">
        <f t="shared" si="1"/>
        <v>M</v>
      </c>
      <c r="Q14" s="14"/>
      <c r="R14" s="15"/>
      <c r="S14" s="19">
        <f t="shared" si="2"/>
        <v>4</v>
      </c>
      <c r="T14" s="19">
        <f t="shared" si="3"/>
        <v>4</v>
      </c>
      <c r="U14" s="15">
        <f t="shared" si="4"/>
        <v>8</v>
      </c>
      <c r="V14" s="15">
        <f t="shared" si="5"/>
        <v>6</v>
      </c>
    </row>
    <row r="15" spans="1:23" ht="27" customHeight="1" x14ac:dyDescent="0.25">
      <c r="A15" s="111" t="s">
        <v>111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3"/>
      <c r="Q15" s="14"/>
      <c r="R15" s="15"/>
      <c r="S15" s="19" t="e">
        <f>IF(#REF!="A",1,IF(#REF!="B",2,IF(#REF!="C",3,IF(#REF!="D",4,IF(#REF!="E",5,"")))))</f>
        <v>#REF!</v>
      </c>
      <c r="T15" s="19" t="e">
        <f>IF(#REF!="A",1,IF(#REF!="B",2,IF(#REF!="C",3,IF(#REF!="D",4,IF(#REF!="E",5,"")))))</f>
        <v>#REF!</v>
      </c>
      <c r="U15" s="15" t="e">
        <f>#REF!+S15</f>
        <v>#REF!</v>
      </c>
      <c r="V15" s="15" t="e">
        <f>#REF!+T15</f>
        <v>#REF!</v>
      </c>
    </row>
    <row r="16" spans="1:23" ht="34.5" customHeight="1" x14ac:dyDescent="0.25">
      <c r="A16" s="220" t="s">
        <v>112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Q16" s="14"/>
      <c r="R16" s="15"/>
      <c r="S16" s="19" t="e">
        <f>IF(#REF!="A",1,IF(#REF!="B",2,IF(#REF!="C",3,IF(#REF!="D",4,IF(#REF!="E",5,"")))))</f>
        <v>#REF!</v>
      </c>
      <c r="T16" s="19" t="e">
        <f>IF(#REF!="A",1,IF(#REF!="B",2,IF(#REF!="C",3,IF(#REF!="D",4,IF(#REF!="E",5,"")))))</f>
        <v>#REF!</v>
      </c>
      <c r="U16" s="15" t="e">
        <f>#REF!+S16</f>
        <v>#REF!</v>
      </c>
      <c r="V16" s="15" t="e">
        <f>#REF!+T16</f>
        <v>#REF!</v>
      </c>
    </row>
    <row r="17" spans="1:22" ht="32.5" customHeight="1" x14ac:dyDescent="0.35">
      <c r="A17" s="94" t="s">
        <v>73</v>
      </c>
      <c r="B17" s="95"/>
      <c r="C17" s="95"/>
      <c r="D17" s="96"/>
      <c r="E17" s="96"/>
      <c r="F17" s="96"/>
      <c r="G17" s="97"/>
      <c r="H17" s="95"/>
      <c r="I17" s="70"/>
      <c r="J17" s="70"/>
      <c r="K17" s="70"/>
      <c r="L17" s="71"/>
      <c r="M17" s="72"/>
      <c r="Q17" s="14"/>
      <c r="R17" s="15"/>
      <c r="S17" s="19" t="e">
        <f>IF(#REF!="A",1,IF(#REF!="B",2,IF(#REF!="C",3,IF(#REF!="D",4,IF(#REF!="E",5,"")))))</f>
        <v>#REF!</v>
      </c>
      <c r="T17" s="19" t="e">
        <f>IF(#REF!="A",1,IF(#REF!="B",2,IF(#REF!="C",3,IF(#REF!="D",4,IF(#REF!="E",5,"")))))</f>
        <v>#REF!</v>
      </c>
      <c r="U17" s="15" t="e">
        <f>#REF!+S17</f>
        <v>#REF!</v>
      </c>
      <c r="V17" s="15" t="e">
        <f>#REF!+T17</f>
        <v>#REF!</v>
      </c>
    </row>
    <row r="18" spans="1:22" ht="55" customHeight="1" x14ac:dyDescent="0.25">
      <c r="A18" s="134" t="s">
        <v>113</v>
      </c>
      <c r="B18" s="135"/>
      <c r="C18" s="135"/>
      <c r="D18" s="135"/>
      <c r="E18" s="135"/>
      <c r="F18" s="135"/>
      <c r="G18" s="135"/>
      <c r="H18" s="135"/>
      <c r="I18" s="135"/>
      <c r="J18" s="135"/>
      <c r="K18" s="135"/>
      <c r="L18" s="135"/>
      <c r="M18" s="136"/>
      <c r="Q18" s="14"/>
      <c r="R18" s="15"/>
      <c r="S18" s="19" t="e">
        <f>IF(#REF!="A",1,IF(#REF!="B",2,IF(#REF!="C",3,IF(#REF!="D",4,IF(#REF!="E",5,"")))))</f>
        <v>#REF!</v>
      </c>
      <c r="T18" s="19" t="e">
        <f>IF(#REF!="A",1,IF(#REF!="B",2,IF(#REF!="C",3,IF(#REF!="D",4,IF(#REF!="E",5,"")))))</f>
        <v>#REF!</v>
      </c>
      <c r="U18" s="15" t="e">
        <f>#REF!+S18</f>
        <v>#REF!</v>
      </c>
      <c r="V18" s="15" t="e">
        <f>#REF!+T18</f>
        <v>#REF!</v>
      </c>
    </row>
    <row r="19" spans="1:22" ht="34" customHeight="1" x14ac:dyDescent="0.25">
      <c r="A19" s="221" t="s">
        <v>181</v>
      </c>
      <c r="B19" s="222"/>
      <c r="C19" s="222"/>
      <c r="D19" s="222"/>
      <c r="E19" s="222"/>
      <c r="F19" s="222"/>
      <c r="G19" s="222"/>
      <c r="H19" s="222"/>
      <c r="I19" s="222"/>
      <c r="J19" s="222"/>
      <c r="K19" s="222"/>
      <c r="L19" s="222"/>
      <c r="M19" s="223"/>
      <c r="Q19" s="14"/>
      <c r="R19" s="15"/>
      <c r="S19" s="19" t="e">
        <f>IF(#REF!="A",1,IF(#REF!="B",2,IF(#REF!="C",3,IF(#REF!="D",4,IF(#REF!="E",5,"")))))</f>
        <v>#REF!</v>
      </c>
      <c r="T19" s="19" t="e">
        <f>IF(#REF!="A",1,IF(#REF!="B",2,IF(#REF!="C",3,IF(#REF!="D",4,IF(#REF!="E",5,"")))))</f>
        <v>#REF!</v>
      </c>
      <c r="U19" s="15" t="e">
        <f>#REF!+S19</f>
        <v>#REF!</v>
      </c>
      <c r="V19" s="15" t="e">
        <f>#REF!+T19</f>
        <v>#REF!</v>
      </c>
    </row>
    <row r="20" spans="1:22" ht="45" customHeight="1" x14ac:dyDescent="0.25">
      <c r="A20" s="66">
        <v>1</v>
      </c>
      <c r="B20" s="114" t="s">
        <v>114</v>
      </c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116"/>
      <c r="Q20" s="14"/>
      <c r="R20" s="15"/>
      <c r="S20" s="19" t="e">
        <f>IF(#REF!="A",1,IF(#REF!="B",2,IF(#REF!="C",3,IF(#REF!="D",4,IF(#REF!="E",5,"")))))</f>
        <v>#REF!</v>
      </c>
      <c r="T20" s="19" t="e">
        <f>IF(#REF!="A",1,IF(#REF!="B",2,IF(#REF!="C",3,IF(#REF!="D",4,IF(#REF!="E",5,"")))))</f>
        <v>#REF!</v>
      </c>
      <c r="U20" s="15" t="e">
        <f>#REF!+S20</f>
        <v>#REF!</v>
      </c>
      <c r="V20" s="15" t="e">
        <f>#REF!+T20</f>
        <v>#REF!</v>
      </c>
    </row>
    <row r="21" spans="1:22" ht="45" customHeight="1" x14ac:dyDescent="0.25">
      <c r="A21" s="66">
        <v>2</v>
      </c>
      <c r="B21" s="137" t="s">
        <v>115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9"/>
      <c r="Q21" s="14"/>
      <c r="R21" s="15"/>
      <c r="S21" s="19" t="e">
        <f>IF(#REF!="A",1,IF(#REF!="B",2,IF(#REF!="C",3,IF(#REF!="D",4,IF(#REF!="E",5,"")))))</f>
        <v>#REF!</v>
      </c>
      <c r="T21" s="19" t="e">
        <f>IF(#REF!="A",1,IF(#REF!="B",2,IF(#REF!="C",3,IF(#REF!="D",4,IF(#REF!="E",5,"")))))</f>
        <v>#REF!</v>
      </c>
      <c r="U21" s="15" t="e">
        <f>#REF!+S21</f>
        <v>#REF!</v>
      </c>
      <c r="V21" s="15" t="e">
        <f>#REF!+T21</f>
        <v>#REF!</v>
      </c>
    </row>
    <row r="22" spans="1:22" ht="45" customHeight="1" x14ac:dyDescent="0.25">
      <c r="A22" s="66">
        <v>3</v>
      </c>
      <c r="B22" s="114" t="s">
        <v>116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6"/>
      <c r="Q22" s="14"/>
      <c r="R22" s="15"/>
      <c r="S22" s="19" t="e">
        <f>IF(#REF!="A",1,IF(#REF!="B",2,IF(#REF!="C",3,IF(#REF!="D",4,IF(#REF!="E",5,"")))))</f>
        <v>#REF!</v>
      </c>
      <c r="T22" s="19" t="e">
        <f>IF(#REF!="A",1,IF(#REF!="B",2,IF(#REF!="C",3,IF(#REF!="D",4,IF(#REF!="E",5,"")))))</f>
        <v>#REF!</v>
      </c>
      <c r="U22" s="15" t="e">
        <f>#REF!+S22</f>
        <v>#REF!</v>
      </c>
      <c r="V22" s="15" t="e">
        <f>#REF!+T22</f>
        <v>#REF!</v>
      </c>
    </row>
    <row r="23" spans="1:22" ht="45" customHeight="1" x14ac:dyDescent="0.25">
      <c r="A23" s="66">
        <v>4</v>
      </c>
      <c r="B23" s="137" t="s">
        <v>117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9"/>
    </row>
    <row r="24" spans="1:22" ht="45" customHeight="1" x14ac:dyDescent="0.25">
      <c r="A24" s="66">
        <v>5</v>
      </c>
      <c r="B24" s="114" t="s">
        <v>118</v>
      </c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6"/>
    </row>
    <row r="25" spans="1:22" ht="45" customHeight="1" x14ac:dyDescent="0.25">
      <c r="A25" s="66">
        <v>6</v>
      </c>
      <c r="B25" s="137" t="s">
        <v>119</v>
      </c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9"/>
    </row>
    <row r="26" spans="1:22" ht="45" customHeight="1" x14ac:dyDescent="0.25">
      <c r="A26" s="66">
        <v>7</v>
      </c>
      <c r="B26" s="154" t="s">
        <v>13</v>
      </c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6"/>
    </row>
    <row r="27" spans="1:22" ht="45" customHeight="1" x14ac:dyDescent="0.25">
      <c r="A27" s="66">
        <v>8</v>
      </c>
      <c r="B27" s="114" t="s">
        <v>120</v>
      </c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6"/>
    </row>
    <row r="28" spans="1:22" s="9" customFormat="1" ht="45" customHeight="1" x14ac:dyDescent="0.25">
      <c r="A28" s="66">
        <v>9</v>
      </c>
      <c r="B28" s="114" t="s">
        <v>121</v>
      </c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6"/>
      <c r="N28" s="8"/>
      <c r="O28" s="8"/>
      <c r="P28" s="8"/>
      <c r="Q28" s="16"/>
    </row>
    <row r="29" spans="1:22" s="9" customFormat="1" ht="45" customHeight="1" x14ac:dyDescent="0.25">
      <c r="A29" s="66">
        <v>10</v>
      </c>
      <c r="B29" s="131" t="s">
        <v>122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2"/>
      <c r="N29" s="8"/>
      <c r="O29" s="8"/>
      <c r="P29" s="8"/>
      <c r="Q29" s="16"/>
    </row>
    <row r="30" spans="1:22" s="9" customFormat="1" ht="45" customHeight="1" x14ac:dyDescent="0.25">
      <c r="A30" s="66">
        <v>11</v>
      </c>
      <c r="B30" s="114" t="s">
        <v>123</v>
      </c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6"/>
      <c r="N30" s="8"/>
      <c r="O30" s="8"/>
      <c r="P30" s="8"/>
      <c r="Q30" s="16"/>
    </row>
    <row r="31" spans="1:22" s="9" customFormat="1" ht="45" customHeight="1" x14ac:dyDescent="0.25">
      <c r="A31" s="66">
        <v>12</v>
      </c>
      <c r="B31" s="114" t="s">
        <v>124</v>
      </c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6"/>
      <c r="N31" s="8"/>
      <c r="P31" s="8"/>
      <c r="Q31" s="16"/>
    </row>
    <row r="32" spans="1:22" s="9" customFormat="1" ht="45" customHeight="1" x14ac:dyDescent="0.25">
      <c r="A32" s="66">
        <v>13</v>
      </c>
      <c r="B32" s="114" t="s">
        <v>125</v>
      </c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6"/>
      <c r="N32" s="8"/>
      <c r="P32" s="8"/>
      <c r="Q32" s="16"/>
    </row>
    <row r="33" spans="1:17" s="9" customFormat="1" ht="45" customHeight="1" x14ac:dyDescent="0.25">
      <c r="A33" s="66">
        <v>14</v>
      </c>
      <c r="B33" s="114" t="s">
        <v>126</v>
      </c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6"/>
      <c r="N33" s="8"/>
      <c r="P33" s="8"/>
      <c r="Q33" s="16"/>
    </row>
    <row r="34" spans="1:17" s="9" customFormat="1" ht="45" customHeight="1" x14ac:dyDescent="0.25">
      <c r="A34" s="66">
        <v>15</v>
      </c>
      <c r="B34" s="114" t="s">
        <v>127</v>
      </c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6"/>
      <c r="N34" s="8"/>
      <c r="P34" s="8"/>
      <c r="Q34" s="16"/>
    </row>
    <row r="35" spans="1:17" s="9" customFormat="1" ht="40.5" customHeight="1" x14ac:dyDescent="0.25">
      <c r="A35" s="108" t="s">
        <v>128</v>
      </c>
      <c r="B35" s="108"/>
      <c r="C35" s="108"/>
      <c r="D35" s="108"/>
      <c r="E35" s="108"/>
      <c r="F35" s="108"/>
      <c r="G35" s="108"/>
      <c r="H35" s="140"/>
      <c r="I35" s="140"/>
      <c r="J35" s="140"/>
      <c r="K35" s="140"/>
      <c r="L35" s="140"/>
      <c r="M35" s="140"/>
      <c r="N35" s="8"/>
      <c r="P35" s="8"/>
      <c r="Q35" s="16"/>
    </row>
    <row r="36" spans="1:17" s="9" customFormat="1" ht="34.5" customHeight="1" x14ac:dyDescent="0.25">
      <c r="A36" s="120" t="s">
        <v>129</v>
      </c>
      <c r="B36" s="122"/>
      <c r="C36" s="77" t="s">
        <v>130</v>
      </c>
      <c r="D36" s="120" t="s">
        <v>131</v>
      </c>
      <c r="E36" s="121"/>
      <c r="F36" s="121"/>
      <c r="G36" s="122"/>
      <c r="H36" s="120" t="s">
        <v>132</v>
      </c>
      <c r="I36" s="121"/>
      <c r="J36" s="121"/>
      <c r="K36" s="121"/>
      <c r="L36" s="121"/>
      <c r="M36" s="122"/>
      <c r="N36" s="8"/>
      <c r="P36" s="8"/>
      <c r="Q36" s="16"/>
    </row>
    <row r="37" spans="1:17" s="9" customFormat="1" ht="18" customHeight="1" x14ac:dyDescent="0.25">
      <c r="A37" s="123"/>
      <c r="B37" s="125"/>
      <c r="C37" s="6"/>
      <c r="D37" s="123"/>
      <c r="E37" s="124"/>
      <c r="F37" s="124"/>
      <c r="G37" s="125"/>
      <c r="H37" s="149"/>
      <c r="I37" s="150"/>
      <c r="J37" s="150"/>
      <c r="K37" s="150"/>
      <c r="L37" s="150"/>
      <c r="M37" s="142"/>
      <c r="N37" s="8"/>
      <c r="P37" s="8"/>
      <c r="Q37" s="16"/>
    </row>
    <row r="38" spans="1:17" s="9" customFormat="1" ht="18" customHeight="1" x14ac:dyDescent="0.25">
      <c r="A38" s="123"/>
      <c r="B38" s="125"/>
      <c r="C38" s="6"/>
      <c r="D38" s="123"/>
      <c r="E38" s="124"/>
      <c r="F38" s="124"/>
      <c r="G38" s="125"/>
      <c r="H38" s="149"/>
      <c r="I38" s="150"/>
      <c r="J38" s="150"/>
      <c r="K38" s="150"/>
      <c r="L38" s="150"/>
      <c r="M38" s="142"/>
      <c r="N38" s="8"/>
      <c r="P38" s="8"/>
      <c r="Q38" s="16"/>
    </row>
    <row r="39" spans="1:17" s="9" customFormat="1" ht="18" customHeight="1" x14ac:dyDescent="0.25">
      <c r="A39" s="123"/>
      <c r="B39" s="125"/>
      <c r="C39" s="6"/>
      <c r="D39" s="123"/>
      <c r="E39" s="124"/>
      <c r="F39" s="124"/>
      <c r="G39" s="125"/>
      <c r="H39" s="149"/>
      <c r="I39" s="150"/>
      <c r="J39" s="150"/>
      <c r="K39" s="150"/>
      <c r="L39" s="150"/>
      <c r="M39" s="142"/>
      <c r="N39" s="8"/>
      <c r="P39" s="8"/>
      <c r="Q39" s="16"/>
    </row>
    <row r="40" spans="1:17" s="9" customFormat="1" ht="18" customHeight="1" x14ac:dyDescent="0.25">
      <c r="A40" s="123"/>
      <c r="B40" s="125"/>
      <c r="C40" s="6"/>
      <c r="D40" s="123"/>
      <c r="E40" s="124"/>
      <c r="F40" s="124"/>
      <c r="G40" s="125"/>
      <c r="H40" s="123"/>
      <c r="I40" s="124"/>
      <c r="J40" s="124"/>
      <c r="K40" s="124"/>
      <c r="L40" s="124"/>
      <c r="M40" s="125"/>
      <c r="N40" s="8"/>
      <c r="P40" s="8"/>
      <c r="Q40" s="16"/>
    </row>
    <row r="41" spans="1:17" s="9" customFormat="1" ht="18" customHeight="1" x14ac:dyDescent="0.25">
      <c r="A41" s="123"/>
      <c r="B41" s="125"/>
      <c r="C41" s="6"/>
      <c r="D41" s="123"/>
      <c r="E41" s="124"/>
      <c r="F41" s="124"/>
      <c r="G41" s="142"/>
      <c r="H41" s="123"/>
      <c r="I41" s="124"/>
      <c r="J41" s="124"/>
      <c r="K41" s="124"/>
      <c r="L41" s="124"/>
      <c r="M41" s="125"/>
      <c r="N41" s="8"/>
      <c r="P41" s="8"/>
      <c r="Q41" s="16"/>
    </row>
    <row r="42" spans="1:17" s="9" customFormat="1" ht="34.5" customHeight="1" x14ac:dyDescent="0.25">
      <c r="A42" s="131" t="s">
        <v>133</v>
      </c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3"/>
      <c r="N42" s="8"/>
      <c r="P42" s="8"/>
      <c r="Q42" s="16"/>
    </row>
    <row r="43" spans="1:17" s="9" customFormat="1" ht="34.5" customHeight="1" x14ac:dyDescent="0.25">
      <c r="A43" s="141" t="s">
        <v>134</v>
      </c>
      <c r="B43" s="141"/>
      <c r="C43" s="78" t="s">
        <v>135</v>
      </c>
      <c r="D43" s="143" t="s">
        <v>136</v>
      </c>
      <c r="E43" s="144"/>
      <c r="F43" s="145"/>
      <c r="G43" s="98"/>
      <c r="H43" s="99"/>
      <c r="I43" s="99"/>
      <c r="J43" s="99"/>
      <c r="K43" s="99"/>
      <c r="L43" s="99"/>
      <c r="M43" s="100"/>
      <c r="Q43" s="17"/>
    </row>
    <row r="44" spans="1:17" ht="27" customHeight="1" x14ac:dyDescent="0.25">
      <c r="A44" s="128"/>
      <c r="B44" s="130"/>
      <c r="C44" s="10"/>
      <c r="D44" s="146"/>
      <c r="E44" s="147"/>
      <c r="F44" s="148"/>
      <c r="G44" s="101"/>
      <c r="H44" s="102"/>
      <c r="I44" s="102"/>
      <c r="J44" s="102"/>
      <c r="K44" s="102"/>
      <c r="L44" s="102"/>
      <c r="M44" s="103"/>
    </row>
    <row r="45" spans="1:17" ht="1.5" hidden="1" customHeight="1" x14ac:dyDescent="0.25">
      <c r="A45" s="67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9"/>
    </row>
    <row r="46" spans="1:17" ht="90" customHeight="1" x14ac:dyDescent="0.25">
      <c r="A46" s="126" t="s">
        <v>137</v>
      </c>
      <c r="B46" s="127"/>
      <c r="C46" s="128"/>
      <c r="D46" s="129"/>
      <c r="E46" s="129"/>
      <c r="F46" s="129"/>
      <c r="G46" s="129"/>
      <c r="H46" s="129"/>
      <c r="I46" s="129"/>
      <c r="J46" s="129"/>
      <c r="K46" s="129"/>
      <c r="L46" s="129"/>
      <c r="M46" s="130"/>
    </row>
    <row r="47" spans="1:17" ht="18.75" customHeight="1" x14ac:dyDescent="0.25">
      <c r="A47" s="108" t="s">
        <v>138</v>
      </c>
      <c r="B47" s="108"/>
      <c r="C47" s="108"/>
      <c r="D47" s="108"/>
      <c r="E47" s="108"/>
      <c r="F47" s="108"/>
      <c r="G47" s="108"/>
      <c r="H47" s="108"/>
      <c r="I47" s="108"/>
      <c r="J47" s="108"/>
      <c r="K47" s="108"/>
      <c r="L47" s="108"/>
      <c r="M47" s="108"/>
    </row>
    <row r="48" spans="1:17" ht="18.75" customHeight="1" x14ac:dyDescent="0.25"/>
    <row r="49" spans="1:13" ht="18.75" customHeight="1" x14ac:dyDescent="0.25"/>
    <row r="50" spans="1:13" ht="18.75" customHeight="1" x14ac:dyDescent="0.25"/>
    <row r="51" spans="1:13" ht="33.75" customHeight="1" x14ac:dyDescent="0.25"/>
    <row r="52" spans="1:13" ht="20.25" customHeight="1" x14ac:dyDescent="0.25"/>
    <row r="53" spans="1:13" ht="57.75" customHeight="1" x14ac:dyDescent="0.25"/>
    <row r="54" spans="1:13" s="11" customFormat="1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19.25" customHeight="1" x14ac:dyDescent="0.25"/>
    <row r="56" spans="1:13" s="12" customFormat="1" ht="24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</sheetData>
  <sheetProtection formatCells="0" formatColumns="0" formatRows="0" insertColumns="0" insertRows="0" insertHyperlinks="0" deleteColumns="0" deleteRows="0" sort="0" autoFilter="0" pivotTables="0"/>
  <mergeCells count="64">
    <mergeCell ref="A2:B5"/>
    <mergeCell ref="J2:M2"/>
    <mergeCell ref="J3:M3"/>
    <mergeCell ref="J4:M4"/>
    <mergeCell ref="C3:H3"/>
    <mergeCell ref="G14:J14"/>
    <mergeCell ref="G13:J13"/>
    <mergeCell ref="K6:M6"/>
    <mergeCell ref="G8:J8"/>
    <mergeCell ref="G9:J9"/>
    <mergeCell ref="G10:J10"/>
    <mergeCell ref="G11:J11"/>
    <mergeCell ref="G12:J12"/>
    <mergeCell ref="A16:M16"/>
    <mergeCell ref="B23:M23"/>
    <mergeCell ref="B24:M24"/>
    <mergeCell ref="B27:M27"/>
    <mergeCell ref="B26:M26"/>
    <mergeCell ref="B29:M29"/>
    <mergeCell ref="B34:M34"/>
    <mergeCell ref="A38:B38"/>
    <mergeCell ref="H36:M36"/>
    <mergeCell ref="H37:M37"/>
    <mergeCell ref="A36:B36"/>
    <mergeCell ref="A37:B37"/>
    <mergeCell ref="A40:B40"/>
    <mergeCell ref="A39:B39"/>
    <mergeCell ref="D39:G39"/>
    <mergeCell ref="H38:M38"/>
    <mergeCell ref="H39:M39"/>
    <mergeCell ref="H40:M40"/>
    <mergeCell ref="D38:G38"/>
    <mergeCell ref="C46:M46"/>
    <mergeCell ref="A42:M42"/>
    <mergeCell ref="A18:M18"/>
    <mergeCell ref="B20:M20"/>
    <mergeCell ref="B21:M21"/>
    <mergeCell ref="B22:M22"/>
    <mergeCell ref="A35:M35"/>
    <mergeCell ref="A43:B43"/>
    <mergeCell ref="B25:M25"/>
    <mergeCell ref="A44:B44"/>
    <mergeCell ref="A19:M19"/>
    <mergeCell ref="H41:M41"/>
    <mergeCell ref="D40:G40"/>
    <mergeCell ref="D41:G41"/>
    <mergeCell ref="D43:F44"/>
    <mergeCell ref="A41:B41"/>
    <mergeCell ref="G43:M44"/>
    <mergeCell ref="A6:B6"/>
    <mergeCell ref="H7:J7"/>
    <mergeCell ref="A47:M47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6:B46"/>
  </mergeCells>
  <phoneticPr fontId="0" type="noConversion"/>
  <conditionalFormatting sqref="F9:F14 M9:M14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count="2">
    <dataValidation type="list" allowBlank="1" showInputMessage="1" showErrorMessage="1" sqref="K9:K14 D9:D14" xr:uid="{00000000-0002-0000-0000-000000000000}">
      <formula1>$Q$2:$Q$7</formula1>
    </dataValidation>
    <dataValidation type="list" allowBlank="1" showInputMessage="1" showErrorMessage="1" sqref="L9:L14 E9:E14" xr:uid="{00000000-0002-0000-0000-000001000000}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horizontalDpi="300" verticalDpi="300" copies="3" r:id="rId1"/>
  <headerFooter>
    <oddFooter>&amp;L&amp;8&amp;K000000Issue date: 03-03-2017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4"/>
  <sheetViews>
    <sheetView showWhiteSpace="0" view="pageLayout" topLeftCell="A18" workbookViewId="0">
      <selection activeCell="A11" sqref="A11:B11"/>
    </sheetView>
  </sheetViews>
  <sheetFormatPr defaultColWidth="9.1796875" defaultRowHeight="12.5" x14ac:dyDescent="0.25"/>
  <cols>
    <col min="1" max="1" width="4.453125" style="3" customWidth="1"/>
    <col min="2" max="2" width="9.453125" style="3" customWidth="1"/>
    <col min="3" max="3" width="13.54296875" style="3" customWidth="1"/>
    <col min="4" max="4" width="14" style="3" customWidth="1"/>
    <col min="5" max="5" width="13.81640625" style="3" customWidth="1"/>
    <col min="6" max="6" width="12.81640625" style="3" customWidth="1"/>
    <col min="7" max="7" width="13.81640625" style="3" customWidth="1"/>
    <col min="8" max="8" width="13.453125" style="3" customWidth="1"/>
    <col min="9" max="9" width="14.1796875" style="3" customWidth="1"/>
    <col min="10" max="10" width="13.1796875" style="3" customWidth="1"/>
    <col min="11" max="12" width="11.7265625" style="3" hidden="1" customWidth="1"/>
    <col min="13" max="14" width="9.1796875" style="3" hidden="1" customWidth="1"/>
    <col min="15" max="15" width="11.54296875" style="7" hidden="1" customWidth="1"/>
    <col min="16" max="16" width="13.26953125" style="3" hidden="1" customWidth="1"/>
    <col min="17" max="18" width="14.453125" style="3" hidden="1" customWidth="1"/>
    <col min="19" max="19" width="10.1796875" style="3" hidden="1" customWidth="1"/>
    <col min="20" max="21" width="9.1796875" style="3" hidden="1" customWidth="1"/>
    <col min="22" max="22" width="0.54296875" style="3" customWidth="1"/>
    <col min="23" max="23" width="2.453125" style="3" customWidth="1"/>
    <col min="24" max="16384" width="9.1796875" style="3"/>
  </cols>
  <sheetData>
    <row r="1" spans="1:22" ht="25.5" customHeight="1" x14ac:dyDescent="0.5">
      <c r="A1" s="210" t="s">
        <v>74</v>
      </c>
      <c r="B1" s="211"/>
      <c r="C1" s="212"/>
      <c r="D1" s="52"/>
      <c r="E1" s="53"/>
      <c r="F1" s="53"/>
      <c r="G1" s="54"/>
      <c r="H1" s="55"/>
      <c r="I1" s="193" t="s">
        <v>29</v>
      </c>
      <c r="J1" s="194"/>
      <c r="O1" s="14" t="s">
        <v>48</v>
      </c>
      <c r="P1" s="14" t="s">
        <v>49</v>
      </c>
      <c r="Q1" s="14" t="s">
        <v>50</v>
      </c>
      <c r="R1" s="14" t="s">
        <v>51</v>
      </c>
      <c r="S1" s="14" t="s">
        <v>52</v>
      </c>
      <c r="T1" s="14" t="s">
        <v>53</v>
      </c>
      <c r="U1" s="18" t="s">
        <v>54</v>
      </c>
      <c r="V1" s="2"/>
    </row>
    <row r="2" spans="1:22" ht="25.5" customHeight="1" x14ac:dyDescent="0.25">
      <c r="A2" s="213"/>
      <c r="B2" s="214"/>
      <c r="C2" s="215"/>
      <c r="D2" s="199" t="s">
        <v>139</v>
      </c>
      <c r="E2" s="181"/>
      <c r="F2" s="181"/>
      <c r="G2" s="181"/>
      <c r="H2" s="182"/>
      <c r="I2" s="195" t="s">
        <v>140</v>
      </c>
      <c r="J2" s="196"/>
      <c r="N2" s="7"/>
      <c r="O2" s="14">
        <v>1</v>
      </c>
      <c r="P2" s="14" t="s">
        <v>55</v>
      </c>
      <c r="Q2" s="15"/>
      <c r="R2" s="15"/>
      <c r="S2" s="15"/>
      <c r="T2" s="15"/>
      <c r="U2" s="18" t="s">
        <v>56</v>
      </c>
      <c r="V2" s="5"/>
    </row>
    <row r="3" spans="1:22" ht="25.5" customHeight="1" x14ac:dyDescent="0.25">
      <c r="A3" s="216"/>
      <c r="B3" s="217"/>
      <c r="C3" s="218"/>
      <c r="D3" s="79"/>
      <c r="E3" s="80"/>
      <c r="F3" s="80"/>
      <c r="G3" s="80"/>
      <c r="H3" s="81"/>
      <c r="I3" s="197" t="s">
        <v>81</v>
      </c>
      <c r="J3" s="198"/>
      <c r="K3" s="49"/>
      <c r="L3" s="49"/>
      <c r="M3" s="22"/>
    </row>
    <row r="4" spans="1:22" ht="17.5" customHeight="1" thickBot="1" x14ac:dyDescent="0.3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5.15" customHeight="1" thickBot="1" x14ac:dyDescent="0.35">
      <c r="A5" s="204" t="s">
        <v>90</v>
      </c>
      <c r="B5" s="205"/>
      <c r="C5" s="185" t="s">
        <v>141</v>
      </c>
      <c r="D5" s="186"/>
      <c r="E5" s="186"/>
      <c r="F5" s="186"/>
      <c r="G5" s="187"/>
      <c r="H5" s="185" t="s">
        <v>142</v>
      </c>
      <c r="I5" s="186"/>
      <c r="J5" s="186"/>
      <c r="K5" s="186"/>
      <c r="L5" s="187"/>
      <c r="M5" s="22"/>
    </row>
    <row r="6" spans="1:22" ht="20.25" customHeight="1" thickBot="1" x14ac:dyDescent="0.3">
      <c r="A6" s="206"/>
      <c r="B6" s="207"/>
      <c r="C6" s="188" t="s">
        <v>143</v>
      </c>
      <c r="D6" s="188" t="s">
        <v>144</v>
      </c>
      <c r="E6" s="188" t="s">
        <v>145</v>
      </c>
      <c r="F6" s="188" t="s">
        <v>146</v>
      </c>
      <c r="G6" s="188" t="s">
        <v>147</v>
      </c>
      <c r="H6" s="82" t="s">
        <v>30</v>
      </c>
      <c r="I6" s="82" t="s">
        <v>31</v>
      </c>
      <c r="J6" s="82" t="s">
        <v>32</v>
      </c>
      <c r="K6" s="21" t="s">
        <v>57</v>
      </c>
      <c r="L6" s="21" t="s">
        <v>58</v>
      </c>
      <c r="M6" s="22"/>
    </row>
    <row r="7" spans="1:22" ht="90" x14ac:dyDescent="0.25">
      <c r="A7" s="206"/>
      <c r="B7" s="207"/>
      <c r="C7" s="189"/>
      <c r="D7" s="189"/>
      <c r="E7" s="189"/>
      <c r="F7" s="189"/>
      <c r="G7" s="189"/>
      <c r="H7" s="83" t="s">
        <v>148</v>
      </c>
      <c r="I7" s="83" t="s">
        <v>149</v>
      </c>
      <c r="J7" s="83" t="s">
        <v>150</v>
      </c>
      <c r="K7" s="23" t="s">
        <v>59</v>
      </c>
      <c r="L7" s="23" t="s">
        <v>60</v>
      </c>
      <c r="M7" s="22"/>
    </row>
    <row r="8" spans="1:22" ht="12.75" customHeight="1" x14ac:dyDescent="0.25">
      <c r="A8" s="206"/>
      <c r="B8" s="207"/>
      <c r="C8" s="189"/>
      <c r="D8" s="189"/>
      <c r="E8" s="189"/>
      <c r="F8" s="189"/>
      <c r="G8" s="189"/>
      <c r="H8" s="183" t="s">
        <v>151</v>
      </c>
      <c r="I8" s="183" t="s">
        <v>152</v>
      </c>
      <c r="J8" s="183" t="s">
        <v>153</v>
      </c>
      <c r="K8" s="183" t="s">
        <v>61</v>
      </c>
      <c r="L8" s="183" t="s">
        <v>62</v>
      </c>
      <c r="M8" s="22"/>
    </row>
    <row r="9" spans="1:22" ht="40.5" customHeight="1" thickBot="1" x14ac:dyDescent="0.3">
      <c r="A9" s="208"/>
      <c r="B9" s="209"/>
      <c r="C9" s="190"/>
      <c r="D9" s="190"/>
      <c r="E9" s="190"/>
      <c r="F9" s="190"/>
      <c r="G9" s="190"/>
      <c r="H9" s="184"/>
      <c r="I9" s="184"/>
      <c r="J9" s="184"/>
      <c r="K9" s="184"/>
      <c r="L9" s="184"/>
      <c r="M9" s="22"/>
    </row>
    <row r="10" spans="1:22" ht="49.5" customHeight="1" x14ac:dyDescent="0.25">
      <c r="A10" s="200">
        <v>1</v>
      </c>
      <c r="B10" s="201"/>
      <c r="C10" s="38" t="s">
        <v>154</v>
      </c>
      <c r="D10" s="38" t="s">
        <v>155</v>
      </c>
      <c r="E10" s="38" t="s">
        <v>156</v>
      </c>
      <c r="F10" s="38" t="s">
        <v>157</v>
      </c>
      <c r="G10" s="39" t="s">
        <v>158</v>
      </c>
      <c r="H10" s="30" t="s">
        <v>33</v>
      </c>
      <c r="I10" s="31" t="s">
        <v>34</v>
      </c>
      <c r="J10" s="31" t="s">
        <v>35</v>
      </c>
      <c r="K10" s="40" t="s">
        <v>63</v>
      </c>
      <c r="L10" s="32" t="s">
        <v>64</v>
      </c>
      <c r="M10" s="22"/>
    </row>
    <row r="11" spans="1:22" ht="64.5" customHeight="1" x14ac:dyDescent="0.25">
      <c r="A11" s="202">
        <v>2</v>
      </c>
      <c r="B11" s="203"/>
      <c r="C11" s="24" t="s">
        <v>159</v>
      </c>
      <c r="D11" s="24" t="s">
        <v>168</v>
      </c>
      <c r="E11" s="38" t="s">
        <v>160</v>
      </c>
      <c r="F11" s="24" t="s">
        <v>161</v>
      </c>
      <c r="G11" s="28" t="s">
        <v>162</v>
      </c>
      <c r="H11" s="33" t="s">
        <v>36</v>
      </c>
      <c r="I11" s="34" t="s">
        <v>37</v>
      </c>
      <c r="J11" s="34" t="s">
        <v>38</v>
      </c>
      <c r="K11" s="35" t="s">
        <v>65</v>
      </c>
      <c r="L11" s="36" t="s">
        <v>66</v>
      </c>
      <c r="M11" s="22"/>
    </row>
    <row r="12" spans="1:22" ht="69" customHeight="1" x14ac:dyDescent="0.25">
      <c r="A12" s="202">
        <v>3</v>
      </c>
      <c r="B12" s="203"/>
      <c r="C12" s="24" t="s">
        <v>163</v>
      </c>
      <c r="D12" s="24" t="s">
        <v>167</v>
      </c>
      <c r="E12" s="38" t="s">
        <v>164</v>
      </c>
      <c r="F12" s="24" t="s">
        <v>165</v>
      </c>
      <c r="G12" s="28" t="s">
        <v>166</v>
      </c>
      <c r="H12" s="33" t="s">
        <v>39</v>
      </c>
      <c r="I12" s="34" t="s">
        <v>40</v>
      </c>
      <c r="J12" s="35" t="s">
        <v>41</v>
      </c>
      <c r="K12" s="35" t="s">
        <v>67</v>
      </c>
      <c r="L12" s="41" t="s">
        <v>68</v>
      </c>
      <c r="M12" s="22"/>
    </row>
    <row r="13" spans="1:22" ht="78.75" customHeight="1" x14ac:dyDescent="0.25">
      <c r="A13" s="202">
        <v>4</v>
      </c>
      <c r="B13" s="203"/>
      <c r="C13" s="24" t="s">
        <v>169</v>
      </c>
      <c r="D13" s="24" t="s">
        <v>170</v>
      </c>
      <c r="E13" s="38" t="s">
        <v>171</v>
      </c>
      <c r="F13" s="24" t="s">
        <v>172</v>
      </c>
      <c r="G13" s="28" t="s">
        <v>173</v>
      </c>
      <c r="H13" s="33" t="s">
        <v>42</v>
      </c>
      <c r="I13" s="35" t="s">
        <v>43</v>
      </c>
      <c r="J13" s="35" t="s">
        <v>44</v>
      </c>
      <c r="K13" s="42" t="s">
        <v>69</v>
      </c>
      <c r="L13" s="41" t="s">
        <v>70</v>
      </c>
      <c r="M13" s="22"/>
    </row>
    <row r="14" spans="1:22" ht="75" customHeight="1" thickBot="1" x14ac:dyDescent="0.3">
      <c r="A14" s="191">
        <v>5</v>
      </c>
      <c r="B14" s="192"/>
      <c r="C14" s="25" t="s">
        <v>174</v>
      </c>
      <c r="D14" s="25" t="s">
        <v>175</v>
      </c>
      <c r="E14" s="25" t="s">
        <v>176</v>
      </c>
      <c r="F14" s="25" t="s">
        <v>177</v>
      </c>
      <c r="G14" s="29" t="s">
        <v>178</v>
      </c>
      <c r="H14" s="45" t="s">
        <v>45</v>
      </c>
      <c r="I14" s="37" t="s">
        <v>46</v>
      </c>
      <c r="J14" s="43" t="s">
        <v>47</v>
      </c>
      <c r="K14" s="43" t="s">
        <v>71</v>
      </c>
      <c r="L14" s="44" t="s">
        <v>72</v>
      </c>
      <c r="M14" s="22"/>
    </row>
    <row r="15" spans="1:22" x14ac:dyDescent="0.25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30.75" customHeight="1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12" customHeight="1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ht="21.75" customHeight="1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ht="63" customHeigh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idden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34A5DBCF-E2DA-4D23-9549-E8E78AF171AB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faa5c77d-98fa-4e50-863f-182fb51ee117"/>
    <ds:schemaRef ds:uri="5470fdc2-d5b4-45ba-ae4a-b04105b307e7"/>
    <ds:schemaRef ds:uri="http://www.w3.org/XML/1998/namespace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Vitaliy Tolokonikov</cp:lastModifiedBy>
  <cp:lastPrinted>2014-11-10T14:56:30Z</cp:lastPrinted>
  <dcterms:created xsi:type="dcterms:W3CDTF">2011-02-21T14:14:41Z</dcterms:created>
  <dcterms:modified xsi:type="dcterms:W3CDTF">2024-07-21T11:58:36Z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