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324" codeName="{899C9086-67A9-5B14-2C2D-5A8001700F7D}"/>
  <workbookPr codeName="ThisWorkbook1"/>
  <mc:AlternateContent xmlns:mc="http://schemas.openxmlformats.org/markup-compatibility/2006">
    <mc:Choice Requires="x15">
      <x15ac:absPath xmlns:x15ac="http://schemas.microsoft.com/office/spreadsheetml/2010/11/ac" url="C:\Users\Vladislav\Desktop\SMS BOLLARD\Формы SMS\Forms 08 -Расследование происшествий\"/>
    </mc:Choice>
  </mc:AlternateContent>
  <xr:revisionPtr revIDLastSave="0" documentId="13_ncr:1_{4431FE06-DC74-4B68-9600-139B9E352631}" xr6:coauthVersionLast="47" xr6:coauthVersionMax="47" xr10:uidLastSave="{00000000-0000-0000-0000-000000000000}"/>
  <bookViews>
    <workbookView xWindow="-108" yWindow="-108" windowWidth="23256" windowHeight="12456" xr2:uid="{00000000-000D-0000-FFFF-FFFF00000000}"/>
  </bookViews>
  <sheets>
    <sheet name="Incident Report_отчет о НС" sheetId="1" r:id="rId1"/>
    <sheet name="Costs_Затраты" sheetId="6" r:id="rId2"/>
    <sheet name="Taproot_Анализ основных причин" sheetId="5" r:id="rId3"/>
    <sheet name="Data_Информация" sheetId="4" r:id="rId4"/>
    <sheet name="Revision Control" sheetId="3" state="hidden" r:id="rId5"/>
    <sheet name="Pull-down-menus" sheetId="2" state="hidden" r:id="rId6"/>
  </sheets>
  <definedNames>
    <definedName name="__xlnm._FilterDatabase">#N/A</definedName>
    <definedName name="__xlnm._FilterDatabase_1">'Pull-down-menus'!$B$2:$D$2</definedName>
    <definedName name="__xlnm._FilterDatabase_1_1">'Pull-down-menus'!$B$2:$D$2</definedName>
    <definedName name="__xlnm.Print_Area">'Incident Report_отчет о НС'!$B$1:$G$115</definedName>
    <definedName name="__xlnm.Print_Titles">'Incident Report_отчет о НС'!$1:$4</definedName>
    <definedName name="_xlnm._FilterDatabase" localSheetId="5" hidden="1">'Pull-down-menus'!$B$2:$AA$213</definedName>
    <definedName name="Africa">'Pull-down-menus'!$G$3:$G$10</definedName>
    <definedName name="Australia">'Pull-down-menus'!$G$11:$G$12</definedName>
    <definedName name="BodyPartHarmed">'Pull-down-menus'!$Q$3:$Q$13</definedName>
    <definedName name="Classification">'Pull-down-menus'!$S$3:$S$30</definedName>
    <definedName name="Client">'Pull-down-menus'!$D$3:$D$55</definedName>
    <definedName name="Communications">'Pull-down-menus'!$AR$10:$AR$12</definedName>
    <definedName name="Company">'Pull-down-menus'!$C$3:$C$5</definedName>
    <definedName name="Complex_system">'Pull-down-menus'!$AS$86:$AS$87</definedName>
    <definedName name="Corrective_action">'Pull-down-menus'!$AS$67:$AS$69</definedName>
    <definedName name="Country">'Pull-down-menus'!$G$3:$G$31</definedName>
    <definedName name="Current">'Pull-down-menus'!$L$3:$L$6</definedName>
    <definedName name="DirectCause">'Pull-down-menus'!$V$3:$V$19</definedName>
    <definedName name="Direction">'Pull-down-menus'!$K$3:$K$5</definedName>
    <definedName name="E1_Management">'Pull-down-menus'!$AE$3:$AE$6</definedName>
    <definedName name="E10_Environment">'Pull-down-menus'!$AO$3:$AO$4</definedName>
    <definedName name="E11_Emergencies">'Pull-down-menus'!$AP$3:$AP$6</definedName>
    <definedName name="E12_Measurement_Analysis_Improvement">'Pull-down-menus'!$AQ$3:$AQ$6</definedName>
    <definedName name="E2_Personnel">'Pull-down-menus'!$AF$3</definedName>
    <definedName name="E3_Vessel_Personnel">'Pull-down-menus'!$AH$3:$AH$8</definedName>
    <definedName name="E4_Reliability_Maintenance">'Pull-down-menus'!$AI$3:$AI$8</definedName>
    <definedName name="E5_Navigation">'Pull-down-menus'!$AJ$3:$AJ$7</definedName>
    <definedName name="E6_Operations_Contracts">'Pull-down-menus'!$AK$3:$AK$12</definedName>
    <definedName name="E7_Man_of_Change">'Pull-down-menus'!$AL$3:$AL$5</definedName>
    <definedName name="E8_Incidents">'Pull-down-menus'!$AM$3</definedName>
    <definedName name="E9_Safety">'Pull-down-menus'!$AN$3:$AN$12</definedName>
    <definedName name="element">'Pull-down-menus'!$AD$3:$AD$14</definedName>
    <definedName name="Europe">'Pull-down-menus'!$G$13:$G$18</definedName>
    <definedName name="fields">'Incident Report_отчет о НС'!$B$7,'Incident Report_отчет о НС'!$C$7,'Incident Report_отчет о НС'!$D$7,'Incident Report_отчет о НС'!$E$7,'Incident Report_отчет о НС'!#REF!,'Incident Report_отчет о НС'!#REF!,'Incident Report_отчет о НС'!#REF!,'Incident Report_отчет о НС'!#REF!,'Incident Report_отчет о НС'!#REF!,'Incident Report_отчет о НС'!#REF!,'Incident Report_отчет о НС'!$C$12,'Incident Report_отчет о НС'!$C$13,'Incident Report_отчет о НС'!$E$12,'Incident Report_отчет о НС'!$E$13,'Incident Report_отчет о НС'!$G$12,'Incident Report_отчет о НС'!$G$13,'Incident Report_отчет о НС'!$C$15,'Incident Report_отчет о НС'!$B$19,'Incident Report_отчет о НС'!$D$19,'Incident Report_отчет о НС'!$F$19,'Incident Report_отчет о НС'!#REF!,'Incident Report_отчет о НС'!#REF!,'Incident Report_отчет о НС'!#REF!,'Incident Report_отчет о НС'!#REF!,'Incident Report_отчет о НС'!#REF!,'Incident Report_отчет о НС'!#REF!,'Incident Report_отчет о НС'!#REF!,'Incident Report_отчет о НС'!#REF!,'Incident Report_отчет о НС'!#REF!,'Incident Report_отчет о НС'!$B$28,'Incident Report_отчет о НС'!$D$28,'Incident Report_отчет о НС'!$F$28,'Incident Report_отчет о НС'!$B$30,'Incident Report_отчет о НС'!$C$30,'Incident Report_отчет о НС'!$D$30,'Incident Report_отчет о НС'!$F$30,'Incident Report_отчет о НС'!$B$32,'Incident Report_отчет о НС'!$D$32,'Incident Report_отчет о НС'!$F$32,'Incident Report_отчет о НС'!$D$34,'Incident Report_отчет о НС'!$D$35,'Incident Report_отчет о НС'!$D$36,'Incident Report_отчет о НС'!$D$37,'Incident Report_отчет о НС'!$D$38</definedName>
    <definedName name="Flagstate">'Pull-down-menus'!$X$3:$X$21</definedName>
    <definedName name="Followed_incorrectly">'Pull-down-menus'!$AS$13:$AS$25</definedName>
    <definedName name="Human_engineering">'Pull-down-menus'!$AR$17:$AR$20</definedName>
    <definedName name="Human_Machine_interface">'Pull-down-menus'!$AS$70:$AS$76</definedName>
    <definedName name="Humanengineering">'Pull-down-menus'!$AR$17:$AR$20</definedName>
    <definedName name="Inspection_and_control">'Pull-down-menus'!$AR$8:$AR$9</definedName>
    <definedName name="IP_Rank">'Pull-down-menus'!$O$3:$O$27</definedName>
    <definedName name="ISM_Manager">'Pull-down-menus'!$E$4:$E$6</definedName>
    <definedName name="leadership_work_direction">'Pull-down-menus'!$AR$21:$AR$23</definedName>
    <definedName name="Location">'Pull-down-menus'!$T$3:$T$18</definedName>
    <definedName name="management">'Pull-down-menus'!$AR$13:$AR$16</definedName>
    <definedName name="MEIS">'Pull-down-menus'!$G$19:$G$30</definedName>
    <definedName name="Misunderstood_verbal_comm.">'Pull-down-menus'!$AS$47:$AS$51</definedName>
    <definedName name="Nigeria">'Pull-down-menus'!$G$31</definedName>
    <definedName name="No_comm._or_not_timely">'Pull-down-menus'!$AS$42:$AS$43</definedName>
    <definedName name="No_inspection">'Pull-down-menus'!$AS$36:$AS$38</definedName>
    <definedName name="No_training">'Pull-down-menus'!$AS$26:$AS$29</definedName>
    <definedName name="Non_fault_tolerant_system">'Pull-down-menus'!$AS$88:$AS$89</definedName>
    <definedName name="Not_used_Not_followed">'Pull-down-menus'!$AS$3:$AS$6</definedName>
    <definedName name="Oversight_or_Employee_relations">'Pull-down-menus'!$AS$62:$AS$66</definedName>
    <definedName name="Preparation">'Pull-down-menus'!$AS$90:$AS$96</definedName>
    <definedName name="QC_NI">'Pull-down-menus'!$AS$39:$AS$41</definedName>
    <definedName name="Region">'Pull-down-menus'!$F$3:$F$7</definedName>
    <definedName name="rootcause">'Pull-down-menus'!$W$3:$W$9</definedName>
    <definedName name="SeaSwell">'Pull-down-menus'!$J$3:$J$5</definedName>
    <definedName name="Selection_of_worker">'Pull-down-menus'!$AS$97:$AS$101</definedName>
    <definedName name="Shipsname">'Pull-down-menus'!$Z$3:$Z$240</definedName>
    <definedName name="SLIMS_Procedures">'Pull-down-menus'!$AR$3:$AR$5</definedName>
    <definedName name="SLIMS1">'Pull-down-menus'!$AE$3:$AE$6</definedName>
    <definedName name="Stand_Pol_or_Adm_controls_NI">'Pull-down-menus'!$AS$52:$AS$56</definedName>
    <definedName name="Stand_Pol_or_Adm_controls_not_used">'Pull-down-menus'!$AS$57:$AS$61</definedName>
    <definedName name="Supervision_during_work">'Pull-down-menus'!$AS$102:$AS$103</definedName>
    <definedName name="Task">'Pull-down-menus'!$U$3:$U$35</definedName>
    <definedName name="Training">'Pull-down-menus'!$AR$6:$AR$7</definedName>
    <definedName name="Turnover_NI">'Pull-down-menus'!$AS$44:$AS$46</definedName>
    <definedName name="Type_of_incident">'Pull-down-menus'!$B$3:$B$12</definedName>
    <definedName name="TypeOfDamage">'Pull-down-menus'!$R$3:$R$22</definedName>
    <definedName name="TypeOfInjury">'Pull-down-menus'!$P$3:$P$15</definedName>
    <definedName name="Understanding_NI">'Pull-down-menus'!$AS$30:$AS$35</definedName>
    <definedName name="VesselType">'Pull-down-menus'!$H$3:$H$10</definedName>
    <definedName name="Visibility">'Pull-down-menus'!$N$3:$N$5</definedName>
    <definedName name="Wind">'Pull-down-menus'!$M$3:$M$6</definedName>
    <definedName name="Work_environment">'Pull-down-menus'!$AS$77:$AS$85</definedName>
    <definedName name="Wrong">'Pull-down-menus'!$AS$7:$AS$12</definedName>
    <definedName name="YesNo">'Pull-down-menus'!$I$3:$I$5</definedName>
    <definedName name="_xlnm.Print_Titles" localSheetId="0">'Incident Report_отчет о НС'!$1:$4</definedName>
    <definedName name="_xlnm.Print_Area" localSheetId="0">'Incident Report_отчет о НС'!$B$1:$G$115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4" l="1"/>
  <c r="AA2" i="4" l="1"/>
  <c r="Z2" i="4"/>
  <c r="Y2" i="4"/>
  <c r="X2" i="4"/>
  <c r="W2" i="4"/>
  <c r="V2" i="4"/>
  <c r="U2" i="4"/>
  <c r="T2" i="4"/>
  <c r="S2" i="4"/>
  <c r="R2" i="4"/>
  <c r="Q2" i="4"/>
  <c r="P2" i="4"/>
  <c r="O2" i="4"/>
  <c r="N2" i="4"/>
  <c r="M2" i="4"/>
  <c r="L2" i="4"/>
  <c r="K2" i="4"/>
  <c r="J2" i="4"/>
  <c r="H2" i="4"/>
  <c r="G2" i="4"/>
  <c r="F2" i="4"/>
  <c r="E2" i="4"/>
  <c r="D2" i="4"/>
  <c r="C2" i="4"/>
  <c r="B2" i="4"/>
  <c r="AB2" i="4" l="1"/>
  <c r="B2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500-000001000000}">
      <text>
        <r>
          <rPr>
            <b/>
            <sz val="8"/>
            <color indexed="8"/>
            <rFont val="Tahoma"/>
            <family val="2"/>
            <charset val="1"/>
          </rPr>
          <t xml:space="preserve">Goon Scheres:
</t>
        </r>
        <r>
          <rPr>
            <sz val="8"/>
            <color indexed="8"/>
            <rFont val="Tahoma"/>
            <family val="2"/>
            <charset val="1"/>
          </rPr>
          <t>Name range: Type_of_Incident</t>
        </r>
      </text>
    </comment>
    <comment ref="C2" authorId="0" shapeId="0" xr:uid="{00000000-0006-0000-0500-000002000000}">
      <text>
        <r>
          <rPr>
            <b/>
            <sz val="8"/>
            <color indexed="8"/>
            <rFont val="Tahoma"/>
            <family val="2"/>
            <charset val="1"/>
          </rPr>
          <t xml:space="preserve">Goon Scheres:
</t>
        </r>
        <r>
          <rPr>
            <sz val="8"/>
            <color indexed="8"/>
            <rFont val="Tahoma"/>
            <family val="2"/>
            <charset val="1"/>
          </rPr>
          <t>Name range: YESNO</t>
        </r>
      </text>
    </comment>
    <comment ref="D2" authorId="0" shapeId="0" xr:uid="{00000000-0006-0000-0500-000003000000}">
      <text>
        <r>
          <rPr>
            <b/>
            <sz val="8"/>
            <color indexed="8"/>
            <rFont val="Tahoma"/>
            <family val="2"/>
            <charset val="1"/>
          </rPr>
          <t xml:space="preserve">Goon Scheres:
</t>
        </r>
        <r>
          <rPr>
            <sz val="8"/>
            <color indexed="8"/>
            <rFont val="Tahoma"/>
            <family val="2"/>
            <charset val="1"/>
          </rPr>
          <t xml:space="preserve">Name range: Client
</t>
        </r>
      </text>
    </comment>
    <comment ref="E2" authorId="0" shapeId="0" xr:uid="{00000000-0006-0000-0500-000004000000}">
      <text>
        <r>
          <rPr>
            <b/>
            <sz val="8"/>
            <color indexed="8"/>
            <rFont val="Tahoma"/>
            <family val="2"/>
            <charset val="1"/>
          </rPr>
          <t xml:space="preserve">Goon Scheres:
</t>
        </r>
        <r>
          <rPr>
            <sz val="8"/>
            <color indexed="8"/>
            <rFont val="Tahoma"/>
            <family val="2"/>
            <charset val="1"/>
          </rPr>
          <t>Name range: ISM_Manager</t>
        </r>
      </text>
    </comment>
    <comment ref="F2" authorId="0" shapeId="0" xr:uid="{00000000-0006-0000-0500-000005000000}">
      <text>
        <r>
          <rPr>
            <b/>
            <sz val="8"/>
            <color indexed="8"/>
            <rFont val="Tahoma"/>
            <family val="2"/>
            <charset val="1"/>
          </rPr>
          <t xml:space="preserve">Goon Scheres:
</t>
        </r>
        <r>
          <rPr>
            <sz val="8"/>
            <color indexed="8"/>
            <rFont val="Tahoma"/>
            <family val="2"/>
            <charset val="1"/>
          </rPr>
          <t>Name range: Region</t>
        </r>
      </text>
    </comment>
    <comment ref="G2" authorId="0" shapeId="0" xr:uid="{00000000-0006-0000-0500-000006000000}">
      <text>
        <r>
          <rPr>
            <b/>
            <sz val="8"/>
            <color indexed="8"/>
            <rFont val="Tahoma"/>
            <family val="2"/>
            <charset val="1"/>
          </rPr>
          <t xml:space="preserve">Goon Scheres:
</t>
        </r>
        <r>
          <rPr>
            <sz val="8"/>
            <color indexed="8"/>
            <rFont val="Tahoma"/>
            <family val="2"/>
            <charset val="1"/>
          </rPr>
          <t>Name range: Country</t>
        </r>
      </text>
    </comment>
    <comment ref="H2" authorId="0" shapeId="0" xr:uid="{00000000-0006-0000-0500-000007000000}">
      <text>
        <r>
          <rPr>
            <b/>
            <sz val="8"/>
            <color indexed="8"/>
            <rFont val="Tahoma"/>
            <family val="2"/>
            <charset val="1"/>
          </rPr>
          <t xml:space="preserve">Goon Scheres:
</t>
        </r>
        <r>
          <rPr>
            <sz val="8"/>
            <color indexed="8"/>
            <rFont val="Tahoma"/>
            <family val="2"/>
            <charset val="1"/>
          </rPr>
          <t>Name range: VesselType</t>
        </r>
      </text>
    </comment>
    <comment ref="I2" authorId="0" shapeId="0" xr:uid="{00000000-0006-0000-0500-000008000000}">
      <text>
        <r>
          <rPr>
            <b/>
            <sz val="8"/>
            <color indexed="8"/>
            <rFont val="Tahoma"/>
            <family val="2"/>
            <charset val="1"/>
          </rPr>
          <t xml:space="preserve">Goon Scheres:
</t>
        </r>
        <r>
          <rPr>
            <sz val="8"/>
            <color indexed="8"/>
            <rFont val="Tahoma"/>
            <family val="2"/>
            <charset val="1"/>
          </rPr>
          <t>Name range: YESNO</t>
        </r>
      </text>
    </comment>
    <comment ref="J2" authorId="0" shapeId="0" xr:uid="{00000000-0006-0000-0500-000009000000}">
      <text>
        <r>
          <rPr>
            <b/>
            <sz val="8"/>
            <color indexed="8"/>
            <rFont val="Tahoma"/>
            <family val="2"/>
            <charset val="1"/>
          </rPr>
          <t xml:space="preserve">Goon Scheres:
</t>
        </r>
        <r>
          <rPr>
            <sz val="8"/>
            <color indexed="8"/>
            <rFont val="Tahoma"/>
            <family val="2"/>
            <charset val="1"/>
          </rPr>
          <t>Name range: SeaSwell</t>
        </r>
      </text>
    </comment>
    <comment ref="K2" authorId="0" shapeId="0" xr:uid="{00000000-0006-0000-0500-00000A000000}">
      <text>
        <r>
          <rPr>
            <b/>
            <sz val="8"/>
            <color indexed="8"/>
            <rFont val="Tahoma"/>
            <family val="2"/>
            <charset val="1"/>
          </rPr>
          <t xml:space="preserve">Goon Scheres:
</t>
        </r>
        <r>
          <rPr>
            <sz val="8"/>
            <color indexed="8"/>
            <rFont val="Tahoma"/>
            <family val="2"/>
            <charset val="1"/>
          </rPr>
          <t>Name range: Direction</t>
        </r>
      </text>
    </comment>
    <comment ref="L2" authorId="0" shapeId="0" xr:uid="{00000000-0006-0000-0500-00000B000000}">
      <text>
        <r>
          <rPr>
            <b/>
            <sz val="8"/>
            <color indexed="8"/>
            <rFont val="Tahoma"/>
            <family val="2"/>
            <charset val="1"/>
          </rPr>
          <t xml:space="preserve">Goon Scheres:
</t>
        </r>
        <r>
          <rPr>
            <sz val="8"/>
            <color indexed="8"/>
            <rFont val="Tahoma"/>
            <family val="2"/>
            <charset val="1"/>
          </rPr>
          <t>Name range: Current</t>
        </r>
      </text>
    </comment>
    <comment ref="M2" authorId="0" shapeId="0" xr:uid="{00000000-0006-0000-0500-00000C000000}">
      <text>
        <r>
          <rPr>
            <b/>
            <sz val="8"/>
            <color indexed="8"/>
            <rFont val="Tahoma"/>
            <family val="2"/>
            <charset val="1"/>
          </rPr>
          <t xml:space="preserve">Goon Scheres:
</t>
        </r>
        <r>
          <rPr>
            <sz val="8"/>
            <color indexed="8"/>
            <rFont val="Tahoma"/>
            <family val="2"/>
            <charset val="1"/>
          </rPr>
          <t>Name range: Wind</t>
        </r>
      </text>
    </comment>
    <comment ref="N2" authorId="0" shapeId="0" xr:uid="{00000000-0006-0000-0500-00000D000000}">
      <text>
        <r>
          <rPr>
            <b/>
            <sz val="8"/>
            <color indexed="8"/>
            <rFont val="Tahoma"/>
            <family val="2"/>
            <charset val="1"/>
          </rPr>
          <t xml:space="preserve">Goon Scheres:
</t>
        </r>
        <r>
          <rPr>
            <sz val="8"/>
            <color indexed="8"/>
            <rFont val="Tahoma"/>
            <family val="2"/>
            <charset val="1"/>
          </rPr>
          <t xml:space="preserve">Name range: Visibility
</t>
        </r>
      </text>
    </comment>
    <comment ref="O2" authorId="0" shapeId="0" xr:uid="{00000000-0006-0000-0500-00000E000000}">
      <text>
        <r>
          <rPr>
            <b/>
            <sz val="8"/>
            <color indexed="8"/>
            <rFont val="Tahoma"/>
            <family val="2"/>
            <charset val="1"/>
          </rPr>
          <t xml:space="preserve">Goon Scheres:
</t>
        </r>
        <r>
          <rPr>
            <sz val="8"/>
            <color indexed="8"/>
            <rFont val="Tahoma"/>
            <family val="2"/>
            <charset val="1"/>
          </rPr>
          <t>Name range: IP_Rank</t>
        </r>
      </text>
    </comment>
    <comment ref="P2" authorId="0" shapeId="0" xr:uid="{00000000-0006-0000-0500-00000F000000}">
      <text>
        <r>
          <rPr>
            <b/>
            <sz val="8"/>
            <color indexed="8"/>
            <rFont val="Tahoma"/>
            <family val="2"/>
            <charset val="1"/>
          </rPr>
          <t xml:space="preserve">Goon Scheres:
</t>
        </r>
        <r>
          <rPr>
            <sz val="8"/>
            <color indexed="8"/>
            <rFont val="Tahoma"/>
            <family val="2"/>
            <charset val="1"/>
          </rPr>
          <t>Name range: TypeOfInjury</t>
        </r>
      </text>
    </comment>
    <comment ref="Q2" authorId="0" shapeId="0" xr:uid="{00000000-0006-0000-0500-000010000000}">
      <text>
        <r>
          <rPr>
            <b/>
            <sz val="8"/>
            <color indexed="8"/>
            <rFont val="Tahoma"/>
            <family val="2"/>
            <charset val="1"/>
          </rPr>
          <t xml:space="preserve">Goon Scheres:
</t>
        </r>
        <r>
          <rPr>
            <sz val="8"/>
            <color indexed="8"/>
            <rFont val="Tahoma"/>
            <family val="2"/>
            <charset val="1"/>
          </rPr>
          <t>Name range: BodyPartHarmed</t>
        </r>
      </text>
    </comment>
    <comment ref="R2" authorId="0" shapeId="0" xr:uid="{00000000-0006-0000-0500-000011000000}">
      <text>
        <r>
          <rPr>
            <b/>
            <sz val="8"/>
            <color indexed="8"/>
            <rFont val="Tahoma"/>
            <family val="2"/>
            <charset val="1"/>
          </rPr>
          <t xml:space="preserve">Goon Scheres:
</t>
        </r>
        <r>
          <rPr>
            <sz val="8"/>
            <color indexed="8"/>
            <rFont val="Tahoma"/>
            <family val="2"/>
            <charset val="1"/>
          </rPr>
          <t>Name range: TypeOfDamage</t>
        </r>
      </text>
    </comment>
    <comment ref="S2" authorId="0" shapeId="0" xr:uid="{00000000-0006-0000-0500-000012000000}">
      <text>
        <r>
          <rPr>
            <b/>
            <sz val="8"/>
            <color indexed="8"/>
            <rFont val="Tahoma"/>
            <family val="2"/>
            <charset val="1"/>
          </rPr>
          <t xml:space="preserve">Goon Scheres:
</t>
        </r>
        <r>
          <rPr>
            <sz val="8"/>
            <color indexed="8"/>
            <rFont val="Tahoma"/>
            <family val="2"/>
            <charset val="1"/>
          </rPr>
          <t>Name range: Classification</t>
        </r>
      </text>
    </comment>
    <comment ref="U2" authorId="0" shapeId="0" xr:uid="{00000000-0006-0000-0500-000013000000}">
      <text>
        <r>
          <rPr>
            <b/>
            <sz val="8"/>
            <color indexed="8"/>
            <rFont val="Tahoma"/>
            <family val="2"/>
            <charset val="1"/>
          </rPr>
          <t xml:space="preserve">Goon Scheres:
</t>
        </r>
        <r>
          <rPr>
            <sz val="8"/>
            <color indexed="8"/>
            <rFont val="Tahoma"/>
            <family val="2"/>
            <charset val="1"/>
          </rPr>
          <t>Name range: Task</t>
        </r>
      </text>
    </comment>
    <comment ref="V2" authorId="0" shapeId="0" xr:uid="{00000000-0006-0000-0500-000014000000}">
      <text>
        <r>
          <rPr>
            <b/>
            <sz val="8"/>
            <color indexed="8"/>
            <rFont val="Tahoma"/>
            <family val="2"/>
            <charset val="1"/>
          </rPr>
          <t xml:space="preserve">Goon Scheres:
</t>
        </r>
        <r>
          <rPr>
            <sz val="8"/>
            <color indexed="8"/>
            <rFont val="Tahoma"/>
            <family val="2"/>
            <charset val="1"/>
          </rPr>
          <t>Name range: DirectCause</t>
        </r>
      </text>
    </comment>
    <comment ref="X2" authorId="0" shapeId="0" xr:uid="{00000000-0006-0000-0500-000015000000}">
      <text>
        <r>
          <rPr>
            <b/>
            <sz val="8"/>
            <color indexed="8"/>
            <rFont val="Tahoma"/>
            <family val="2"/>
            <charset val="1"/>
          </rPr>
          <t xml:space="preserve">Goon Scheres:
</t>
        </r>
        <r>
          <rPr>
            <sz val="8"/>
            <color indexed="8"/>
            <rFont val="Tahoma"/>
            <family val="2"/>
            <charset val="1"/>
          </rPr>
          <t>Name range: Flagstate</t>
        </r>
      </text>
    </comment>
  </commentList>
</comments>
</file>

<file path=xl/sharedStrings.xml><?xml version="1.0" encoding="utf-8"?>
<sst xmlns="http://schemas.openxmlformats.org/spreadsheetml/2006/main" count="1147" uniqueCount="1046">
  <si>
    <t>Nigeria</t>
  </si>
  <si>
    <t>Yes</t>
  </si>
  <si>
    <t>Company</t>
  </si>
  <si>
    <t>Body Part Harmed</t>
  </si>
  <si>
    <t xml:space="preserve">F. </t>
  </si>
  <si>
    <t xml:space="preserve">   </t>
  </si>
  <si>
    <t>Type of Incident</t>
  </si>
  <si>
    <t>Client</t>
  </si>
  <si>
    <t>ISM Ship Manager</t>
  </si>
  <si>
    <t>Region</t>
  </si>
  <si>
    <t>Vessel Type</t>
  </si>
  <si>
    <t>Yes / No</t>
  </si>
  <si>
    <t>Sea / Swell</t>
  </si>
  <si>
    <t>Direction</t>
  </si>
  <si>
    <t>Current</t>
  </si>
  <si>
    <t>Wind</t>
  </si>
  <si>
    <t>Visibility</t>
  </si>
  <si>
    <t>IP Rank</t>
  </si>
  <si>
    <t>Type of Injury</t>
  </si>
  <si>
    <t>Type of Damage</t>
  </si>
  <si>
    <t>Classification</t>
  </si>
  <si>
    <t>Location</t>
  </si>
  <si>
    <t>Task</t>
  </si>
  <si>
    <t>Caused by</t>
  </si>
  <si>
    <t>Country</t>
  </si>
  <si>
    <t>Flag State</t>
  </si>
  <si>
    <t>ISM ?</t>
  </si>
  <si>
    <t>Breach of Conduct</t>
  </si>
  <si>
    <t>SL</t>
  </si>
  <si>
    <t>Australia</t>
  </si>
  <si>
    <t>Calm</t>
  </si>
  <si>
    <t>Bow</t>
  </si>
  <si>
    <t>0 - 1 knots</t>
  </si>
  <si>
    <t>0 - 10 knots</t>
  </si>
  <si>
    <t>Good</t>
  </si>
  <si>
    <t>Asphyxiation</t>
  </si>
  <si>
    <t>Arm(s)</t>
  </si>
  <si>
    <t>Blackout/DP run off</t>
  </si>
  <si>
    <t>First Aid Case (FAC)</t>
  </si>
  <si>
    <t>Accommodation</t>
  </si>
  <si>
    <t>Anchor operations</t>
  </si>
  <si>
    <t>Chemicals</t>
  </si>
  <si>
    <t>Bahamas</t>
  </si>
  <si>
    <t>Collision</t>
  </si>
  <si>
    <t>Contractor</t>
  </si>
  <si>
    <t>Gabon</t>
  </si>
  <si>
    <t>AHTS</t>
  </si>
  <si>
    <t>No</t>
  </si>
  <si>
    <t>Moderate</t>
  </si>
  <si>
    <t>Stern</t>
  </si>
  <si>
    <t>1 - 2 knots</t>
  </si>
  <si>
    <t>10 - 20 knots</t>
  </si>
  <si>
    <t>Fair</t>
  </si>
  <si>
    <t>Broken/fractured bone</t>
  </si>
  <si>
    <t>Back</t>
  </si>
  <si>
    <t>Cargo damage</t>
  </si>
  <si>
    <t>Medical Treatement Case (MTC)</t>
  </si>
  <si>
    <t xml:space="preserve">Ashore </t>
  </si>
  <si>
    <t>Bunker operations</t>
  </si>
  <si>
    <t>Incompetence</t>
  </si>
  <si>
    <t>Training</t>
  </si>
  <si>
    <t>Damage to Assets</t>
  </si>
  <si>
    <t>African Minerals</t>
  </si>
  <si>
    <t>Barge</t>
  </si>
  <si>
    <t>N.A.</t>
  </si>
  <si>
    <t>Rough</t>
  </si>
  <si>
    <t>Abeam</t>
  </si>
  <si>
    <t>2 - 3 knots</t>
  </si>
  <si>
    <t>20 - 30 knots</t>
  </si>
  <si>
    <t>Poor</t>
  </si>
  <si>
    <t>Bruise</t>
  </si>
  <si>
    <t>Ear(s)</t>
  </si>
  <si>
    <t>Collision with offshore installation</t>
  </si>
  <si>
    <t>Restricted Work Case (RWC)</t>
  </si>
  <si>
    <t>At sea/towing/surveying</t>
  </si>
  <si>
    <t>Cargo operations back-loading at location</t>
  </si>
  <si>
    <t>D&amp;A</t>
  </si>
  <si>
    <t>Communications</t>
  </si>
  <si>
    <t>Bonaire</t>
  </si>
  <si>
    <t>Damage to the Environment</t>
  </si>
  <si>
    <t>&gt; 3 knots</t>
  </si>
  <si>
    <t>&gt; 30 knots</t>
  </si>
  <si>
    <t>Chemical/hot/cold burn</t>
  </si>
  <si>
    <t>Eye(s)</t>
  </si>
  <si>
    <t>Collision with other offshore object</t>
  </si>
  <si>
    <t>Lost Work Case (LWC)</t>
  </si>
  <si>
    <t>At sea/on passage</t>
  </si>
  <si>
    <t>Cargo operations discharging at location</t>
  </si>
  <si>
    <t>DP failure</t>
  </si>
  <si>
    <t>Cameroon</t>
  </si>
  <si>
    <t>Georgia</t>
  </si>
  <si>
    <t>Personal Injury (SL)</t>
  </si>
  <si>
    <t>DSV</t>
  </si>
  <si>
    <t>AB/OS/Deckhand</t>
  </si>
  <si>
    <t>Crush</t>
  </si>
  <si>
    <t>Foot/toe</t>
  </si>
  <si>
    <t>Collision with other vessel</t>
  </si>
  <si>
    <t>Permanent Partial Disability (PPD)</t>
  </si>
  <si>
    <t>Boat landing</t>
  </si>
  <si>
    <t>Cargo operations discharging in port</t>
  </si>
  <si>
    <t>Environmental Conditions/Weather</t>
  </si>
  <si>
    <t>Human Engineering</t>
  </si>
  <si>
    <t>Eq. Guinea</t>
  </si>
  <si>
    <t>Kuwait</t>
  </si>
  <si>
    <t>Personal Injury (Contractor)</t>
  </si>
  <si>
    <t>Apache</t>
  </si>
  <si>
    <t>Russia</t>
  </si>
  <si>
    <t>Line Handler</t>
  </si>
  <si>
    <t>Bosun</t>
  </si>
  <si>
    <t>Cut</t>
  </si>
  <si>
    <t>Hand/fingers(s)</t>
  </si>
  <si>
    <t>Collision with quay/other port object</t>
  </si>
  <si>
    <t>Permanent Total Disability (PTD)</t>
  </si>
  <si>
    <t>Coastal/river/channel passage</t>
  </si>
  <si>
    <t>Cargo operations loading in port</t>
  </si>
  <si>
    <t>Failure of PPE application</t>
  </si>
  <si>
    <t>APM Terminals</t>
  </si>
  <si>
    <t>U.A.E.</t>
  </si>
  <si>
    <t>Chief Engineer</t>
  </si>
  <si>
    <t>Dislocation</t>
  </si>
  <si>
    <t>Head/ face</t>
  </si>
  <si>
    <t xml:space="preserve">Equipment damage </t>
  </si>
  <si>
    <t>Fatality (FAT)</t>
  </si>
  <si>
    <t>Deck</t>
  </si>
  <si>
    <t xml:space="preserve">Cleaning </t>
  </si>
  <si>
    <t>Fatigue</t>
  </si>
  <si>
    <t>Work Related Illness</t>
  </si>
  <si>
    <t>ARAMCO</t>
  </si>
  <si>
    <t>Chief Officer</t>
  </si>
  <si>
    <t>Electrical Shock</t>
  </si>
  <si>
    <t>Leg(s)</t>
  </si>
  <si>
    <t>Fire</t>
  </si>
  <si>
    <t>Spill: slight effect - contained</t>
  </si>
  <si>
    <t>Enclosed space</t>
  </si>
  <si>
    <t>DP</t>
  </si>
  <si>
    <t>Haste</t>
  </si>
  <si>
    <t>Ghana</t>
  </si>
  <si>
    <t>Singapore</t>
  </si>
  <si>
    <t>Third Party</t>
  </si>
  <si>
    <t>Cook/catering</t>
  </si>
  <si>
    <t>Foreign particle in body</t>
  </si>
  <si>
    <t>Lower Torso</t>
  </si>
  <si>
    <t>Fouled propeller/rudder</t>
  </si>
  <si>
    <t>Spill: slight effect - to sea</t>
  </si>
  <si>
    <t>ER</t>
  </si>
  <si>
    <t>Dry-Docking</t>
  </si>
  <si>
    <t>Heat/Cold</t>
  </si>
  <si>
    <t>India</t>
  </si>
  <si>
    <t>Tug</t>
  </si>
  <si>
    <t>Crane driver</t>
  </si>
  <si>
    <t>Loss of consciousness</t>
  </si>
  <si>
    <t>Neck/Throat</t>
  </si>
  <si>
    <t>Grounding/aground</t>
  </si>
  <si>
    <t>Spill: Minor effect &lt;10 litres contained</t>
  </si>
  <si>
    <t>Galley</t>
  </si>
  <si>
    <t>Flotel</t>
  </si>
  <si>
    <t>Manual handling</t>
  </si>
  <si>
    <t>Iran</t>
  </si>
  <si>
    <t>Deck Trainee</t>
  </si>
  <si>
    <t>Man Overboard</t>
  </si>
  <si>
    <t>Upper Torso</t>
  </si>
  <si>
    <t>Grounding/touching bottom</t>
  </si>
  <si>
    <t>Spill: Minor effect &lt;10 litres to sea</t>
  </si>
  <si>
    <t>In Port/alongside</t>
  </si>
  <si>
    <t>Galley/food preparation</t>
  </si>
  <si>
    <t>Navigation error</t>
  </si>
  <si>
    <t>Iraq</t>
  </si>
  <si>
    <t xml:space="preserve">Electrician </t>
  </si>
  <si>
    <t>Sprain</t>
  </si>
  <si>
    <t>Hull damage/structural damage</t>
  </si>
  <si>
    <t>Spill: Moderate effect &gt;10 litres contained</t>
  </si>
  <si>
    <t>On location outside 500mt zone</t>
  </si>
  <si>
    <t>General duties</t>
  </si>
  <si>
    <t>Negligence</t>
  </si>
  <si>
    <t>Jordan</t>
  </si>
  <si>
    <t>Engine Room Trainee</t>
  </si>
  <si>
    <t>Strain</t>
  </si>
  <si>
    <t>Hull damage/superficial damage</t>
  </si>
  <si>
    <t>Spill: Moderate effect &gt;10 litres to sea</t>
  </si>
  <si>
    <t>On location within 500mt zone</t>
  </si>
  <si>
    <t>Handling stores</t>
  </si>
  <si>
    <t>Slip/Trip/Fall</t>
  </si>
  <si>
    <t>K.S.A</t>
  </si>
  <si>
    <t>Loss of equipment</t>
  </si>
  <si>
    <t>Spill: Major effect 1-10 barrels contained</t>
  </si>
  <si>
    <t>Repair yard</t>
  </si>
  <si>
    <t>Handling tools</t>
  </si>
  <si>
    <t>Struck by/Against</t>
  </si>
  <si>
    <t>Mustered Contractor</t>
  </si>
  <si>
    <t>Spill</t>
  </si>
  <si>
    <t>Spill: Major effect 1-10 barrels to sea</t>
  </si>
  <si>
    <t>Workshop</t>
  </si>
  <si>
    <t>Inspection</t>
  </si>
  <si>
    <t>Technical failure</t>
  </si>
  <si>
    <t>Liberia</t>
  </si>
  <si>
    <t>GPC</t>
  </si>
  <si>
    <t>Non-Mustered/Visitor/Surveyor</t>
  </si>
  <si>
    <t>Struck by offshore crane activity</t>
  </si>
  <si>
    <t>Spill: Massive effect &gt;10 barrels contained</t>
  </si>
  <si>
    <t>Leisure</t>
  </si>
  <si>
    <t>Oiler</t>
  </si>
  <si>
    <t>Struck by other vessel</t>
  </si>
  <si>
    <t>Spill: Massive effect &gt;10 barrels to sea</t>
  </si>
  <si>
    <t>Lifting operations</t>
  </si>
  <si>
    <t>Tropical disease</t>
  </si>
  <si>
    <t>Netherlands</t>
  </si>
  <si>
    <t>OIM</t>
  </si>
  <si>
    <t>Struck by port crane activity</t>
  </si>
  <si>
    <t>Maintenance</t>
  </si>
  <si>
    <t>Passenger</t>
  </si>
  <si>
    <t>Third party damage</t>
  </si>
  <si>
    <t>Mooring operations</t>
  </si>
  <si>
    <t>Oman</t>
  </si>
  <si>
    <t>Marathon Oil</t>
  </si>
  <si>
    <t>Rating Trainee</t>
  </si>
  <si>
    <t>Water Ingress</t>
  </si>
  <si>
    <t>Passenger Transfer</t>
  </si>
  <si>
    <t>P.N.Guinea</t>
  </si>
  <si>
    <t>Shore based Contractor</t>
  </si>
  <si>
    <t>Personnel transfer - FRC</t>
  </si>
  <si>
    <t>Qatar</t>
  </si>
  <si>
    <t>MOQ</t>
  </si>
  <si>
    <t>Shore based Employee</t>
  </si>
  <si>
    <t>Personnel transfer/from installation (Basket)</t>
  </si>
  <si>
    <t>Shore based Manager</t>
  </si>
  <si>
    <t>Off hire &lt; 1day</t>
  </si>
  <si>
    <t>Personnel transfer/from installation (FROG)</t>
  </si>
  <si>
    <t>Sierra Leone</t>
  </si>
  <si>
    <t>NLNG</t>
  </si>
  <si>
    <t>Off hire &gt; 1day</t>
  </si>
  <si>
    <t>ROV operations</t>
  </si>
  <si>
    <t>Sudan</t>
  </si>
  <si>
    <t>Sailing/Navigation</t>
  </si>
  <si>
    <t>Salvage operations</t>
  </si>
  <si>
    <t>Yemen</t>
  </si>
  <si>
    <t>OMIFCO</t>
  </si>
  <si>
    <t>Survey operations</t>
  </si>
  <si>
    <t>PDO</t>
  </si>
  <si>
    <t>Towing operations</t>
  </si>
  <si>
    <t>Vessel idle</t>
  </si>
  <si>
    <t>Petrofac</t>
  </si>
  <si>
    <t>YLNG</t>
  </si>
  <si>
    <t>(SLIMS) Procedures</t>
  </si>
  <si>
    <t>Management</t>
  </si>
  <si>
    <t>Leadership/Work Direction</t>
  </si>
  <si>
    <t>Inspection/control</t>
  </si>
  <si>
    <t xml:space="preserve">From </t>
  </si>
  <si>
    <t>To</t>
  </si>
  <si>
    <t xml:space="preserve">Date </t>
  </si>
  <si>
    <t>0.0</t>
  </si>
  <si>
    <t>0.1</t>
  </si>
  <si>
    <t>Revision Content</t>
  </si>
  <si>
    <t>Added flagstate Australia and Russia to Flagstate Pull down menu.
Made Type of damage pull down menu working</t>
  </si>
  <si>
    <t>0.2</t>
  </si>
  <si>
    <t>Added "Road/Car accident" to 'Type of Incident" pull down list.</t>
  </si>
  <si>
    <t>Road/Car incident</t>
  </si>
  <si>
    <t>0.3</t>
  </si>
  <si>
    <t>Security incident</t>
  </si>
  <si>
    <t>Added "Security incident " to "Type of Incident" pull down list.</t>
  </si>
  <si>
    <t>Adjusted form no to FRM-ALL-08-1200-001 in order to comply to SLIMS document control</t>
  </si>
  <si>
    <t>FRM-ALL-08-1301-001</t>
  </si>
  <si>
    <t>Minor damage (&lt; 5000 €)</t>
  </si>
  <si>
    <t>Slight Damage (&lt; 500 €)</t>
  </si>
  <si>
    <t>Moderate damage (&lt; 50.000 €)</t>
  </si>
  <si>
    <t>Major damage ( &lt; 500.000 €)</t>
  </si>
  <si>
    <t>Massive damage (&gt; 500.000 €)</t>
  </si>
  <si>
    <t>0.4</t>
  </si>
  <si>
    <t>Adjusted  pull-down menu  for asset damage severity</t>
  </si>
  <si>
    <t>Near Miss</t>
  </si>
  <si>
    <t>MEIS</t>
  </si>
  <si>
    <t>Root Cause</t>
  </si>
  <si>
    <t>Adjusted pull down root cause and flags</t>
  </si>
  <si>
    <t>Diving</t>
  </si>
  <si>
    <t>Mooring own vessel</t>
  </si>
  <si>
    <t>Chevron</t>
  </si>
  <si>
    <t>Significant Near Miss</t>
  </si>
  <si>
    <t>Rotterdam</t>
  </si>
  <si>
    <t>Crew Boat</t>
  </si>
  <si>
    <t>Master</t>
  </si>
  <si>
    <t>ROV Operator</t>
  </si>
  <si>
    <t>Office Staff</t>
  </si>
  <si>
    <t>Aloft</t>
  </si>
  <si>
    <t>Personnel transfer/from installation (Swing Rope)</t>
  </si>
  <si>
    <t>Travelling</t>
  </si>
  <si>
    <t>Shore location</t>
  </si>
  <si>
    <t>ADDAX</t>
  </si>
  <si>
    <t>Aqaba</t>
  </si>
  <si>
    <t>ArcelorMittal</t>
  </si>
  <si>
    <t>COTCO</t>
  </si>
  <si>
    <t>CPC-R</t>
  </si>
  <si>
    <t>EFKO Taman</t>
  </si>
  <si>
    <t>Esso Highlands Ltd.</t>
  </si>
  <si>
    <t>Exxon de Kastri</t>
  </si>
  <si>
    <t>Freeport</t>
  </si>
  <si>
    <t>GNPOC-Al Bashair</t>
  </si>
  <si>
    <t>ICOOEP &amp;O&amp;M</t>
  </si>
  <si>
    <t>KOC-Alahmadi</t>
  </si>
  <si>
    <t>Kralendijk</t>
  </si>
  <si>
    <t>MPN(Exxon Mobil)</t>
  </si>
  <si>
    <t>NAOC(AGIP)</t>
  </si>
  <si>
    <t>NPCC</t>
  </si>
  <si>
    <t>NPDC-Miden</t>
  </si>
  <si>
    <t>Orlen Lietuva</t>
  </si>
  <si>
    <t>Perenco Port Gentil</t>
  </si>
  <si>
    <t>Petro Masila</t>
  </si>
  <si>
    <t>Petro SA</t>
  </si>
  <si>
    <t>Project Masters</t>
  </si>
  <si>
    <t>SEIC-Skahlin</t>
  </si>
  <si>
    <t>Shell Gamba</t>
  </si>
  <si>
    <t>SPDC- Forcados</t>
  </si>
  <si>
    <t>Spot Africa</t>
  </si>
  <si>
    <t>Spot MEIS</t>
  </si>
  <si>
    <t>Spot Nigeria</t>
  </si>
  <si>
    <t>Total Cap Lopez</t>
  </si>
  <si>
    <t>TUPNI</t>
  </si>
  <si>
    <t>VRA Takoradi</t>
  </si>
  <si>
    <t>Smit Lamnalco</t>
  </si>
  <si>
    <t>Panama</t>
  </si>
  <si>
    <t>Cyprus</t>
  </si>
  <si>
    <t>Illness</t>
  </si>
  <si>
    <t>Non-Work Related Illness</t>
  </si>
  <si>
    <t>Shipsname</t>
  </si>
  <si>
    <t>SMIT CAYMAN</t>
  </si>
  <si>
    <t>Shore Office</t>
  </si>
  <si>
    <t>SMIT MONTSERRAT</t>
  </si>
  <si>
    <t>LAMNALCO RAZORBILL</t>
  </si>
  <si>
    <t>LAMNALCO REDSHANK</t>
  </si>
  <si>
    <t>SMIT QASIM</t>
  </si>
  <si>
    <t>LAMNALCO PUMA</t>
  </si>
  <si>
    <t>LAMNALCO COUGAR</t>
  </si>
  <si>
    <t>LAMNALCO LION</t>
  </si>
  <si>
    <t>LAMNALCO LEOPARD</t>
  </si>
  <si>
    <t>SL SERVAL</t>
  </si>
  <si>
    <t>SMIT BIOKO</t>
  </si>
  <si>
    <t>SMIT RIO MUNI</t>
  </si>
  <si>
    <t>LAMNALCO WAGTAIL</t>
  </si>
  <si>
    <t>LAMNALCO WAXBILL</t>
  </si>
  <si>
    <t>LAMNALCO 1 (BARGE 1)</t>
  </si>
  <si>
    <t>LAMNALCO 2 (BARGE 2)</t>
  </si>
  <si>
    <t>LAMNALCO 3 (BARGE 3)</t>
  </si>
  <si>
    <t>LAMNALCO WEAVER</t>
  </si>
  <si>
    <t>SL CONDOR</t>
  </si>
  <si>
    <t>LAMNALCO CORMORANT</t>
  </si>
  <si>
    <t>SL PITONGA</t>
  </si>
  <si>
    <t>SL MBISSI</t>
  </si>
  <si>
    <t>SL CACHIMBA</t>
  </si>
  <si>
    <t>SMIT FIBIRI</t>
  </si>
  <si>
    <t>ANNELIES</t>
  </si>
  <si>
    <t>SL GABON</t>
  </si>
  <si>
    <t>SL LIBREVILLE</t>
  </si>
  <si>
    <t>JAKI</t>
  </si>
  <si>
    <t>SL SCHELDE 10</t>
  </si>
  <si>
    <t>SL SCHELDE 12</t>
  </si>
  <si>
    <t>SL MALLARD</t>
  </si>
  <si>
    <t>SMIT INESITA</t>
  </si>
  <si>
    <t>INDUSBANK</t>
  </si>
  <si>
    <t>SMIT TAHITI</t>
  </si>
  <si>
    <t>SMIT LUCAYA</t>
  </si>
  <si>
    <t>SOLL TENGIZ</t>
  </si>
  <si>
    <t>TAK 3</t>
  </si>
  <si>
    <t>SL JAMBA</t>
  </si>
  <si>
    <t>SL KOROWI</t>
  </si>
  <si>
    <t>SL LOGOHU</t>
  </si>
  <si>
    <t>SL SIAGE</t>
  </si>
  <si>
    <t>LAMNALCO CHAIKA</t>
  </si>
  <si>
    <t>LAMNALCO PHAETHON</t>
  </si>
  <si>
    <t>LAMNALCO ALBATROS</t>
  </si>
  <si>
    <t>B.B.1</t>
  </si>
  <si>
    <t>B.B.2</t>
  </si>
  <si>
    <t>B.B.3</t>
  </si>
  <si>
    <t>B.B.4</t>
  </si>
  <si>
    <t>B.B.5</t>
  </si>
  <si>
    <t>LAMNALCO BERKUT</t>
  </si>
  <si>
    <t>LAMNALCO FREGAT</t>
  </si>
  <si>
    <t>LAMNALCO YASTREB</t>
  </si>
  <si>
    <t>RIB - 1</t>
  </si>
  <si>
    <t>RIB - 2</t>
  </si>
  <si>
    <t>RIB - 3</t>
  </si>
  <si>
    <t>WORK BOAT (ALUMINIUM)</t>
  </si>
  <si>
    <t>SOLL TAMAN</t>
  </si>
  <si>
    <t>SOLL TEMRYUK</t>
  </si>
  <si>
    <t>SMIT NOVIK</t>
  </si>
  <si>
    <t>DE KASTRI</t>
  </si>
  <si>
    <t>SMIT SAKHALIN</t>
  </si>
  <si>
    <t>SL TAMARI</t>
  </si>
  <si>
    <t>ZERKA</t>
  </si>
  <si>
    <t>KARAK</t>
  </si>
  <si>
    <t>MA'AN</t>
  </si>
  <si>
    <t>MADABA</t>
  </si>
  <si>
    <t>MAFRAQ</t>
  </si>
  <si>
    <t>TAFILAH</t>
  </si>
  <si>
    <t>TOW (6)</t>
  </si>
  <si>
    <t>BALQA</t>
  </si>
  <si>
    <t>IRBID</t>
  </si>
  <si>
    <t>BARGE No51</t>
  </si>
  <si>
    <t>AMMAN</t>
  </si>
  <si>
    <t>AQABA</t>
  </si>
  <si>
    <t>ZAY</t>
  </si>
  <si>
    <t>BARGE No29</t>
  </si>
  <si>
    <t>DIVE 1</t>
  </si>
  <si>
    <t>NAJIL</t>
  </si>
  <si>
    <t>BAYER</t>
  </si>
  <si>
    <t>LAMNALCO HOOPOE</t>
  </si>
  <si>
    <t>SMIT LUZON</t>
  </si>
  <si>
    <t>SMIT LAISA</t>
  </si>
  <si>
    <t>SMIT LUMUT</t>
  </si>
  <si>
    <t>SMIT ANGAROSH</t>
  </si>
  <si>
    <t>SL KESTREL</t>
  </si>
  <si>
    <t>SL KITE</t>
  </si>
  <si>
    <t>SL TIGER</t>
  </si>
  <si>
    <t>SL KITTIWAKE</t>
  </si>
  <si>
    <t>SL EGRET</t>
  </si>
  <si>
    <t>SL NISR</t>
  </si>
  <si>
    <t>SL SAQR</t>
  </si>
  <si>
    <t>RIB IRAQ</t>
  </si>
  <si>
    <t>SL TAER</t>
  </si>
  <si>
    <t>OCEAN 15</t>
  </si>
  <si>
    <t>SMIT AL KOUT</t>
  </si>
  <si>
    <t>SMIT AL KUWAIT</t>
  </si>
  <si>
    <t>SMIT BUBYAN</t>
  </si>
  <si>
    <t>SMIT FAILAKA</t>
  </si>
  <si>
    <t>SMIT KUBBAR</t>
  </si>
  <si>
    <t>SMIT EUROPE</t>
  </si>
  <si>
    <t>HAIMA</t>
  </si>
  <si>
    <t>HAMRA</t>
  </si>
  <si>
    <t>SAGLA</t>
  </si>
  <si>
    <t>SALL</t>
  </si>
  <si>
    <t>SEBET</t>
  </si>
  <si>
    <t>LAMNALCO ROOK</t>
  </si>
  <si>
    <t>LAMNALCO REDWING</t>
  </si>
  <si>
    <t>LAMNALCO CHOUGH</t>
  </si>
  <si>
    <t>YEMEN RIB 1</t>
  </si>
  <si>
    <t>YEMEN RIB 2</t>
  </si>
  <si>
    <t>SMIT LOMBOK</t>
  </si>
  <si>
    <t>SL JAMAL</t>
  </si>
  <si>
    <t>SL LYNX</t>
  </si>
  <si>
    <t>SL FLICKER</t>
  </si>
  <si>
    <t>SMIT LANGKAWI</t>
  </si>
  <si>
    <t>LAMNALCO CURLEW</t>
  </si>
  <si>
    <t>LAMNALCO MALKOHA</t>
  </si>
  <si>
    <t>LAMNALCO NYALA</t>
  </si>
  <si>
    <t>LAMNALCO HAWK</t>
  </si>
  <si>
    <t>LAMNALCO HORNBILL</t>
  </si>
  <si>
    <t>LAMNALCO MACAW</t>
  </si>
  <si>
    <t>SL TERCEL</t>
  </si>
  <si>
    <t>SL TERN</t>
  </si>
  <si>
    <t>LAMNALCO COLIBRI</t>
  </si>
  <si>
    <t>LAMNALCO HARRIER</t>
  </si>
  <si>
    <t>LAMNALCO HOUBARA</t>
  </si>
  <si>
    <t>LAMNALCO PELICAN</t>
  </si>
  <si>
    <t>LAMNALCO PETREL</t>
  </si>
  <si>
    <t>LAMNALCO PUFFIN</t>
  </si>
  <si>
    <t>SMIT DIARE</t>
  </si>
  <si>
    <t>LAMNALCO EAGLE</t>
  </si>
  <si>
    <t>LAMNALCO EIDER</t>
  </si>
  <si>
    <t>LAMNALCO MAGPIE</t>
  </si>
  <si>
    <t>LAMNALCO LECHWE</t>
  </si>
  <si>
    <t>LAMNALCO MERLIN</t>
  </si>
  <si>
    <t>LAMNALCO MERGANSER</t>
  </si>
  <si>
    <t>Cook Islands</t>
  </si>
  <si>
    <t>AFRIK EKULU</t>
  </si>
  <si>
    <t>AFRIK ENYI</t>
  </si>
  <si>
    <t>SLIMS element</t>
  </si>
  <si>
    <t>SLIMS 1</t>
  </si>
  <si>
    <t>SLIMS 2</t>
  </si>
  <si>
    <t>SLIMS 3</t>
  </si>
  <si>
    <t>SLIMS 4</t>
  </si>
  <si>
    <t>SLIMS 5</t>
  </si>
  <si>
    <t>SLIMS 6</t>
  </si>
  <si>
    <t>SLIMS 7</t>
  </si>
  <si>
    <t>SLIMS 8</t>
  </si>
  <si>
    <t>SLIMS 9</t>
  </si>
  <si>
    <t>SLIMS 10</t>
  </si>
  <si>
    <t>SLIMS 11</t>
  </si>
  <si>
    <t>SLIMS 12</t>
  </si>
  <si>
    <t>E1_Management</t>
  </si>
  <si>
    <t>Policies</t>
  </si>
  <si>
    <t>Man. Of Shore based Personnel</t>
  </si>
  <si>
    <t>Job Description</t>
  </si>
  <si>
    <t>Company Standing Orders</t>
  </si>
  <si>
    <t>Managing Contractors &amp; 3rd Parties</t>
  </si>
  <si>
    <t>Management of Change</t>
  </si>
  <si>
    <t>Incident rep.,Investigation &amp; Man.</t>
  </si>
  <si>
    <t>Risk Ass &amp; JHA</t>
  </si>
  <si>
    <t>Vessel Environmental man.</t>
  </si>
  <si>
    <t>Emergencies</t>
  </si>
  <si>
    <t>SHEQ Incident stats</t>
  </si>
  <si>
    <t>E2_Personnel</t>
  </si>
  <si>
    <t>Management Responsibility</t>
  </si>
  <si>
    <t>Crew Man. Expats</t>
  </si>
  <si>
    <t>Running Maintenance &amp; Repairs</t>
  </si>
  <si>
    <t>Navigation &amp; Watch keeping</t>
  </si>
  <si>
    <t>Vessel Stability</t>
  </si>
  <si>
    <t>HAZID</t>
  </si>
  <si>
    <t>Permit to Work</t>
  </si>
  <si>
    <t>CSR reporting</t>
  </si>
  <si>
    <t>Group Emergency &amp; Contingency</t>
  </si>
  <si>
    <t>OVID Guidelines</t>
  </si>
  <si>
    <t>E3_Vessel_Personnel</t>
  </si>
  <si>
    <t>IT Procedure</t>
  </si>
  <si>
    <t>Seafarers employment &amp; Social rights</t>
  </si>
  <si>
    <t>Planned Maintenance &amp; Repairs</t>
  </si>
  <si>
    <t>Passage planning &amp; Manoeuvring</t>
  </si>
  <si>
    <t>Cargo operations</t>
  </si>
  <si>
    <t>Tender procedure</t>
  </si>
  <si>
    <t>SHEQ Meetings</t>
  </si>
  <si>
    <t>Ship Security</t>
  </si>
  <si>
    <t>Audits, Inspections &amp; Reviews</t>
  </si>
  <si>
    <t>E4_Reliability_Maintenance</t>
  </si>
  <si>
    <t>SLIMS Document control</t>
  </si>
  <si>
    <t>On board Complaints</t>
  </si>
  <si>
    <t>Vessel Visit, inspection &amp; Reporting</t>
  </si>
  <si>
    <t>Navigation at offshore Locations</t>
  </si>
  <si>
    <t>Cargo &amp; Hazardous materials</t>
  </si>
  <si>
    <t>HSSE cards</t>
  </si>
  <si>
    <t>Security Risk Analysis</t>
  </si>
  <si>
    <t>Corrective Action</t>
  </si>
  <si>
    <t>E5_Navigation</t>
  </si>
  <si>
    <t>Competence &amp; Training</t>
  </si>
  <si>
    <t>Procurement</t>
  </si>
  <si>
    <t>Nautical Publications &amp; Equipment</t>
  </si>
  <si>
    <t>Bunkering Operations</t>
  </si>
  <si>
    <t>PPE</t>
  </si>
  <si>
    <t>E6_Operations_Contracts</t>
  </si>
  <si>
    <t>Local Crew Management</t>
  </si>
  <si>
    <t>Lifting &amp; Hoisting operations</t>
  </si>
  <si>
    <t>Occupational Health &amp; Saf.</t>
  </si>
  <si>
    <t>E7_Man_of_Change</t>
  </si>
  <si>
    <t>Personnel transfer operations</t>
  </si>
  <si>
    <t>Hydrogen Sulphide</t>
  </si>
  <si>
    <t>E8_Incidents</t>
  </si>
  <si>
    <t>DP Operations</t>
  </si>
  <si>
    <t>Health</t>
  </si>
  <si>
    <t>E9_Safety</t>
  </si>
  <si>
    <t>Anchor Handling &amp; Towing operations</t>
  </si>
  <si>
    <t>Hygiene</t>
  </si>
  <si>
    <t>E10_Environment</t>
  </si>
  <si>
    <t>Hazardous Substances</t>
  </si>
  <si>
    <t>E11_Emergencies</t>
  </si>
  <si>
    <t>E12_Measurement_Analysis_Improvement</t>
  </si>
  <si>
    <t>Europe</t>
  </si>
  <si>
    <t>Africa</t>
  </si>
  <si>
    <r>
      <t>2</t>
    </r>
    <r>
      <rPr>
        <vertAlign val="superscript"/>
        <sz val="10"/>
        <rFont val="Calibri"/>
        <family val="2"/>
        <scheme val="minor"/>
      </rPr>
      <t>nd</t>
    </r>
    <r>
      <rPr>
        <sz val="10"/>
        <rFont val="Calibri"/>
        <family val="2"/>
        <scheme val="minor"/>
      </rPr>
      <t xml:space="preserve"> Engineer</t>
    </r>
  </si>
  <si>
    <r>
      <t>2</t>
    </r>
    <r>
      <rPr>
        <vertAlign val="superscript"/>
        <sz val="10"/>
        <rFont val="Calibri"/>
        <family val="2"/>
        <scheme val="minor"/>
      </rPr>
      <t>nd</t>
    </r>
    <r>
      <rPr>
        <sz val="10"/>
        <rFont val="Calibri"/>
        <family val="2"/>
        <scheme val="minor"/>
      </rPr>
      <t xml:space="preserve"> Officer</t>
    </r>
  </si>
  <si>
    <r>
      <t>3</t>
    </r>
    <r>
      <rPr>
        <vertAlign val="superscript"/>
        <sz val="10"/>
        <rFont val="Calibri"/>
        <family val="2"/>
        <scheme val="minor"/>
      </rPr>
      <t>rd</t>
    </r>
    <r>
      <rPr>
        <sz val="10"/>
        <rFont val="Calibri"/>
        <family val="2"/>
        <scheme val="minor"/>
      </rPr>
      <t xml:space="preserve"> Engineer</t>
    </r>
  </si>
  <si>
    <r>
      <t>3</t>
    </r>
    <r>
      <rPr>
        <vertAlign val="superscript"/>
        <sz val="10"/>
        <rFont val="Calibri"/>
        <family val="2"/>
        <scheme val="minor"/>
      </rPr>
      <t>rd</t>
    </r>
    <r>
      <rPr>
        <sz val="10"/>
        <rFont val="Calibri"/>
        <family val="2"/>
        <scheme val="minor"/>
      </rPr>
      <t xml:space="preserve"> Officer</t>
    </r>
  </si>
  <si>
    <t>Greece</t>
  </si>
  <si>
    <t>Landing craft</t>
  </si>
  <si>
    <t xml:space="preserve"> </t>
  </si>
  <si>
    <t>SL LOIRE</t>
  </si>
  <si>
    <t>SL MANDJI</t>
  </si>
  <si>
    <t>SL MISSOURI</t>
  </si>
  <si>
    <t>SL OZOURI</t>
  </si>
  <si>
    <t>SL RIMA</t>
  </si>
  <si>
    <t>SL CROSSBILL</t>
  </si>
  <si>
    <t>Pakistan</t>
  </si>
  <si>
    <t>PQA</t>
  </si>
  <si>
    <t>British Virgin Islands</t>
  </si>
  <si>
    <t>inserted SLIMS element and procedure reference, added Nigeria and BVI flag, added PQA contract, added Pakistan as country</t>
  </si>
  <si>
    <t>Mackay</t>
  </si>
  <si>
    <t>Brisbane</t>
  </si>
  <si>
    <t>Weipa</t>
  </si>
  <si>
    <t>Townsville</t>
  </si>
  <si>
    <t>Bunbury</t>
  </si>
  <si>
    <t>added SLTA ports as contracts and vessels</t>
  </si>
  <si>
    <t>Spot Australia</t>
  </si>
  <si>
    <t>Spot Europe</t>
  </si>
  <si>
    <t>Near Root cause</t>
  </si>
  <si>
    <t>Root Cause Detail</t>
  </si>
  <si>
    <t>Wrong</t>
  </si>
  <si>
    <t>Preparation</t>
  </si>
  <si>
    <t>Human_Engineering</t>
  </si>
  <si>
    <t>SLIMS_Procedures</t>
  </si>
  <si>
    <t>Inspection_and_control</t>
  </si>
  <si>
    <t>Leadership_Work_Direction</t>
  </si>
  <si>
    <t>Followed_incorrectly</t>
  </si>
  <si>
    <t>No_training</t>
  </si>
  <si>
    <t>Understanding_NI</t>
  </si>
  <si>
    <t>No_inspection</t>
  </si>
  <si>
    <t>QC_NI</t>
  </si>
  <si>
    <t>No_comm._or_not_timely</t>
  </si>
  <si>
    <t>Turnover_NI</t>
  </si>
  <si>
    <t>Misunderstood_verbal_comm.</t>
  </si>
  <si>
    <t>Oversight_or_Employee_relations</t>
  </si>
  <si>
    <t>Corrective_action</t>
  </si>
  <si>
    <t>Work_environment</t>
  </si>
  <si>
    <t>Complex_system</t>
  </si>
  <si>
    <t>Selection_of_worker</t>
  </si>
  <si>
    <t>Supervision_during_work</t>
  </si>
  <si>
    <t>No procedure</t>
  </si>
  <si>
    <t>No procedure available or inconvenient for use</t>
  </si>
  <si>
    <t>Procedure use not required but should be</t>
  </si>
  <si>
    <t>Procedure difficult to use</t>
  </si>
  <si>
    <t>Typo</t>
  </si>
  <si>
    <t>Sequence wrong</t>
  </si>
  <si>
    <t>Facts wrong</t>
  </si>
  <si>
    <t>Situation not covered</t>
  </si>
  <si>
    <t>Wrong revision used</t>
  </si>
  <si>
    <t>Second checker needed</t>
  </si>
  <si>
    <t>Format confusing</t>
  </si>
  <si>
    <t>&gt; 1 Action / Step</t>
  </si>
  <si>
    <t>Excess references</t>
  </si>
  <si>
    <t>Multi unit references</t>
  </si>
  <si>
    <t>Limits NI</t>
  </si>
  <si>
    <t>Details NI</t>
  </si>
  <si>
    <t>Data/computations wrong or incomplete</t>
  </si>
  <si>
    <t>Graphics NI</t>
  </si>
  <si>
    <t>No checkoff</t>
  </si>
  <si>
    <t>Checkoff misused</t>
  </si>
  <si>
    <t>Misused second check</t>
  </si>
  <si>
    <t>Ambiguous instructions</t>
  </si>
  <si>
    <t>Equipment ID NI</t>
  </si>
  <si>
    <t>Task not analyzed</t>
  </si>
  <si>
    <t>Decided not to train</t>
  </si>
  <si>
    <t>No learning objective</t>
  </si>
  <si>
    <t>Missed required training</t>
  </si>
  <si>
    <t>Learning objective NI</t>
  </si>
  <si>
    <t>Lesson plan NI</t>
  </si>
  <si>
    <t>Instruction NI</t>
  </si>
  <si>
    <t>Practice/repetition NI</t>
  </si>
  <si>
    <t>Testing NI</t>
  </si>
  <si>
    <t>Continuing training NI</t>
  </si>
  <si>
    <t>Inspection not required</t>
  </si>
  <si>
    <t>No hold point</t>
  </si>
  <si>
    <t>Hold point not performed</t>
  </si>
  <si>
    <t>Inspection instruments NI</t>
  </si>
  <si>
    <t>Inspection techniques NI</t>
  </si>
  <si>
    <t>Foreign material exclusion during work NI</t>
  </si>
  <si>
    <t>Comm. system NI</t>
  </si>
  <si>
    <t>Late communication</t>
  </si>
  <si>
    <t>No standard turnover process</t>
  </si>
  <si>
    <t>Turnover process not used</t>
  </si>
  <si>
    <t>Turnover process NI</t>
  </si>
  <si>
    <t>Standard terminology not used</t>
  </si>
  <si>
    <t>Standard terminology NI</t>
  </si>
  <si>
    <t>Repeat back not used</t>
  </si>
  <si>
    <t>Long message</t>
  </si>
  <si>
    <t>Noisy environment</t>
  </si>
  <si>
    <t>No Standards, Policies or Admin Controls</t>
  </si>
  <si>
    <t>Not strict enough</t>
  </si>
  <si>
    <t>Confusing or incomplete</t>
  </si>
  <si>
    <t>Technical error</t>
  </si>
  <si>
    <t>Drawings/print NI</t>
  </si>
  <si>
    <t>Stand_Pol_or_Adm_controls_NI</t>
  </si>
  <si>
    <t>Comm of Standards, Policies or Admin controls NI</t>
  </si>
  <si>
    <t>Recently changed</t>
  </si>
  <si>
    <t>Enforcement NI</t>
  </si>
  <si>
    <t>No way to implement</t>
  </si>
  <si>
    <t>Accountability NI</t>
  </si>
  <si>
    <t>Stand_Pol_or_Adm_controls_not_used</t>
  </si>
  <si>
    <t>Infrequent audits &amp; evaluations</t>
  </si>
  <si>
    <t>Audits &amp; evaluations lack depth</t>
  </si>
  <si>
    <t>Audits &amp; evaluations not independent</t>
  </si>
  <si>
    <t>Employee communications NI</t>
  </si>
  <si>
    <t>Employee feedback NI</t>
  </si>
  <si>
    <t>Corrective action NI</t>
  </si>
  <si>
    <t>Corrective action not yet implemented</t>
  </si>
  <si>
    <t>Trending NI</t>
  </si>
  <si>
    <t>Labels NI</t>
  </si>
  <si>
    <t>Arrangement/placement</t>
  </si>
  <si>
    <t>Displays NI</t>
  </si>
  <si>
    <t>Controls NI</t>
  </si>
  <si>
    <t>Plant/unit differences</t>
  </si>
  <si>
    <t>Excessive lifting</t>
  </si>
  <si>
    <t>Tools/instruments NI</t>
  </si>
  <si>
    <t>Human_Machine_interface</t>
  </si>
  <si>
    <t>Housekeeping NI</t>
  </si>
  <si>
    <t>Hot/cold</t>
  </si>
  <si>
    <t>Wet/slick</t>
  </si>
  <si>
    <t>Lights NI</t>
  </si>
  <si>
    <t>Noisy</t>
  </si>
  <si>
    <t>Obstruction</t>
  </si>
  <si>
    <t>Cramped quarters</t>
  </si>
  <si>
    <t>Equipment guard NI</t>
  </si>
  <si>
    <t>High radiation/contamination</t>
  </si>
  <si>
    <t>Knowledge based decision required</t>
  </si>
  <si>
    <t>Monitoring too many items</t>
  </si>
  <si>
    <t>Not qualified</t>
  </si>
  <si>
    <t>Upset</t>
  </si>
  <si>
    <t>Substance abuse</t>
  </si>
  <si>
    <t>Team selection NI</t>
  </si>
  <si>
    <t>No supervision</t>
  </si>
  <si>
    <t>Crew teamwork NI</t>
  </si>
  <si>
    <t>Not_used_Not_followed</t>
  </si>
  <si>
    <t>Non_fault_tolerant_system</t>
  </si>
  <si>
    <t>Errors not detectable</t>
  </si>
  <si>
    <t>Errors not recoverable</t>
  </si>
  <si>
    <t>No preparation</t>
  </si>
  <si>
    <t>Work package/permit NI</t>
  </si>
  <si>
    <t>Pre-job briefing NI</t>
  </si>
  <si>
    <t>Walk-thru NI</t>
  </si>
  <si>
    <t>Scheduling NI</t>
  </si>
  <si>
    <t>Lock out - Tag out NI</t>
  </si>
  <si>
    <t>Fail protection NI</t>
  </si>
  <si>
    <t>SL RHONE</t>
  </si>
  <si>
    <t>SL TONDOON</t>
  </si>
  <si>
    <t>SL MANAKIN</t>
  </si>
  <si>
    <t>SL MARABOU</t>
  </si>
  <si>
    <t>SL MESITE</t>
  </si>
  <si>
    <t>SL AFRICA</t>
  </si>
  <si>
    <t>SL JAGUAR</t>
  </si>
  <si>
    <t>SL MADAGASCAR</t>
  </si>
  <si>
    <t>SL MARTINIQUE</t>
  </si>
  <si>
    <t>SL MAURITIUS</t>
  </si>
  <si>
    <t>PETRA 3</t>
  </si>
  <si>
    <t>JARAH 3</t>
  </si>
  <si>
    <t>AL DAEM</t>
  </si>
  <si>
    <t>AL WASET</t>
  </si>
  <si>
    <t>AL SANAD</t>
  </si>
  <si>
    <t>SL AWOONGA</t>
  </si>
  <si>
    <t>SL KOONGO</t>
  </si>
  <si>
    <t>AFRIK ORIMILI</t>
  </si>
  <si>
    <t>AFRIK OTAMIRI</t>
  </si>
  <si>
    <t>ALEXANDRA</t>
  </si>
  <si>
    <t>BRACQ</t>
  </si>
  <si>
    <t>ESCRAVOS</t>
  </si>
  <si>
    <t>FREYCINET</t>
  </si>
  <si>
    <t>HARRY EVANS</t>
  </si>
  <si>
    <t>HASIM 3</t>
  </si>
  <si>
    <t>KST SPHERE</t>
  </si>
  <si>
    <t>LAGOS</t>
  </si>
  <si>
    <t>LAMNALCO ADEN</t>
  </si>
  <si>
    <t>LAMNALCO HAIMA</t>
  </si>
  <si>
    <t>LAMNALCO HAMRA</t>
  </si>
  <si>
    <t>LAMNALCO HODEIDAH</t>
  </si>
  <si>
    <t>LAMNALCO KINGFISHER</t>
  </si>
  <si>
    <t>LAMNALCO MANAKIN</t>
  </si>
  <si>
    <t>LAMNALCO MARABOU</t>
  </si>
  <si>
    <t>LAMNALCO MESITE</t>
  </si>
  <si>
    <t>LAMNALCO MUKALLA</t>
  </si>
  <si>
    <t>LAMNALCO ORIBI</t>
  </si>
  <si>
    <t>LAMNALCO ORYX</t>
  </si>
  <si>
    <t>LAMNALCO ROAN</t>
  </si>
  <si>
    <t>LAMNALCO SABLE</t>
  </si>
  <si>
    <t>LAMNALCO SANA'A</t>
  </si>
  <si>
    <t>ONNE</t>
  </si>
  <si>
    <t>PETER CROOKE</t>
  </si>
  <si>
    <t>REDWING</t>
  </si>
  <si>
    <t>ROOK</t>
  </si>
  <si>
    <t>SL AL KOUT</t>
  </si>
  <si>
    <t>SL AL KUWAIT</t>
  </si>
  <si>
    <t>SL BOTANY</t>
  </si>
  <si>
    <t>SL BOYNE ISLAND</t>
  </si>
  <si>
    <t>SL BUBYAN</t>
  </si>
  <si>
    <t>SL COOK</t>
  </si>
  <si>
    <t>SL CURTIS ISLAND</t>
  </si>
  <si>
    <t>SL DAINTREE</t>
  </si>
  <si>
    <t>SL ENDEAVOUR</t>
  </si>
  <si>
    <t>SL EUROPE</t>
  </si>
  <si>
    <t>SL FAILAKA</t>
  </si>
  <si>
    <t>SL FITZROY</t>
  </si>
  <si>
    <t>SL FLINDERS</t>
  </si>
  <si>
    <t>SL GIBSON</t>
  </si>
  <si>
    <t>SL GRIFFIN</t>
  </si>
  <si>
    <t>SL HERBERT</t>
  </si>
  <si>
    <t>SL HERON ISLAND</t>
  </si>
  <si>
    <t>SL HUBERTA</t>
  </si>
  <si>
    <t>SL HUNTER</t>
  </si>
  <si>
    <t>SL JOUMALA</t>
  </si>
  <si>
    <t>SL KING</t>
  </si>
  <si>
    <t>SL KIWI</t>
  </si>
  <si>
    <t>SL KUBBAR</t>
  </si>
  <si>
    <t>SL KULLAROO</t>
  </si>
  <si>
    <t>SL LEICHHARDT</t>
  </si>
  <si>
    <t>SL LEOPARD</t>
  </si>
  <si>
    <t>SL MURRUMBIDGEE</t>
  </si>
  <si>
    <t>SL ONEIDA</t>
  </si>
  <si>
    <t>SL OWENA</t>
  </si>
  <si>
    <t>SL QUOIN ISLAND</t>
  </si>
  <si>
    <t>SL SHAHIN</t>
  </si>
  <si>
    <t>SL SHOALRUNNER 1</t>
  </si>
  <si>
    <t>SL SOKOL</t>
  </si>
  <si>
    <t>SL TARGINNIE</t>
  </si>
  <si>
    <t>SL TEAL</t>
  </si>
  <si>
    <t>SL TOUCAN</t>
  </si>
  <si>
    <t>SL WIGGINS ISLAND</t>
  </si>
  <si>
    <t>SL YALLARM</t>
  </si>
  <si>
    <t>SMIT AFRICA</t>
  </si>
  <si>
    <t>SMIT LABUAN</t>
  </si>
  <si>
    <t>SMIT NIDA</t>
  </si>
  <si>
    <t>SMIT WARRI</t>
  </si>
  <si>
    <t>STERLING</t>
  </si>
  <si>
    <t>TAREK 3</t>
  </si>
  <si>
    <t>TROGON</t>
  </si>
  <si>
    <t>TUART</t>
  </si>
  <si>
    <t>TWITE</t>
  </si>
  <si>
    <t xml:space="preserve">A.                 </t>
  </si>
  <si>
    <t xml:space="preserve">B. </t>
  </si>
  <si>
    <t xml:space="preserve">D. </t>
  </si>
  <si>
    <t xml:space="preserve">E. </t>
  </si>
  <si>
    <t>Lithuania</t>
  </si>
  <si>
    <t>Report number/Номер отчета:</t>
  </si>
  <si>
    <t>Incident Report/Отчет о происшествии</t>
  </si>
  <si>
    <r>
      <t xml:space="preserve">INCIDENT DATE/ДАТА ПРОИСШЕСТВИЯ </t>
    </r>
    <r>
      <rPr>
        <b/>
        <sz val="11"/>
        <color indexed="10"/>
        <rFont val="Arial"/>
        <family val="2"/>
        <charset val="1"/>
      </rPr>
      <t>*</t>
    </r>
  </si>
  <si>
    <r>
      <t xml:space="preserve">COMPANY/КОМПАНИЯ </t>
    </r>
    <r>
      <rPr>
        <b/>
        <sz val="11"/>
        <color rgb="FFFF0000"/>
        <rFont val="Arial"/>
        <family val="2"/>
      </rPr>
      <t>*</t>
    </r>
  </si>
  <si>
    <r>
      <t xml:space="preserve">TYPE OF INCIDENT/ВИД ПРОИСШЕСТВИЯ </t>
    </r>
    <r>
      <rPr>
        <b/>
        <sz val="11"/>
        <color indexed="10"/>
        <rFont val="Arial"/>
        <family val="2"/>
        <charset val="1"/>
      </rPr>
      <t>*</t>
    </r>
  </si>
  <si>
    <t>CONTRACT/КОНТРАКТ</t>
  </si>
  <si>
    <r>
      <t xml:space="preserve">REGION/РЕГИОН </t>
    </r>
    <r>
      <rPr>
        <b/>
        <sz val="11"/>
        <color indexed="10"/>
        <rFont val="Arial"/>
        <family val="2"/>
        <charset val="1"/>
      </rPr>
      <t>*</t>
    </r>
  </si>
  <si>
    <r>
      <t xml:space="preserve">COUNTRY/СТРАНА </t>
    </r>
    <r>
      <rPr>
        <b/>
        <sz val="11"/>
        <color rgb="FFFF0000"/>
        <rFont val="Arial"/>
        <family val="2"/>
      </rPr>
      <t>*</t>
    </r>
  </si>
  <si>
    <r>
      <t xml:space="preserve">FLAG STATE/ГОСУДАРСТВО ФЛАГА </t>
    </r>
    <r>
      <rPr>
        <b/>
        <sz val="11"/>
        <color indexed="10"/>
        <rFont val="Arial"/>
        <family val="2"/>
        <charset val="1"/>
      </rPr>
      <t>*</t>
    </r>
  </si>
  <si>
    <r>
      <t xml:space="preserve">VESSEL TYPE/ТИП СУДНА </t>
    </r>
    <r>
      <rPr>
        <b/>
        <sz val="11"/>
        <color indexed="10"/>
        <rFont val="Arial"/>
        <family val="2"/>
        <charset val="1"/>
      </rPr>
      <t>*</t>
    </r>
  </si>
  <si>
    <r>
      <t xml:space="preserve">ISM VESSEL/ИУС СУДНА </t>
    </r>
    <r>
      <rPr>
        <b/>
        <sz val="11"/>
        <color indexed="10"/>
        <rFont val="Arial"/>
        <family val="2"/>
        <charset val="1"/>
      </rPr>
      <t>*</t>
    </r>
  </si>
  <si>
    <t>General Information/Общая информация</t>
  </si>
  <si>
    <t>Weather Conditions/Погодные условия</t>
  </si>
  <si>
    <t>Current/Течение
(Rate &amp; Direction)/(Сила и направление)</t>
  </si>
  <si>
    <t>Wind/Ветер
(Speed &amp; Direction)/(Скорость и направление)</t>
  </si>
  <si>
    <t>VISIBILITY/ВИДИМОСТЬ</t>
  </si>
  <si>
    <r>
      <t xml:space="preserve">JOB TITLE/ДОЛЖНОСТЬ </t>
    </r>
    <r>
      <rPr>
        <b/>
        <sz val="11"/>
        <color rgb="FFFF0000"/>
        <rFont val="Arial"/>
        <family val="2"/>
      </rPr>
      <t>*</t>
    </r>
  </si>
  <si>
    <t>Witnesses/Свидетели</t>
  </si>
  <si>
    <t>COMPANY/КОМПАНИЯ</t>
  </si>
  <si>
    <t>JOB TITLE/ДОЛЖНОСТЬ</t>
  </si>
  <si>
    <t>Incident Details/Подробности происшествия</t>
  </si>
  <si>
    <t>Company/Компания</t>
  </si>
  <si>
    <t>Job Title/Должность</t>
  </si>
  <si>
    <t>Type Of Injury/Тип повреждения</t>
  </si>
  <si>
    <t>Type Of Damage/Вид повреждения</t>
  </si>
  <si>
    <t>Body Part Harmed/Поврежденная часть тела</t>
  </si>
  <si>
    <t>Potential Classification/Предполагаемая классификация</t>
  </si>
  <si>
    <t>Location At Time Of Incident/Местоположение на момент происшествия</t>
  </si>
  <si>
    <t>Task/Activity At Time Of Incident/Работа, выполняемая на момент происшествия</t>
  </si>
  <si>
    <t>Direct cause/ Caused By/Причина происшествия</t>
  </si>
  <si>
    <t>Was First Aid Given to IP?/Была ли оказана первая помощь пострадавшему?</t>
  </si>
  <si>
    <t>Was IP Medivaced?/Был ли пострадавший эвакуирован?</t>
  </si>
  <si>
    <t>Was IP Repatriated?/Был ли пострадавший репатриирован?</t>
  </si>
  <si>
    <t>Type Of Product Spilled/Тип пролитого продукта</t>
  </si>
  <si>
    <t>Is an Investigation Being Conducted?/Проводится ли расследование?</t>
  </si>
  <si>
    <t>By Who?/Кем?</t>
  </si>
  <si>
    <r>
      <t xml:space="preserve">DESCRIPTION OF THE INCIDENT (DATE &amp; TIMELINE)/ОПИСАНИЕ ПРОИСШЕСТВИЯ (ХРОНОЛОГИЯ СОБЫТИЙ) </t>
    </r>
    <r>
      <rPr>
        <b/>
        <sz val="11"/>
        <color indexed="10"/>
        <rFont val="Arial"/>
        <family val="2"/>
        <charset val="1"/>
      </rPr>
      <t>*</t>
    </r>
  </si>
  <si>
    <r>
      <t xml:space="preserve">DESCRIPTION OF EVENTS </t>
    </r>
    <r>
      <rPr>
        <b/>
        <sz val="11"/>
        <color indexed="10"/>
        <rFont val="Arial"/>
        <family val="2"/>
        <charset val="1"/>
      </rPr>
      <t>AFTER</t>
    </r>
    <r>
      <rPr>
        <b/>
        <sz val="11"/>
        <rFont val="Arial"/>
        <family val="2"/>
        <charset val="1"/>
      </rPr>
      <t xml:space="preserve"> THE INCIDENT (DATE &amp; TIMELINE) AND IMMEDIATE CORRECTIVE ACTIONS ОПИСАНИЕ СОБЫТИЙ </t>
    </r>
    <r>
      <rPr>
        <b/>
        <sz val="11"/>
        <color rgb="FFFF0000"/>
        <rFont val="Arial"/>
        <family val="2"/>
        <charset val="204"/>
      </rPr>
      <t>ПОСЛЕ</t>
    </r>
    <r>
      <rPr>
        <b/>
        <sz val="11"/>
        <rFont val="Arial"/>
        <family val="2"/>
        <charset val="1"/>
      </rPr>
      <t xml:space="preserve"> ПРОИСШЕСТВИЯ И НЕОТЛОЖНЫЕ МЕРЫ ПО ЛИКВИДАЦИИ ПОСЛЕДСТВИЙ</t>
    </r>
    <r>
      <rPr>
        <b/>
        <sz val="11"/>
        <color indexed="10"/>
        <rFont val="Arial"/>
        <family val="2"/>
        <charset val="1"/>
      </rPr>
      <t>*</t>
    </r>
  </si>
  <si>
    <t>Attachments/Приложения</t>
  </si>
  <si>
    <r>
      <t xml:space="preserve">MEDICAL TREATMENT FORM/ФОРМА МЕДИЦИНСКОЙ ПОМОЩИ </t>
    </r>
    <r>
      <rPr>
        <b/>
        <sz val="11"/>
        <color rgb="FFFF0000"/>
        <rFont val="Arial"/>
        <family val="2"/>
      </rPr>
      <t>*</t>
    </r>
  </si>
  <si>
    <r>
      <t xml:space="preserve">WITNESS STATEMENTS/СВИДЕТЕЛЬСКИЕ ПОКАЗАНИЯ </t>
    </r>
    <r>
      <rPr>
        <b/>
        <sz val="11"/>
        <color rgb="FFFF0000"/>
        <rFont val="Arial"/>
        <family val="2"/>
      </rPr>
      <t>*</t>
    </r>
  </si>
  <si>
    <r>
      <t xml:space="preserve">DRAWINGS/SKETCHES/ГРАФИКИ/ЧЕРТЕЖИ </t>
    </r>
    <r>
      <rPr>
        <b/>
        <sz val="11"/>
        <color rgb="FFFF0000"/>
        <rFont val="Arial"/>
        <family val="2"/>
      </rPr>
      <t>*</t>
    </r>
  </si>
  <si>
    <t>DATE REPORTED TO DPA (dd/mm/yy)/ДАТА, УКАЗАННАЯ В СУТОЧНОМ ПЛАНЕ (день/месяц/год)</t>
  </si>
  <si>
    <r>
      <t xml:space="preserve">             </t>
    </r>
    <r>
      <rPr>
        <b/>
        <i/>
        <u/>
        <sz val="11"/>
        <color indexed="21"/>
        <rFont val="Arial"/>
        <family val="2"/>
        <charset val="1"/>
      </rPr>
      <t>&gt; (Ship) Manager who has assumed the responsibility for HSE &lt; /  &gt; Менеджер (судна) ответственный за ТБОЗ и ООС &lt;</t>
    </r>
  </si>
  <si>
    <t>FINAL INCIDENT CLASSIFICATION/ИТОГОВАЯ КЛАССИФИКАЦИЯ ПРОИСШЕСТВИЯ</t>
  </si>
  <si>
    <t>ROOT CAUSE CATEGORY/КАТЕГОРИЯ ОСНОВНОЙ ПРИЧИНЫ ПРОИСШЕСТВИЯ</t>
  </si>
  <si>
    <t>NEAR ROOT CAUSE/ВТОРОСТЕПЕННАЯ ПРИЧИНА</t>
  </si>
  <si>
    <t>ROOT CAUSE/ОСНОВНАЯ ПРИЧИНА</t>
  </si>
  <si>
    <t>QUANTITY OF DAYS LOST/КОЛИЧЕСТВО ПОТЕРЯННЫХ ДНЕЙ</t>
  </si>
  <si>
    <t>Procedure/Процедура</t>
  </si>
  <si>
    <r>
      <rPr>
        <b/>
        <sz val="11"/>
        <color indexed="10"/>
        <rFont val="Arial"/>
        <family val="2"/>
        <charset val="1"/>
      </rPr>
      <t>CORRECTIVE</t>
    </r>
    <r>
      <rPr>
        <b/>
        <sz val="11"/>
        <rFont val="Arial"/>
        <family val="2"/>
        <charset val="1"/>
      </rPr>
      <t xml:space="preserve"> ACTIONS/</t>
    </r>
    <r>
      <rPr>
        <b/>
        <sz val="11"/>
        <color rgb="FFFF0000"/>
        <rFont val="Arial"/>
        <family val="2"/>
        <charset val="204"/>
      </rPr>
      <t>НЕОТЛОЖНЫЕ</t>
    </r>
    <r>
      <rPr>
        <b/>
        <sz val="11"/>
        <rFont val="Arial"/>
        <family val="2"/>
        <charset val="1"/>
      </rPr>
      <t xml:space="preserve"> МЕРЫ ПО ЛИКВИДАЦИИ ПОСЛЕДСТВИЙ ПРОИСШЕСТВИЯ</t>
    </r>
  </si>
  <si>
    <r>
      <t xml:space="preserve">DESCRIPTION OF </t>
    </r>
    <r>
      <rPr>
        <b/>
        <sz val="11"/>
        <color indexed="10"/>
        <rFont val="Arial"/>
        <family val="2"/>
        <charset val="1"/>
      </rPr>
      <t>PREVENTIVE</t>
    </r>
    <r>
      <rPr>
        <b/>
        <sz val="11"/>
        <rFont val="Arial"/>
        <family val="2"/>
        <charset val="1"/>
      </rPr>
      <t xml:space="preserve"> ACTIONS/ОПИСАНИЕ ПРЕДУПРЕДИТЕЛЬНЫХ МЕР</t>
    </r>
  </si>
  <si>
    <t>Person Completing Report at office/Личный отчет о выполнении работы в офисе</t>
  </si>
  <si>
    <t>INVESTIGATION REPORT/ОТЧЕТ ПО РЕЗУЛЬТАТАМ РАССЛЕДОВАНИЯ</t>
  </si>
  <si>
    <t>CORRECTIVE/PREVENTIVE ACTION PLAN/ПЛАН ПРЕДУПРЕДИТЕЛЬНЫХ МЕР/МЕР ПО ЛИКВИДАЦИИ ПОСЛЕДСТВИЙ ПРОИСШЕСТВИЯ</t>
  </si>
  <si>
    <t>CLOSING DATE (dd/mm/yy)/ПОСЛЕДНЯЯ ОТЧЕТНАЯ ДАТА (день/месяц/год)</t>
  </si>
  <si>
    <t>Costs Estimate/Смета расходов</t>
  </si>
  <si>
    <t>Description/Описание</t>
  </si>
  <si>
    <t>Costs/Цена</t>
  </si>
  <si>
    <t>Off-hire/Истечение срока найма</t>
  </si>
  <si>
    <t>Temp. Repair/Предварительный ремонт</t>
  </si>
  <si>
    <t>Final repair/Окончательный ремонт</t>
  </si>
  <si>
    <t>Replaced equipment/Замененное оборудование</t>
  </si>
  <si>
    <t>Fuel/Топливо</t>
  </si>
  <si>
    <t>Hospitalization/Госпитализация</t>
  </si>
  <si>
    <t>Repatriation/Репатриирование</t>
  </si>
  <si>
    <t>Extra travel expenses/Дополнительные расходы на дорогу</t>
  </si>
  <si>
    <t>TOTAL/ИТОГО</t>
  </si>
  <si>
    <t>2. Country/Страна</t>
  </si>
  <si>
    <r>
      <t xml:space="preserve">VESSEL NAME/НАЗВАНИЕ СУДНА </t>
    </r>
    <r>
      <rPr>
        <b/>
        <sz val="11"/>
        <color indexed="10"/>
        <rFont val="Arial"/>
        <family val="2"/>
        <charset val="1"/>
      </rPr>
      <t>*</t>
    </r>
  </si>
  <si>
    <t>6. Vessel type/Тип судна</t>
  </si>
  <si>
    <t>7. Type of Incident/Вид происшествия</t>
  </si>
  <si>
    <t>1.а Month/Месяц</t>
  </si>
  <si>
    <t>4. Region/Регион</t>
  </si>
  <si>
    <t>5. Vessel Name/Название судна</t>
  </si>
  <si>
    <t>8. Classification/Клас   сификация</t>
  </si>
  <si>
    <t>9. ISM/ИУС</t>
  </si>
  <si>
    <t>11. Flag/Флаг</t>
  </si>
  <si>
    <t>12. Contract/Контракт</t>
  </si>
  <si>
    <t>13a. Rank injured person/Должность пострадавшего</t>
  </si>
  <si>
    <t>13b. Type of Injury/Тип повреждения</t>
  </si>
  <si>
    <t>13c. Body part harmed/Поврежденная часть тела</t>
  </si>
  <si>
    <t>14. Type of 
damage/Вид повреждения</t>
  </si>
  <si>
    <t>15. Location/Местоположение</t>
  </si>
  <si>
    <t>16. Task/Вид деятельности</t>
  </si>
  <si>
    <t>17. Direct Cause/Основная причина происшествия</t>
  </si>
  <si>
    <t>18. Brief details/Краткое изложение деталей</t>
  </si>
  <si>
    <t>19.Corrective action/Меры по ликвидации последствий происшествия</t>
  </si>
  <si>
    <t>21. Root cause category/Категория основной причины</t>
  </si>
  <si>
    <t>Near root cause/Второстепенная причина</t>
  </si>
  <si>
    <t>Root cause/Основная причина</t>
  </si>
  <si>
    <t>Element/Элемент</t>
  </si>
  <si>
    <t>22. Report date/Дата отчета</t>
  </si>
  <si>
    <t>23. Date 
Investigation closed/Дата окончания расследования</t>
  </si>
  <si>
    <t>24. Costs/Затраты</t>
  </si>
  <si>
    <r>
      <t xml:space="preserve">3: in case of updates of the data: repeat the process and </t>
    </r>
    <r>
      <rPr>
        <b/>
        <sz val="10"/>
        <color rgb="FFFF0000"/>
        <rFont val="Arial"/>
        <family val="2"/>
      </rPr>
      <t>overwrite</t>
    </r>
    <r>
      <rPr>
        <sz val="10"/>
        <color rgb="FFFF0000"/>
        <rFont val="Arial"/>
        <family val="2"/>
      </rPr>
      <t xml:space="preserve"> the data in the database/В случае обновлений данных: повторите процедуру и впишите дату заново в Базу данных</t>
    </r>
  </si>
  <si>
    <r>
      <t xml:space="preserve">FULL NAME/ФИО </t>
    </r>
    <r>
      <rPr>
        <b/>
        <sz val="11"/>
        <color rgb="FFFF0000"/>
        <rFont val="Arial"/>
        <family val="2"/>
      </rPr>
      <t>*</t>
    </r>
  </si>
  <si>
    <t>FULL NAME/ФИО</t>
  </si>
  <si>
    <t>IP (Injured Person) Full Name/Пострадавший ФИО</t>
  </si>
  <si>
    <r>
      <t xml:space="preserve">DESCRIPTION OF EVENTS </t>
    </r>
    <r>
      <rPr>
        <b/>
        <sz val="11"/>
        <color indexed="10"/>
        <rFont val="Arial"/>
        <family val="2"/>
        <charset val="1"/>
      </rPr>
      <t>BEFORE</t>
    </r>
    <r>
      <rPr>
        <b/>
        <sz val="11"/>
        <rFont val="Arial"/>
        <family val="2"/>
        <charset val="1"/>
      </rPr>
      <t xml:space="preserve"> THE INCIDENT (DATE &amp; TIMELINE)/ОПИСАНИЕ СОБЫТИЙ ДО ПРОИСШЕСТВИЯ (ХРОНОЛОГИЯ) </t>
    </r>
    <r>
      <rPr>
        <b/>
        <sz val="11"/>
        <color rgb="FFFF0000"/>
        <rFont val="Arial"/>
        <family val="2"/>
      </rPr>
      <t>*</t>
    </r>
  </si>
  <si>
    <t>No procedure/Нет процедуры</t>
  </si>
  <si>
    <t>No procedure available or inconvenient for use/Нет подходящей процедуры или предложенная процедура не удобна в данной ситуации</t>
  </si>
  <si>
    <t>Procedure difficult to use/Процедура сложна в применении</t>
  </si>
  <si>
    <t>Procedure use not required but should be/Процедура не обязательна, а желательна</t>
  </si>
  <si>
    <t>Wrong/Ошибки</t>
  </si>
  <si>
    <t>Situation not covered/Проблема не решена</t>
  </si>
  <si>
    <t>Wrong revision used/Неверное понимание предписаний</t>
  </si>
  <si>
    <t>Second checker needed/Необходим второй контролер</t>
  </si>
  <si>
    <t>Facts wrong/Ошибочные факты</t>
  </si>
  <si>
    <t>&gt; 1 Action / Step/1 Действие / Шаг</t>
  </si>
  <si>
    <t>Format confusing/Неправильный выбор формата</t>
  </si>
  <si>
    <t>Excess references/Доступные источники информации</t>
  </si>
  <si>
    <t>Details NI/Детали NI</t>
  </si>
  <si>
    <t>Data/computations wrong or incomplete/Данные/расчеты неверны или не полны</t>
  </si>
  <si>
    <t>Graphics NI/Графики NI</t>
  </si>
  <si>
    <t>No checkoff/Нет вычета</t>
  </si>
  <si>
    <t>Checkoff misused/Вычет рассчитан неправильно</t>
  </si>
  <si>
    <t>Equipment ID NI/Номенклатурный код оборудования NI</t>
  </si>
  <si>
    <t>Training/Подготовка</t>
  </si>
  <si>
    <t>No_training/Нет подготовки</t>
  </si>
  <si>
    <t>Task not analyzed/Задание не проанализировано</t>
  </si>
  <si>
    <t>Decided not to train/Подготовка была отменена</t>
  </si>
  <si>
    <t>No learning objective/Цель не изучена</t>
  </si>
  <si>
    <t>Missed required training/Отсутствие на указанной подготовке</t>
  </si>
  <si>
    <t>Understanding_NI/Понимание NI</t>
  </si>
  <si>
    <t>Learning objective NI/Изучение цели NI</t>
  </si>
  <si>
    <t>Lesson plan NI/План занятия NI</t>
  </si>
  <si>
    <t>Instruction NI/Инструкция NI</t>
  </si>
  <si>
    <t>Practice/repetition NI/Практика/закрепление NI</t>
  </si>
  <si>
    <t>Testing NI/Тестирование NI</t>
  </si>
  <si>
    <t>Continuing training NI/Продолжительное изучение NI</t>
  </si>
  <si>
    <t>Inspection &amp; Control/Проверка и контроль</t>
  </si>
  <si>
    <t>QC_NI/Контроль качества NI</t>
  </si>
  <si>
    <t>Inspection instruments NI/Оборудование для контроля NI</t>
  </si>
  <si>
    <t>Inspection techniques NI/Методы контроля NI</t>
  </si>
  <si>
    <t>Foreign material exclusion during work NI/Исключение посторонних материалов при работе с NI</t>
  </si>
  <si>
    <t>Communications/Коммуникации</t>
  </si>
  <si>
    <t>Comm. system NI/Коммуникационные системы NI</t>
  </si>
  <si>
    <t>Late communication/Позднее соединение</t>
  </si>
  <si>
    <t>Turnover_NI/Работа_NI</t>
  </si>
  <si>
    <t>No_comm._or_not_timely/Отсутствие_коммуникации_или_несвоевременная связь</t>
  </si>
  <si>
    <t>Turnover process NI/Рабочий процесс NI</t>
  </si>
  <si>
    <t>Misunderstood_verbal_comm./Непонимание_при_вербальной_коммуникации</t>
  </si>
  <si>
    <t>Standard terminology NI/Стандартная терминология NI</t>
  </si>
  <si>
    <t>Repeat back not used/Устройство для передачи ответа не было использовано</t>
  </si>
  <si>
    <t>Long message/Длинное сообщение</t>
  </si>
  <si>
    <t>Noisy environment/Высокий уровень помех</t>
  </si>
  <si>
    <t>No_inspection/Отсутствие проверки</t>
  </si>
  <si>
    <t>Inspection not required/Проверка не требовалась</t>
  </si>
  <si>
    <t>Management/Управление</t>
  </si>
  <si>
    <t>No Standards, Policies or Admin Controls/Отсутствие контроля стандартов, полисов и административной системы</t>
  </si>
  <si>
    <t>Not strict enough/Недостаточная строгость контроля</t>
  </si>
  <si>
    <t>Confusing or incomplete/Контроль нечеткий или незаконченный</t>
  </si>
  <si>
    <t>Technical error/Техническая ошибка</t>
  </si>
  <si>
    <t>Drawings/print NI/Графики / печать NI</t>
  </si>
  <si>
    <t>Oversight_or_Employee_relations/ Надзор_или_взаимоотношения_с _коллективом</t>
  </si>
  <si>
    <t>Corrective_action/ Меры_по_ликвидации _последствий</t>
  </si>
  <si>
    <t>Stand_Pol_or_Adm_controls_NI/  Контроль_стандартов_полисов_и _административной_системы</t>
  </si>
  <si>
    <t>Stand_Pol_or_Adm_controls_not_used/ Непроведенный_контроль_стандартов _полисов_и_административной_системы</t>
  </si>
  <si>
    <t>Recently changed/Недавно изменены</t>
  </si>
  <si>
    <t>Enforcement NI/Использование NI</t>
  </si>
  <si>
    <t>No way to implement/Невозможность выполнения</t>
  </si>
  <si>
    <t>Accountability NI/Подотчетность NI</t>
  </si>
  <si>
    <t>Infrequent audits &amp; evaluations/Редкие проверки и отчеты</t>
  </si>
  <si>
    <t>Audits &amp; evaluations lack depth/ Недостаточно серьезные проверки и неполные отчеты</t>
  </si>
  <si>
    <t>Audits &amp; evaluations not independent/Проверки и отчеты не независимы</t>
  </si>
  <si>
    <t>Employee feedback NI/Взаимодействие с коллективом</t>
  </si>
  <si>
    <t>Corrective action NI/NI меры по ликвидации последствий</t>
  </si>
  <si>
    <t>Corrective action not yet implemented/ Меры по ликвидации последствий еще не выполнены</t>
  </si>
  <si>
    <t>Trending NI/Анализ тенденций NI</t>
  </si>
  <si>
    <t>Human_Engineering/Кадровый инжиниринг</t>
  </si>
  <si>
    <t>Human_Machine_interface/Автоматизированное рабочее место</t>
  </si>
  <si>
    <t>Work_environment/Рабочая обстановка</t>
  </si>
  <si>
    <t>Complex_system/Комплексная система</t>
  </si>
  <si>
    <t>Labels NI/</t>
  </si>
  <si>
    <t>Arrangement/placement/Организация работы/Помещение</t>
  </si>
  <si>
    <t>Controls NI/NI контроль</t>
  </si>
  <si>
    <t>Monitoring alertness NI/NI контроль готовности</t>
  </si>
  <si>
    <t>Tools/instruments NI/Инструменты NI</t>
  </si>
  <si>
    <t>Housekeeping NI/Организация производства и управления предприятием NI</t>
  </si>
  <si>
    <t>Hot/cold/Горячий/Холодный</t>
  </si>
  <si>
    <t>Wet/slick/Влажный/Скользкий</t>
  </si>
  <si>
    <t>Lights NI/Освещение NI</t>
  </si>
  <si>
    <t>Noisy/Шум</t>
  </si>
  <si>
    <t>Obstruction/Помехи</t>
  </si>
  <si>
    <t>Cramped quarters/Маленькое помещение</t>
  </si>
  <si>
    <t>Equipment guard NI/Оборудования NI</t>
  </si>
  <si>
    <t>High radiation/contamination/Высокая радиация/заражение</t>
  </si>
  <si>
    <t>Monitoring too many items/Анализ слишком большого количества единиц</t>
  </si>
  <si>
    <t>Errors not detectable/Ошибки не фиксируются</t>
  </si>
  <si>
    <t>Errors not recoverable/Ошибки не исправимы</t>
  </si>
  <si>
    <t>Leadership_Work_Direction/Управление распоряжениями выполнения работ</t>
  </si>
  <si>
    <t>Preparation/Подготовка</t>
  </si>
  <si>
    <t>Selection_of_worker/Выбор работника</t>
  </si>
  <si>
    <t>Supervision_during_work/Контроль в течение выполнения работы</t>
  </si>
  <si>
    <t>No supervision/Отсутствие контроля</t>
  </si>
  <si>
    <t>Crew teamwork NI/Взаимодействие членов экипажа NI</t>
  </si>
  <si>
    <t>Not qualified/Не квалифицированный</t>
  </si>
  <si>
    <t>Fatigue/Уставший</t>
  </si>
  <si>
    <t>Upset/Расстроенный</t>
  </si>
  <si>
    <t>Substance abuse/Зависимый</t>
  </si>
  <si>
    <t>Team selection NI/Выбор команды NI</t>
  </si>
  <si>
    <t>No preparation/Отсутствие подготовки</t>
  </si>
  <si>
    <t>Work package/permit NI/Пакет работ/разрешение на выполнение работ</t>
  </si>
  <si>
    <t>Pre-job briefing NI/Инструктаж перед началом работы</t>
  </si>
  <si>
    <t>Scheduling NI/Расписание NI</t>
  </si>
  <si>
    <t>Lock out - Tag out NI/Автоблокировка - вывод и эксплуатации NI</t>
  </si>
  <si>
    <t>Fail protection NI/Защита от повторного пуска NI</t>
  </si>
  <si>
    <t>Sea/Swell
(Height &amp; Direction)/Волнение на море (Высота и направление)</t>
  </si>
  <si>
    <t>Was IP Seen By a Rig Medic?/Был ли пострадавший осмотрен парамедиком?</t>
  </si>
  <si>
    <t>Was D&amp;A Test Conducted?/Был ли проведен тест на употребление алкогля и наркотиков?</t>
  </si>
  <si>
    <t>Was a P&amp;I Surveyor Appointed?/Был ли вызван страховой агент?</t>
  </si>
  <si>
    <t>Client advised by Contract Manager?/Был ли клиент проинформирован?</t>
  </si>
  <si>
    <r>
      <t>D&amp;A TEST RESULT/РЕЗУЛЬТАТ ТЕСТА НА АЛКОГОЛЬ И НАРКОТИКИ</t>
    </r>
    <r>
      <rPr>
        <b/>
        <sz val="11"/>
        <color rgb="FFFF0000"/>
        <rFont val="Arial"/>
        <family val="2"/>
      </rPr>
      <t>*</t>
    </r>
  </si>
  <si>
    <r>
      <t xml:space="preserve">P&amp;I SURVEYOR REPORT/ОТЧЕТ СТРАХОВОГО АГЕНТА </t>
    </r>
    <r>
      <rPr>
        <b/>
        <sz val="11"/>
        <color rgb="FFFF0000"/>
        <rFont val="Arial"/>
        <family val="2"/>
      </rPr>
      <t>*</t>
    </r>
  </si>
  <si>
    <r>
      <t>C.</t>
    </r>
    <r>
      <rPr>
        <b/>
        <sz val="11"/>
        <color indexed="8"/>
        <rFont val="Arial"/>
        <family val="2"/>
        <charset val="1"/>
      </rPr>
      <t xml:space="preserve">                                         </t>
    </r>
    <r>
      <rPr>
        <b/>
        <i/>
        <u/>
        <sz val="11"/>
        <color indexed="21"/>
        <rFont val="Arial"/>
        <family val="2"/>
        <charset val="1"/>
      </rPr>
      <t>Person Completing Report at Location/Личный отчет по месту происшествия</t>
    </r>
  </si>
  <si>
    <r>
      <t xml:space="preserve">IMAGES/ФОТО </t>
    </r>
    <r>
      <rPr>
        <b/>
        <sz val="11"/>
        <color rgb="FFFF0000"/>
        <rFont val="Arial"/>
        <family val="2"/>
      </rPr>
      <t>*</t>
    </r>
  </si>
  <si>
    <t>Not_used_Not_followed/Неиспользованная процедура</t>
  </si>
  <si>
    <t>Followed_incorrectly/Неверно использованные процедуры</t>
  </si>
  <si>
    <t>Typo/Опечатка</t>
  </si>
  <si>
    <t>Sequence wrong/Неправильная последовательность действий</t>
  </si>
  <si>
    <t>Multi unit references/Ссылки на разлчные источники информации</t>
  </si>
  <si>
    <t>Misused second check/Отстутсвовала повторная проверка</t>
  </si>
  <si>
    <t>Ambiguous instructions/Неточные инструкции</t>
  </si>
  <si>
    <t>No hold point/Работы не были приостановлены</t>
  </si>
  <si>
    <t>Hold point not performed/Не применялась остановка работ</t>
  </si>
  <si>
    <t>Standard terminology not used/Использование нестандартной терминологии</t>
  </si>
  <si>
    <t xml:space="preserve">No standard turnover process/Отсутствие стандартной процедуры передачи информации </t>
  </si>
  <si>
    <t>Turnover process not used/Отсутсвие передачи информации</t>
  </si>
  <si>
    <t>1. Date Incident / near miss/Дата происшествия /чрезвычайной ситуации</t>
  </si>
  <si>
    <t>23. Turn around time/Время проведения расследования</t>
  </si>
  <si>
    <t>1: Click button to Select and Copy the data/Нажмите кнопку, чтобы Выбрать и Копировать информацию</t>
  </si>
  <si>
    <t>2: Open the Incident Database for your region and Paste (Special: Paste and use the tick box values and number formats) the data/Открыть Базу данных происшествий для Вашего региона и вставьте данные (Дополнительно: Вставляйте и используйте данные оценки их поля оценки данных и числовые форматы)</t>
  </si>
  <si>
    <r>
      <t xml:space="preserve">Limits NI/Ограничения </t>
    </r>
    <r>
      <rPr>
        <sz val="10"/>
        <color rgb="FFFF0000"/>
        <rFont val="Calibri"/>
        <family val="2"/>
        <charset val="204"/>
        <scheme val="minor"/>
      </rPr>
      <t>NI</t>
    </r>
  </si>
  <si>
    <t>Comm of Standards, Policies or Admin controls NI/Стандарты коммуникации, Политики или Административный контроль</t>
  </si>
  <si>
    <t xml:space="preserve">Employee communications NI/Коммуникация с  работниками </t>
  </si>
  <si>
    <t>Displays NI/Демонстрация NI</t>
  </si>
  <si>
    <t>Plant/unit differences/заводские различия изделий</t>
  </si>
  <si>
    <t>Excessive lifting/Чрезмерное поднятие</t>
  </si>
  <si>
    <t>Knowledge based decision required/Необходимое решение на основании знаний</t>
  </si>
  <si>
    <t>Non_fault_tolerant_system/Система не поддерживающая ошибки</t>
  </si>
  <si>
    <t>Walk-thru NI/Пошаговое рассмотрение NI</t>
  </si>
  <si>
    <t>NIL</t>
  </si>
  <si>
    <t>.</t>
  </si>
  <si>
    <t>ROOT CAUSE DESCRIPTION/ОПИСАНИЕ ОСНОВНОЙ ПРИЧИНЫ ПРОИСШЕСТВИЯ                      Loss of support wood for elictrical cable.</t>
  </si>
  <si>
    <t>ООО "Боллард"</t>
  </si>
  <si>
    <t>ANDROMEDA</t>
  </si>
  <si>
    <t>Лысенко Д.Г.</t>
  </si>
  <si>
    <t>Ляпин С.В.</t>
  </si>
  <si>
    <t>Копенкин В.В.</t>
  </si>
  <si>
    <t>Bollard</t>
  </si>
  <si>
    <t>26/12/2024 RUS- ANDROMEDA</t>
  </si>
  <si>
    <t>SMS BOLLARD Element/Элемент SMS BOLLARD</t>
  </si>
  <si>
    <t>(SMS BOLLARD) ALERT PROPOSAL/МЕРЫ ПРЕДУПРЕЖДЕНИЯ (SMS BOLLARD)</t>
  </si>
  <si>
    <t>SMS BOLLARD_Procedures/Процедуры_SMS BOLLARD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</si>
</sst>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 mmmm\ yyyy;@"/>
    <numFmt numFmtId="165" formatCode="d\ mmmm;@"/>
    <numFmt numFmtId="166" formatCode="dd/mm/yyyy;@"/>
    <numFmt numFmtId="167" formatCode="[$€-2]\ #,##0"/>
    <numFmt numFmtId="168" formatCode="mmmm/yyyy"/>
  </numFmts>
  <fonts count="42" x14ac:knownFonts="1">
    <font>
      <sz val="10"/>
      <name val="Arial"/>
      <family val="2"/>
    </font>
    <font>
      <sz val="11"/>
      <color indexed="8"/>
      <name val="Calibri"/>
      <family val="2"/>
      <charset val="1"/>
    </font>
    <font>
      <b/>
      <sz val="11"/>
      <name val="Arial"/>
      <family val="2"/>
      <charset val="1"/>
    </font>
    <font>
      <b/>
      <sz val="11"/>
      <color indexed="10"/>
      <name val="Arial"/>
      <family val="2"/>
      <charset val="1"/>
    </font>
    <font>
      <sz val="11"/>
      <name val="Arial"/>
      <family val="2"/>
      <charset val="1"/>
    </font>
    <font>
      <b/>
      <sz val="11"/>
      <color indexed="8"/>
      <name val="Arial"/>
      <family val="2"/>
      <charset val="1"/>
    </font>
    <font>
      <sz val="11"/>
      <color indexed="8"/>
      <name val="Arial"/>
      <family val="2"/>
      <charset val="1"/>
    </font>
    <font>
      <b/>
      <sz val="8"/>
      <color indexed="8"/>
      <name val="Tahoma"/>
      <family val="2"/>
      <charset val="1"/>
    </font>
    <font>
      <sz val="8"/>
      <color indexed="8"/>
      <name val="Tahoma"/>
      <family val="2"/>
      <charset val="1"/>
    </font>
    <font>
      <b/>
      <sz val="10"/>
      <color theme="0"/>
      <name val="Arial"/>
      <family val="2"/>
    </font>
    <font>
      <sz val="10"/>
      <name val="Calibri"/>
      <family val="2"/>
      <scheme val="minor"/>
    </font>
    <font>
      <sz val="10"/>
      <color indexed="8"/>
      <name val="Calibri"/>
      <family val="2"/>
      <scheme val="minor"/>
    </font>
    <font>
      <b/>
      <sz val="10"/>
      <color indexed="9"/>
      <name val="Calibri"/>
      <family val="2"/>
      <scheme val="minor"/>
    </font>
    <font>
      <sz val="10"/>
      <color theme="0"/>
      <name val="Calibri"/>
      <family val="2"/>
      <scheme val="minor"/>
    </font>
    <font>
      <sz val="10"/>
      <color rgb="FF0070C0"/>
      <name val="Calibri"/>
      <family val="2"/>
      <scheme val="minor"/>
    </font>
    <font>
      <vertAlign val="superscript"/>
      <sz val="10"/>
      <name val="Calibri"/>
      <family val="2"/>
      <scheme val="minor"/>
    </font>
    <font>
      <sz val="10"/>
      <color rgb="FFFF0000"/>
      <name val="Calibri"/>
      <family val="2"/>
      <scheme val="minor"/>
    </font>
    <font>
      <sz val="10"/>
      <color rgb="FF00B050"/>
      <name val="Calibri"/>
      <family val="2"/>
      <scheme val="minor"/>
    </font>
    <font>
      <sz val="10"/>
      <color theme="9"/>
      <name val="Calibri"/>
      <family val="2"/>
      <scheme val="minor"/>
    </font>
    <font>
      <sz val="10"/>
      <color rgb="FF7030A0"/>
      <name val="Calibri"/>
      <family val="2"/>
      <scheme val="minor"/>
    </font>
    <font>
      <sz val="10"/>
      <color theme="5" tint="-0.249977111117893"/>
      <name val="Calibri"/>
      <family val="2"/>
      <scheme val="minor"/>
    </font>
    <font>
      <b/>
      <sz val="11"/>
      <color rgb="FFFF0000"/>
      <name val="Arial"/>
      <family val="2"/>
    </font>
    <font>
      <sz val="11"/>
      <color theme="0"/>
      <name val="Calibri"/>
      <family val="2"/>
      <scheme val="minor"/>
    </font>
    <font>
      <sz val="11"/>
      <color indexed="9"/>
      <name val="Calibri"/>
      <family val="2"/>
      <scheme val="minor"/>
    </font>
    <font>
      <sz val="10"/>
      <color rgb="FFFF0000"/>
      <name val="Arial"/>
      <family val="2"/>
    </font>
    <font>
      <b/>
      <sz val="10"/>
      <color rgb="FFFF0000"/>
      <name val="Arial"/>
      <family val="2"/>
    </font>
    <font>
      <b/>
      <sz val="10"/>
      <name val="Arial"/>
      <family val="2"/>
    </font>
    <font>
      <b/>
      <sz val="10"/>
      <color indexed="8"/>
      <name val="Calibri"/>
      <family val="2"/>
      <scheme val="minor"/>
    </font>
    <font>
      <sz val="10"/>
      <name val="Arial"/>
      <family val="2"/>
      <charset val="1"/>
    </font>
    <font>
      <sz val="14"/>
      <name val="Arial"/>
      <family val="2"/>
    </font>
    <font>
      <sz val="11"/>
      <color indexed="8"/>
      <name val="Arial"/>
      <family val="2"/>
    </font>
    <font>
      <sz val="11"/>
      <name val="Arial"/>
      <family val="2"/>
    </font>
    <font>
      <sz val="11"/>
      <color indexed="10"/>
      <name val="Arial"/>
      <family val="2"/>
      <charset val="1"/>
    </font>
    <font>
      <b/>
      <i/>
      <u/>
      <sz val="11"/>
      <color indexed="38"/>
      <name val="Arial"/>
      <family val="2"/>
      <charset val="1"/>
    </font>
    <font>
      <b/>
      <i/>
      <u/>
      <sz val="11"/>
      <color indexed="21"/>
      <name val="Arial"/>
      <family val="2"/>
      <charset val="1"/>
    </font>
    <font>
      <i/>
      <sz val="11"/>
      <color indexed="8"/>
      <name val="Arial"/>
      <family val="2"/>
      <charset val="1"/>
    </font>
    <font>
      <b/>
      <sz val="11"/>
      <color rgb="FFFF0000"/>
      <name val="Arial"/>
      <family val="2"/>
      <charset val="204"/>
    </font>
    <font>
      <b/>
      <sz val="10"/>
      <name val="Arial"/>
      <family val="2"/>
      <charset val="204"/>
    </font>
    <font>
      <sz val="10"/>
      <color rgb="FFFF0000"/>
      <name val="Calibri"/>
      <family val="2"/>
      <charset val="204"/>
      <scheme val="minor"/>
    </font>
    <font>
      <sz val="12"/>
      <color indexed="8"/>
      <name val="Arial"/>
      <family val="2"/>
      <charset val="1"/>
    </font>
    <font>
      <sz val="10"/>
      <color rgb="FF000000"/>
      <name val="Arial"/>
      <family val="2"/>
      <charset val="204"/>
    </font>
    <font>
      <b/>
      <sz val="11"/>
      <name val="Arial"/>
      <family val="2"/>
      <charset val="204"/>
    </font>
  </fonts>
  <fills count="12">
    <fill>
      <patternFill patternType="none"/>
    </fill>
    <fill>
      <patternFill patternType="gray125"/>
    </fill>
    <fill>
      <patternFill patternType="solid">
        <fgColor indexed="27"/>
        <bgColor indexed="41"/>
      </patternFill>
    </fill>
    <fill>
      <patternFill patternType="solid">
        <fgColor indexed="9"/>
        <bgColor indexed="26"/>
      </patternFill>
    </fill>
    <fill>
      <patternFill patternType="solid">
        <fgColor indexed="30"/>
        <bgColor indexed="38"/>
      </patternFill>
    </fill>
    <fill>
      <patternFill patternType="solid">
        <fgColor rgb="FF0066FF"/>
        <bgColor indexed="64"/>
      </patternFill>
    </fill>
    <fill>
      <patternFill patternType="solid">
        <fgColor rgb="FF0070C0"/>
        <bgColor indexed="64"/>
      </patternFill>
    </fill>
    <fill>
      <patternFill patternType="solid">
        <fgColor rgb="FFCCECFF"/>
        <bgColor indexed="64"/>
      </patternFill>
    </fill>
    <fill>
      <patternFill patternType="solid">
        <fgColor theme="0"/>
        <bgColor indexed="64"/>
      </patternFill>
    </fill>
    <fill>
      <patternFill patternType="solid">
        <fgColor rgb="FFCCECFF"/>
        <bgColor indexed="41"/>
      </patternFill>
    </fill>
    <fill>
      <patternFill patternType="solid">
        <fgColor rgb="FF008E85"/>
        <bgColor indexed="64"/>
      </patternFill>
    </fill>
    <fill>
      <patternFill patternType="solid">
        <fgColor rgb="FF008E85"/>
        <bgColor auto="1"/>
      </patternFill>
    </fill>
  </fills>
  <borders count="43">
    <border>
      <left/>
      <right/>
      <top/>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8"/>
      </left>
      <right style="thin">
        <color indexed="8"/>
      </right>
      <top/>
      <bottom style="thin">
        <color indexed="8"/>
      </bottom>
      <diagonal/>
    </border>
    <border>
      <left/>
      <right style="thin">
        <color indexed="8"/>
      </right>
      <top style="thin">
        <color indexed="8"/>
      </top>
      <bottom style="thin">
        <color indexed="8"/>
      </bottom>
      <diagonal/>
    </border>
    <border>
      <left style="thin">
        <color indexed="8"/>
      </left>
      <right/>
      <top/>
      <bottom style="thin">
        <color indexed="8"/>
      </bottom>
      <diagonal/>
    </border>
    <border>
      <left/>
      <right style="thin">
        <color indexed="8"/>
      </right>
      <top/>
      <bottom style="thin">
        <color indexed="8"/>
      </bottom>
      <diagonal/>
    </border>
    <border>
      <left/>
      <right/>
      <top style="thin">
        <color indexed="8"/>
      </top>
      <bottom style="thin">
        <color indexed="8"/>
      </bottom>
      <diagonal/>
    </border>
    <border>
      <left style="thin">
        <color indexed="8"/>
      </left>
      <right/>
      <top/>
      <bottom/>
      <diagonal/>
    </border>
    <border>
      <left/>
      <right/>
      <top style="thin">
        <color indexed="8"/>
      </top>
      <bottom/>
      <diagonal/>
    </border>
    <border>
      <left/>
      <right/>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style="thin">
        <color indexed="8"/>
      </right>
      <top style="thin">
        <color indexed="8"/>
      </top>
      <bottom/>
      <diagonal/>
    </border>
    <border>
      <left/>
      <right style="thin">
        <color indexed="8"/>
      </right>
      <top/>
      <bottom/>
      <diagonal/>
    </border>
    <border>
      <left style="thin">
        <color indexed="8"/>
      </left>
      <right style="thin">
        <color indexed="8"/>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auto="1"/>
      </left>
      <right style="thin">
        <color auto="1"/>
      </right>
      <top style="double">
        <color auto="1"/>
      </top>
      <bottom style="double">
        <color auto="1"/>
      </bottom>
      <diagonal/>
    </border>
    <border>
      <left style="thin">
        <color auto="1"/>
      </left>
      <right style="thin">
        <color auto="1"/>
      </right>
      <top style="double">
        <color auto="1"/>
      </top>
      <bottom style="double">
        <color auto="1"/>
      </bottom>
      <diagonal/>
    </border>
    <border>
      <left style="thin">
        <color auto="1"/>
      </left>
      <right style="double">
        <color auto="1"/>
      </right>
      <top style="double">
        <color auto="1"/>
      </top>
      <bottom style="double">
        <color auto="1"/>
      </bottom>
      <diagonal/>
    </border>
    <border>
      <left style="double">
        <color auto="1"/>
      </left>
      <right style="thin">
        <color auto="1"/>
      </right>
      <top style="double">
        <color auto="1"/>
      </top>
      <bottom/>
      <diagonal/>
    </border>
    <border>
      <left style="thin">
        <color auto="1"/>
      </left>
      <right style="thin">
        <color auto="1"/>
      </right>
      <top style="double">
        <color auto="1"/>
      </top>
      <bottom/>
      <diagonal/>
    </border>
    <border>
      <left style="thin">
        <color auto="1"/>
      </left>
      <right style="double">
        <color auto="1"/>
      </right>
      <top style="double">
        <color auto="1"/>
      </top>
      <bottom/>
      <diagonal/>
    </border>
    <border>
      <left style="double">
        <color auto="1"/>
      </left>
      <right style="thin">
        <color auto="1"/>
      </right>
      <top/>
      <bottom/>
      <diagonal/>
    </border>
    <border>
      <left style="thin">
        <color auto="1"/>
      </left>
      <right style="thin">
        <color auto="1"/>
      </right>
      <top/>
      <bottom/>
      <diagonal/>
    </border>
    <border>
      <left style="thin">
        <color auto="1"/>
      </left>
      <right style="double">
        <color auto="1"/>
      </right>
      <top/>
      <bottom/>
      <diagonal/>
    </border>
    <border>
      <left style="double">
        <color auto="1"/>
      </left>
      <right style="thin">
        <color auto="1"/>
      </right>
      <top/>
      <bottom style="double">
        <color auto="1"/>
      </bottom>
      <diagonal/>
    </border>
    <border>
      <left style="thin">
        <color auto="1"/>
      </left>
      <right style="thin">
        <color auto="1"/>
      </right>
      <top/>
      <bottom style="double">
        <color auto="1"/>
      </bottom>
      <diagonal/>
    </border>
    <border>
      <left style="thin">
        <color auto="1"/>
      </left>
      <right style="double">
        <color auto="1"/>
      </right>
      <top/>
      <bottom style="double">
        <color auto="1"/>
      </bottom>
      <diagonal/>
    </border>
    <border>
      <left/>
      <right/>
      <top style="double">
        <color auto="1"/>
      </top>
      <bottom/>
      <diagonal/>
    </border>
    <border>
      <left style="double">
        <color auto="1"/>
      </left>
      <right/>
      <top style="double">
        <color auto="1"/>
      </top>
      <bottom style="thin">
        <color auto="1"/>
      </bottom>
      <diagonal/>
    </border>
    <border>
      <left style="double">
        <color auto="1"/>
      </left>
      <right/>
      <top style="thin">
        <color auto="1"/>
      </top>
      <bottom style="thin">
        <color auto="1"/>
      </bottom>
      <diagonal/>
    </border>
    <border>
      <left style="double">
        <color auto="1"/>
      </left>
      <right/>
      <top style="thin">
        <color auto="1"/>
      </top>
      <bottom style="double">
        <color auto="1"/>
      </bottom>
      <diagonal/>
    </border>
    <border>
      <left style="thin">
        <color auto="1"/>
      </left>
      <right style="double">
        <color auto="1"/>
      </right>
      <top style="double">
        <color auto="1"/>
      </top>
      <bottom style="thin">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style="double">
        <color auto="1"/>
      </bottom>
      <diagonal/>
    </border>
  </borders>
  <cellStyleXfs count="2">
    <xf numFmtId="0" fontId="0" fillId="0" borderId="0"/>
    <xf numFmtId="0" fontId="1" fillId="0" borderId="0"/>
  </cellStyleXfs>
  <cellXfs count="244">
    <xf numFmtId="0" fontId="0" fillId="0" borderId="0" xfId="0"/>
    <xf numFmtId="0" fontId="2" fillId="2" borderId="2" xfId="1" applyFont="1" applyFill="1" applyBorder="1" applyAlignment="1">
      <alignment vertical="center"/>
    </xf>
    <xf numFmtId="0" fontId="4" fillId="2" borderId="4" xfId="1" applyFont="1" applyFill="1" applyBorder="1" applyAlignment="1">
      <alignment vertical="center"/>
    </xf>
    <xf numFmtId="0" fontId="2" fillId="2" borderId="2" xfId="1" applyFont="1" applyFill="1" applyBorder="1" applyAlignment="1">
      <alignment horizontal="left" vertical="center"/>
    </xf>
    <xf numFmtId="0" fontId="2" fillId="2" borderId="4" xfId="1" applyFont="1" applyFill="1" applyBorder="1" applyAlignment="1">
      <alignment horizontal="left" vertical="center"/>
    </xf>
    <xf numFmtId="0" fontId="4" fillId="2" borderId="4" xfId="1" applyFont="1" applyFill="1" applyBorder="1" applyAlignment="1">
      <alignment horizontal="left" vertical="center"/>
    </xf>
    <xf numFmtId="0" fontId="6" fillId="2" borderId="4" xfId="1" applyFont="1" applyFill="1" applyBorder="1" applyAlignment="1">
      <alignment horizontal="left" vertical="center"/>
    </xf>
    <xf numFmtId="0" fontId="6" fillId="2" borderId="1" xfId="1" applyFont="1" applyFill="1" applyBorder="1" applyAlignment="1">
      <alignment horizontal="left" vertical="center"/>
    </xf>
    <xf numFmtId="0" fontId="6" fillId="2" borderId="6" xfId="1" applyFont="1" applyFill="1" applyBorder="1"/>
    <xf numFmtId="0" fontId="9" fillId="5" borderId="0" xfId="0" applyFont="1" applyFill="1"/>
    <xf numFmtId="0" fontId="0" fillId="0" borderId="0" xfId="0" quotePrefix="1" applyAlignment="1">
      <alignment vertical="top"/>
    </xf>
    <xf numFmtId="14" fontId="0" fillId="0" borderId="0" xfId="0" applyNumberFormat="1" applyAlignment="1">
      <alignment vertical="top"/>
    </xf>
    <xf numFmtId="0" fontId="0" fillId="0" borderId="0" xfId="0" applyAlignment="1">
      <alignment vertical="top" wrapText="1"/>
    </xf>
    <xf numFmtId="0" fontId="0" fillId="0" borderId="0" xfId="0" applyAlignment="1">
      <alignment vertical="top"/>
    </xf>
    <xf numFmtId="0" fontId="0" fillId="0" borderId="0" xfId="0" quotePrefix="1"/>
    <xf numFmtId="14" fontId="0" fillId="0" borderId="0" xfId="0" applyNumberFormat="1"/>
    <xf numFmtId="0" fontId="10" fillId="0" borderId="0" xfId="0" applyFont="1" applyAlignment="1">
      <alignment vertical="center"/>
    </xf>
    <xf numFmtId="0" fontId="10" fillId="0" borderId="0" xfId="1" applyFont="1"/>
    <xf numFmtId="0" fontId="11" fillId="0" borderId="0" xfId="1" applyFont="1"/>
    <xf numFmtId="0" fontId="12" fillId="4" borderId="11" xfId="1" applyFont="1" applyFill="1" applyBorder="1" applyAlignment="1">
      <alignment horizontal="left" vertical="center" wrapText="1"/>
    </xf>
    <xf numFmtId="0" fontId="13" fillId="6" borderId="0" xfId="1" applyFont="1" applyFill="1" applyAlignment="1">
      <alignment horizontal="left" vertical="center"/>
    </xf>
    <xf numFmtId="0" fontId="14" fillId="0" borderId="0" xfId="1" applyFont="1"/>
    <xf numFmtId="0" fontId="10" fillId="0" borderId="0" xfId="1" applyFont="1" applyAlignment="1">
      <alignment horizontal="left" vertical="center" wrapText="1"/>
    </xf>
    <xf numFmtId="0" fontId="11" fillId="0" borderId="0" xfId="1" applyFont="1" applyAlignment="1">
      <alignment horizontal="left" vertical="center"/>
    </xf>
    <xf numFmtId="0" fontId="10" fillId="0" borderId="0" xfId="1" applyFont="1" applyAlignment="1">
      <alignment wrapText="1"/>
    </xf>
    <xf numFmtId="0" fontId="16" fillId="0" borderId="0" xfId="1" applyFont="1"/>
    <xf numFmtId="16" fontId="10" fillId="0" borderId="0" xfId="1" applyNumberFormat="1" applyFont="1"/>
    <xf numFmtId="0" fontId="17" fillId="0" borderId="0" xfId="1" applyFont="1"/>
    <xf numFmtId="0" fontId="11" fillId="0" borderId="0" xfId="1" applyFont="1" applyProtection="1">
      <protection locked="0"/>
    </xf>
    <xf numFmtId="0" fontId="18" fillId="0" borderId="0" xfId="1" applyFont="1"/>
    <xf numFmtId="0" fontId="19" fillId="0" borderId="0" xfId="1" applyFont="1"/>
    <xf numFmtId="0" fontId="20" fillId="0" borderId="0" xfId="1" applyFont="1"/>
    <xf numFmtId="0" fontId="5" fillId="7" borderId="17" xfId="1" applyFont="1" applyFill="1" applyBorder="1" applyAlignment="1">
      <alignment horizontal="left" vertical="center"/>
    </xf>
    <xf numFmtId="0" fontId="24" fillId="0" borderId="0" xfId="0" applyFont="1"/>
    <xf numFmtId="0" fontId="0" fillId="0" borderId="0" xfId="0" applyAlignment="1">
      <alignment wrapText="1"/>
    </xf>
    <xf numFmtId="0" fontId="11" fillId="0" borderId="27" xfId="1" applyFont="1" applyBorder="1"/>
    <xf numFmtId="0" fontId="11" fillId="0" borderId="28" xfId="1" applyFont="1" applyBorder="1"/>
    <xf numFmtId="0" fontId="11" fillId="0" borderId="29" xfId="1" applyFont="1" applyBorder="1"/>
    <xf numFmtId="0" fontId="11" fillId="0" borderId="30" xfId="1" applyFont="1" applyBorder="1"/>
    <xf numFmtId="0" fontId="11" fillId="0" borderId="31" xfId="1" applyFont="1" applyBorder="1"/>
    <xf numFmtId="0" fontId="11" fillId="0" borderId="32" xfId="1" applyFont="1" applyBorder="1"/>
    <xf numFmtId="0" fontId="0" fillId="0" borderId="30" xfId="0" applyBorder="1"/>
    <xf numFmtId="0" fontId="0" fillId="0" borderId="31" xfId="0" applyBorder="1"/>
    <xf numFmtId="0" fontId="0" fillId="0" borderId="33" xfId="0" applyBorder="1"/>
    <xf numFmtId="0" fontId="0" fillId="0" borderId="34" xfId="0" applyBorder="1"/>
    <xf numFmtId="0" fontId="26" fillId="0" borderId="24" xfId="0" applyFont="1" applyBorder="1"/>
    <xf numFmtId="0" fontId="26" fillId="0" borderId="25" xfId="0" applyFont="1" applyBorder="1"/>
    <xf numFmtId="0" fontId="26" fillId="0" borderId="26" xfId="0" applyFont="1" applyBorder="1"/>
    <xf numFmtId="0" fontId="26" fillId="0" borderId="0" xfId="0" applyFont="1" applyAlignment="1">
      <alignment horizontal="center" vertical="center"/>
    </xf>
    <xf numFmtId="0" fontId="26" fillId="0" borderId="0" xfId="0" applyFont="1"/>
    <xf numFmtId="0" fontId="11" fillId="0" borderId="34" xfId="1" applyFont="1" applyBorder="1"/>
    <xf numFmtId="0" fontId="0" fillId="0" borderId="36" xfId="0" applyBorder="1"/>
    <xf numFmtId="0" fontId="11" fillId="0" borderId="36" xfId="1" applyFont="1" applyBorder="1"/>
    <xf numFmtId="0" fontId="0" fillId="0" borderId="32" xfId="0" applyBorder="1"/>
    <xf numFmtId="0" fontId="0" fillId="0" borderId="35" xfId="0" applyBorder="1"/>
    <xf numFmtId="0" fontId="27" fillId="0" borderId="0" xfId="1" applyFont="1"/>
    <xf numFmtId="0" fontId="28" fillId="0" borderId="0" xfId="0" applyFont="1"/>
    <xf numFmtId="0" fontId="10" fillId="0" borderId="0" xfId="0" applyFont="1"/>
    <xf numFmtId="0" fontId="5" fillId="0" borderId="0" xfId="1" applyFont="1" applyAlignment="1">
      <alignment horizontal="left" vertical="center"/>
    </xf>
    <xf numFmtId="167" fontId="26" fillId="0" borderId="26" xfId="0" applyNumberFormat="1" applyFont="1" applyBorder="1"/>
    <xf numFmtId="0" fontId="29" fillId="0" borderId="0" xfId="0" applyFont="1"/>
    <xf numFmtId="0" fontId="5" fillId="7" borderId="16" xfId="1" applyFont="1" applyFill="1" applyBorder="1" applyAlignment="1">
      <alignment horizontal="left" vertical="center"/>
    </xf>
    <xf numFmtId="0" fontId="2" fillId="2" borderId="1" xfId="1" applyFont="1" applyFill="1" applyBorder="1" applyAlignment="1">
      <alignment horizontal="center" vertical="center" wrapText="1"/>
    </xf>
    <xf numFmtId="0" fontId="2" fillId="2" borderId="1" xfId="1" applyFont="1" applyFill="1" applyBorder="1" applyAlignment="1">
      <alignment horizontal="left" vertical="center"/>
    </xf>
    <xf numFmtId="0" fontId="5" fillId="2" borderId="1" xfId="1" applyFont="1" applyFill="1" applyBorder="1" applyAlignment="1">
      <alignment horizontal="left" vertical="center"/>
    </xf>
    <xf numFmtId="0" fontId="5" fillId="2" borderId="2" xfId="1" applyFont="1" applyFill="1" applyBorder="1" applyAlignment="1">
      <alignment horizontal="left" vertical="center"/>
    </xf>
    <xf numFmtId="0" fontId="2" fillId="2" borderId="1" xfId="1" applyFont="1" applyFill="1" applyBorder="1" applyAlignment="1">
      <alignment horizontal="left" vertical="center" wrapText="1"/>
    </xf>
    <xf numFmtId="0" fontId="0" fillId="0" borderId="37" xfId="0" applyBorder="1" applyProtection="1">
      <protection locked="0"/>
    </xf>
    <xf numFmtId="167" fontId="0" fillId="0" borderId="40" xfId="0" applyNumberFormat="1" applyBorder="1" applyProtection="1">
      <protection locked="0"/>
    </xf>
    <xf numFmtId="0" fontId="0" fillId="0" borderId="38" xfId="0" applyBorder="1" applyProtection="1">
      <protection locked="0"/>
    </xf>
    <xf numFmtId="167" fontId="0" fillId="0" borderId="41" xfId="0" applyNumberFormat="1" applyBorder="1" applyProtection="1">
      <protection locked="0"/>
    </xf>
    <xf numFmtId="0" fontId="0" fillId="0" borderId="39" xfId="0" applyBorder="1" applyProtection="1">
      <protection locked="0"/>
    </xf>
    <xf numFmtId="167" fontId="0" fillId="0" borderId="42" xfId="0" applyNumberFormat="1" applyBorder="1" applyProtection="1">
      <protection locked="0"/>
    </xf>
    <xf numFmtId="168" fontId="28" fillId="0" borderId="0" xfId="0" applyNumberFormat="1" applyFont="1"/>
    <xf numFmtId="0" fontId="28" fillId="0" borderId="0" xfId="0" applyFont="1" applyAlignment="1">
      <alignment wrapText="1"/>
    </xf>
    <xf numFmtId="14" fontId="28" fillId="0" borderId="0" xfId="0" applyNumberFormat="1" applyFont="1"/>
    <xf numFmtId="0" fontId="5" fillId="0" borderId="0" xfId="1" applyFont="1"/>
    <xf numFmtId="0" fontId="6" fillId="0" borderId="0" xfId="1" applyFont="1"/>
    <xf numFmtId="0" fontId="3" fillId="0" borderId="0" xfId="1" applyFont="1"/>
    <xf numFmtId="0" fontId="32" fillId="0" borderId="0" xfId="1" applyFont="1"/>
    <xf numFmtId="0" fontId="5" fillId="0" borderId="0" xfId="1" applyFont="1" applyAlignment="1">
      <alignment horizontal="right"/>
    </xf>
    <xf numFmtId="0" fontId="6" fillId="0" borderId="0" xfId="1" applyFont="1" applyAlignment="1">
      <alignment horizontal="right"/>
    </xf>
    <xf numFmtId="0" fontId="33" fillId="0" borderId="0" xfId="1" applyFont="1"/>
    <xf numFmtId="166" fontId="6" fillId="0" borderId="3" xfId="1" applyNumberFormat="1" applyFont="1" applyBorder="1" applyAlignment="1" applyProtection="1">
      <alignment horizontal="center" vertical="center" wrapText="1"/>
      <protection locked="0"/>
    </xf>
    <xf numFmtId="0" fontId="6" fillId="0" borderId="2" xfId="1" applyFont="1" applyBorder="1" applyAlignment="1" applyProtection="1">
      <alignment vertical="center" wrapText="1"/>
      <protection locked="0"/>
    </xf>
    <xf numFmtId="0" fontId="6" fillId="0" borderId="1" xfId="1" applyFont="1" applyBorder="1" applyAlignment="1" applyProtection="1">
      <alignment vertical="center" wrapText="1"/>
      <protection locked="0"/>
    </xf>
    <xf numFmtId="0" fontId="6" fillId="0" borderId="1" xfId="1" applyFont="1" applyBorder="1" applyProtection="1">
      <protection locked="0"/>
    </xf>
    <xf numFmtId="0" fontId="6" fillId="0" borderId="1" xfId="1" applyFont="1" applyBorder="1" applyAlignment="1" applyProtection="1">
      <alignment vertical="center"/>
      <protection locked="0"/>
    </xf>
    <xf numFmtId="0" fontId="6" fillId="0" borderId="0" xfId="1" applyFont="1" applyAlignment="1">
      <alignment horizontal="left" vertical="center" wrapText="1"/>
    </xf>
    <xf numFmtId="0" fontId="4" fillId="0" borderId="0" xfId="1" applyFont="1" applyAlignment="1">
      <alignment horizontal="left" vertical="center" wrapText="1"/>
    </xf>
    <xf numFmtId="0" fontId="4" fillId="0" borderId="1" xfId="1" applyFont="1" applyBorder="1" applyProtection="1">
      <protection locked="0"/>
    </xf>
    <xf numFmtId="0" fontId="6" fillId="0" borderId="0" xfId="1" applyFont="1" applyAlignment="1">
      <alignment vertical="center"/>
    </xf>
    <xf numFmtId="0" fontId="4" fillId="0" borderId="0" xfId="1" applyFont="1" applyAlignment="1">
      <alignment horizontal="center" vertical="center" wrapText="1"/>
    </xf>
    <xf numFmtId="0" fontId="1" fillId="0" borderId="0" xfId="1"/>
    <xf numFmtId="0" fontId="6" fillId="0" borderId="0" xfId="1" applyFont="1" applyAlignment="1">
      <alignment horizontal="left" vertical="center"/>
    </xf>
    <xf numFmtId="0" fontId="4" fillId="0" borderId="0" xfId="1" applyFont="1"/>
    <xf numFmtId="0" fontId="6" fillId="0" borderId="1" xfId="1" applyFont="1" applyBorder="1" applyAlignment="1" applyProtection="1">
      <alignment horizontal="left" vertical="center"/>
      <protection locked="0"/>
    </xf>
    <xf numFmtId="0" fontId="6" fillId="0" borderId="4" xfId="1" applyFont="1" applyBorder="1" applyAlignment="1" applyProtection="1">
      <alignment horizontal="left" vertical="center"/>
      <protection locked="0"/>
    </xf>
    <xf numFmtId="0" fontId="6" fillId="0" borderId="2" xfId="1" applyFont="1" applyBorder="1" applyAlignment="1" applyProtection="1">
      <alignment horizontal="left" vertical="center"/>
      <protection locked="0"/>
    </xf>
    <xf numFmtId="0" fontId="2" fillId="2" borderId="7" xfId="1" applyFont="1" applyFill="1" applyBorder="1" applyAlignment="1">
      <alignment vertical="center"/>
    </xf>
    <xf numFmtId="0" fontId="32" fillId="2" borderId="7" xfId="1" applyFont="1" applyFill="1" applyBorder="1" applyAlignment="1">
      <alignment vertical="center"/>
    </xf>
    <xf numFmtId="0" fontId="4" fillId="2" borderId="7" xfId="1" applyFont="1" applyFill="1" applyBorder="1" applyAlignment="1">
      <alignment vertical="center"/>
    </xf>
    <xf numFmtId="0" fontId="4" fillId="0" borderId="8" xfId="1" applyFont="1" applyBorder="1" applyAlignment="1">
      <alignment vertical="center"/>
    </xf>
    <xf numFmtId="0" fontId="6" fillId="0" borderId="8" xfId="1" applyFont="1" applyBorder="1" applyAlignment="1">
      <alignment vertical="center" wrapText="1"/>
    </xf>
    <xf numFmtId="0" fontId="6" fillId="0" borderId="8" xfId="1" applyFont="1" applyBorder="1"/>
    <xf numFmtId="0" fontId="6" fillId="0" borderId="9" xfId="1" applyFont="1" applyBorder="1" applyAlignment="1">
      <alignment horizontal="left" vertical="center"/>
    </xf>
    <xf numFmtId="0" fontId="2" fillId="0" borderId="10" xfId="1" applyFont="1" applyBorder="1"/>
    <xf numFmtId="0" fontId="33" fillId="0" borderId="10" xfId="1" applyFont="1" applyBorder="1"/>
    <xf numFmtId="0" fontId="6" fillId="0" borderId="10" xfId="1" applyFont="1" applyBorder="1" applyAlignment="1">
      <alignment horizontal="left" vertical="center"/>
    </xf>
    <xf numFmtId="0" fontId="6" fillId="3" borderId="0" xfId="1" applyFont="1" applyFill="1" applyAlignment="1">
      <alignment horizontal="left" vertical="center"/>
    </xf>
    <xf numFmtId="0" fontId="6" fillId="0" borderId="0" xfId="1" applyFont="1" applyAlignment="1">
      <alignment vertical="center" wrapText="1"/>
    </xf>
    <xf numFmtId="0" fontId="6" fillId="0" borderId="8" xfId="1" applyFont="1" applyBorder="1" applyAlignment="1">
      <alignment vertical="top"/>
    </xf>
    <xf numFmtId="0" fontId="6" fillId="0" borderId="0" xfId="1" applyFont="1" applyAlignment="1">
      <alignment vertical="top"/>
    </xf>
    <xf numFmtId="14" fontId="6" fillId="0" borderId="0" xfId="1" applyNumberFormat="1" applyFont="1" applyAlignment="1">
      <alignment horizontal="left" vertical="center"/>
    </xf>
    <xf numFmtId="164" fontId="6" fillId="0" borderId="0" xfId="1" applyNumberFormat="1" applyFont="1" applyAlignment="1">
      <alignment horizontal="left" vertical="center"/>
    </xf>
    <xf numFmtId="165" fontId="6" fillId="0" borderId="0" xfId="1" applyNumberFormat="1" applyFont="1" applyAlignment="1">
      <alignment horizontal="left" vertical="center"/>
    </xf>
    <xf numFmtId="0" fontId="6" fillId="0" borderId="10" xfId="1" applyFont="1" applyBorder="1" applyAlignment="1">
      <alignment vertical="center" wrapText="1"/>
    </xf>
    <xf numFmtId="0" fontId="2" fillId="2" borderId="2" xfId="1" applyFont="1" applyFill="1" applyBorder="1"/>
    <xf numFmtId="0" fontId="4" fillId="2" borderId="4" xfId="1" applyFont="1" applyFill="1" applyBorder="1"/>
    <xf numFmtId="0" fontId="4" fillId="0" borderId="8" xfId="1" applyFont="1" applyBorder="1" applyAlignment="1">
      <alignment horizontal="left"/>
    </xf>
    <xf numFmtId="0" fontId="4" fillId="0" borderId="0" xfId="1" applyFont="1" applyAlignment="1">
      <alignment horizontal="left"/>
    </xf>
    <xf numFmtId="0" fontId="6" fillId="0" borderId="8" xfId="1" applyFont="1" applyBorder="1" applyAlignment="1">
      <alignment horizontal="left" vertical="center"/>
    </xf>
    <xf numFmtId="0" fontId="35" fillId="0" borderId="0" xfId="1" applyFont="1"/>
    <xf numFmtId="0" fontId="6" fillId="0" borderId="10" xfId="1" applyFont="1" applyBorder="1"/>
    <xf numFmtId="0" fontId="5" fillId="2" borderId="4" xfId="1" applyFont="1" applyFill="1" applyBorder="1" applyAlignment="1">
      <alignment horizontal="left" vertical="center"/>
    </xf>
    <xf numFmtId="0" fontId="6" fillId="0" borderId="7" xfId="1" applyFont="1" applyBorder="1" applyAlignment="1">
      <alignment horizontal="left" vertical="center"/>
    </xf>
    <xf numFmtId="0" fontId="2" fillId="2" borderId="4" xfId="1" applyFont="1" applyFill="1" applyBorder="1" applyAlignment="1">
      <alignment horizontal="left" vertical="center" wrapText="1"/>
    </xf>
    <xf numFmtId="0" fontId="5" fillId="0" borderId="0" xfId="1" applyFont="1" applyAlignment="1">
      <alignment horizontal="left" vertical="top"/>
    </xf>
    <xf numFmtId="0" fontId="2" fillId="2" borderId="1" xfId="1" applyFont="1" applyFill="1" applyBorder="1" applyAlignment="1">
      <alignment horizontal="left" vertical="top"/>
    </xf>
    <xf numFmtId="0" fontId="2" fillId="2" borderId="2" xfId="1" applyFont="1" applyFill="1" applyBorder="1" applyAlignment="1">
      <alignment vertical="top"/>
    </xf>
    <xf numFmtId="0" fontId="2" fillId="2" borderId="1" xfId="1" applyFont="1" applyFill="1" applyBorder="1" applyAlignment="1">
      <alignment vertical="top"/>
    </xf>
    <xf numFmtId="0" fontId="2" fillId="8" borderId="0" xfId="1" applyFont="1" applyFill="1"/>
    <xf numFmtId="0" fontId="6" fillId="8" borderId="0" xfId="1" applyFont="1" applyFill="1"/>
    <xf numFmtId="0" fontId="26" fillId="0" borderId="24" xfId="0" applyFont="1" applyBorder="1" applyAlignment="1">
      <alignment horizontal="left" vertical="top" wrapText="1"/>
    </xf>
    <xf numFmtId="0" fontId="11" fillId="0" borderId="30" xfId="1" applyFont="1" applyBorder="1" applyAlignment="1">
      <alignment vertical="top" wrapText="1"/>
    </xf>
    <xf numFmtId="0" fontId="11" fillId="0" borderId="31" xfId="1" applyFont="1" applyBorder="1" applyAlignment="1">
      <alignment vertical="top"/>
    </xf>
    <xf numFmtId="0" fontId="11" fillId="0" borderId="31" xfId="1" applyFont="1" applyBorder="1" applyAlignment="1">
      <alignment wrapText="1"/>
    </xf>
    <xf numFmtId="0" fontId="11" fillId="0" borderId="32" xfId="1" applyFont="1" applyBorder="1" applyAlignment="1">
      <alignment horizontal="left" vertical="top"/>
    </xf>
    <xf numFmtId="0" fontId="11" fillId="0" borderId="32" xfId="1" applyFont="1" applyBorder="1" applyAlignment="1">
      <alignment horizontal="left" vertical="top" wrapText="1"/>
    </xf>
    <xf numFmtId="0" fontId="11" fillId="0" borderId="35" xfId="1" applyFont="1" applyBorder="1" applyAlignment="1">
      <alignment horizontal="left" vertical="top" wrapText="1"/>
    </xf>
    <xf numFmtId="0" fontId="11" fillId="0" borderId="27" xfId="1" applyFont="1" applyBorder="1" applyAlignment="1">
      <alignment wrapText="1"/>
    </xf>
    <xf numFmtId="0" fontId="11" fillId="0" borderId="30" xfId="1" applyFont="1" applyBorder="1" applyAlignment="1">
      <alignment wrapText="1"/>
    </xf>
    <xf numFmtId="0" fontId="11" fillId="0" borderId="30" xfId="1" applyFont="1" applyBorder="1" applyAlignment="1">
      <alignment horizontal="left" vertical="top" wrapText="1"/>
    </xf>
    <xf numFmtId="0" fontId="11" fillId="0" borderId="35" xfId="1" applyFont="1" applyBorder="1" applyAlignment="1">
      <alignment wrapText="1"/>
    </xf>
    <xf numFmtId="0" fontId="26" fillId="0" borderId="25" xfId="0" applyFont="1" applyBorder="1" applyAlignment="1">
      <alignment vertical="top"/>
    </xf>
    <xf numFmtId="0" fontId="26" fillId="0" borderId="25" xfId="0" applyFont="1" applyBorder="1" applyAlignment="1">
      <alignment horizontal="left" vertical="top"/>
    </xf>
    <xf numFmtId="0" fontId="11" fillId="0" borderId="31" xfId="1" applyFont="1" applyBorder="1" applyAlignment="1">
      <alignment horizontal="left" vertical="top"/>
    </xf>
    <xf numFmtId="0" fontId="11" fillId="0" borderId="28" xfId="1" applyFont="1" applyBorder="1" applyAlignment="1">
      <alignment horizontal="left" vertical="top" wrapText="1"/>
    </xf>
    <xf numFmtId="0" fontId="26" fillId="0" borderId="26" xfId="0" applyFont="1" applyBorder="1" applyAlignment="1">
      <alignment horizontal="left" vertical="top" wrapText="1"/>
    </xf>
    <xf numFmtId="0" fontId="11" fillId="0" borderId="29" xfId="1" applyFont="1" applyBorder="1" applyAlignment="1">
      <alignment horizontal="left" vertical="top" wrapText="1"/>
    </xf>
    <xf numFmtId="0" fontId="26" fillId="0" borderId="24" xfId="0" applyFont="1" applyBorder="1" applyAlignment="1">
      <alignment wrapText="1"/>
    </xf>
    <xf numFmtId="0" fontId="11" fillId="0" borderId="27" xfId="1" applyFont="1" applyBorder="1" applyAlignment="1">
      <alignment vertical="top" wrapText="1"/>
    </xf>
    <xf numFmtId="0" fontId="11" fillId="0" borderId="30" xfId="1" applyFont="1" applyBorder="1" applyAlignment="1">
      <alignment horizontal="left" vertical="top"/>
    </xf>
    <xf numFmtId="0" fontId="26" fillId="0" borderId="25" xfId="0" applyFont="1" applyBorder="1" applyAlignment="1">
      <alignment horizontal="left" vertical="top" wrapText="1"/>
    </xf>
    <xf numFmtId="0" fontId="11" fillId="0" borderId="27" xfId="1" applyFont="1" applyBorder="1" applyAlignment="1">
      <alignment horizontal="left" vertical="top" wrapText="1"/>
    </xf>
    <xf numFmtId="0" fontId="11" fillId="0" borderId="31" xfId="1" applyFont="1" applyBorder="1" applyAlignment="1">
      <alignment horizontal="left" vertical="top" wrapText="1"/>
    </xf>
    <xf numFmtId="0" fontId="0" fillId="0" borderId="32" xfId="0" applyBorder="1" applyAlignment="1">
      <alignment horizontal="left" vertical="top" wrapText="1"/>
    </xf>
    <xf numFmtId="0" fontId="11" fillId="0" borderId="33" xfId="1" applyFont="1" applyBorder="1" applyAlignment="1">
      <alignment horizontal="left" vertical="top" wrapText="1"/>
    </xf>
    <xf numFmtId="0" fontId="11" fillId="0" borderId="34" xfId="1" applyFont="1" applyBorder="1" applyAlignment="1">
      <alignment horizontal="left" vertical="top" wrapText="1"/>
    </xf>
    <xf numFmtId="0" fontId="0" fillId="0" borderId="35" xfId="0" applyBorder="1" applyAlignment="1">
      <alignment horizontal="left" vertical="top" wrapText="1"/>
    </xf>
    <xf numFmtId="0" fontId="37" fillId="0" borderId="26" xfId="0" applyFont="1" applyBorder="1" applyAlignment="1">
      <alignment horizontal="left" vertical="top" wrapText="1"/>
    </xf>
    <xf numFmtId="0" fontId="11" fillId="0" borderId="32" xfId="1" applyFont="1" applyBorder="1" applyAlignment="1">
      <alignment wrapText="1"/>
    </xf>
    <xf numFmtId="0" fontId="0" fillId="0" borderId="33" xfId="0" applyBorder="1" applyAlignment="1">
      <alignment wrapText="1"/>
    </xf>
    <xf numFmtId="0" fontId="11" fillId="0" borderId="34" xfId="1" applyFont="1" applyBorder="1" applyAlignment="1">
      <alignment wrapText="1"/>
    </xf>
    <xf numFmtId="0" fontId="0" fillId="0" borderId="34" xfId="0" applyBorder="1" applyAlignment="1">
      <alignment wrapText="1"/>
    </xf>
    <xf numFmtId="0" fontId="0" fillId="0" borderId="35" xfId="0" applyBorder="1" applyAlignment="1">
      <alignment wrapText="1"/>
    </xf>
    <xf numFmtId="0" fontId="0" fillId="0" borderId="31" xfId="0" applyBorder="1" applyAlignment="1">
      <alignment horizontal="left" vertical="top" wrapText="1"/>
    </xf>
    <xf numFmtId="0" fontId="5" fillId="9" borderId="2" xfId="1" applyFont="1" applyFill="1" applyBorder="1" applyAlignment="1">
      <alignment horizontal="left" vertical="top"/>
    </xf>
    <xf numFmtId="0" fontId="5" fillId="9" borderId="2" xfId="1" applyFont="1" applyFill="1" applyBorder="1" applyAlignment="1">
      <alignment horizontal="left" vertical="center"/>
    </xf>
    <xf numFmtId="0" fontId="5" fillId="9" borderId="5" xfId="1" applyFont="1" applyFill="1" applyBorder="1"/>
    <xf numFmtId="0" fontId="26" fillId="0" borderId="26" xfId="0" applyFont="1" applyBorder="1" applyAlignment="1">
      <alignment wrapText="1"/>
    </xf>
    <xf numFmtId="0" fontId="11" fillId="0" borderId="29" xfId="1" applyFont="1" applyBorder="1" applyAlignment="1">
      <alignment wrapText="1"/>
    </xf>
    <xf numFmtId="0" fontId="11" fillId="0" borderId="33" xfId="1" applyFont="1" applyBorder="1" applyAlignment="1">
      <alignment horizontal="left" vertical="top"/>
    </xf>
    <xf numFmtId="0" fontId="11" fillId="0" borderId="31" xfId="1" applyFont="1" applyBorder="1" applyAlignment="1">
      <alignment vertical="top" wrapText="1"/>
    </xf>
    <xf numFmtId="0" fontId="11" fillId="0" borderId="35" xfId="1" applyFont="1" applyBorder="1" applyAlignment="1">
      <alignment vertical="top" wrapText="1"/>
    </xf>
    <xf numFmtId="0" fontId="11" fillId="0" borderId="29" xfId="1" applyFont="1" applyBorder="1" applyAlignment="1">
      <alignment vertical="top" wrapText="1"/>
    </xf>
    <xf numFmtId="0" fontId="41" fillId="0" borderId="0" xfId="1" applyFont="1" applyAlignment="1">
      <alignment horizontal="center" vertical="center" wrapText="1"/>
    </xf>
    <xf numFmtId="0" fontId="41" fillId="0" borderId="1" xfId="1" applyFont="1" applyBorder="1" applyAlignment="1">
      <alignment horizontal="center" vertical="center" wrapText="1"/>
    </xf>
    <xf numFmtId="0" fontId="6" fillId="0" borderId="1" xfId="1" applyFont="1" applyBorder="1" applyAlignment="1" applyProtection="1">
      <alignment horizontal="left" vertical="center" wrapText="1"/>
      <protection locked="0"/>
    </xf>
    <xf numFmtId="0" fontId="2" fillId="2" borderId="2" xfId="1" applyFont="1" applyFill="1" applyBorder="1" applyAlignment="1">
      <alignment horizontal="left" vertical="center"/>
    </xf>
    <xf numFmtId="0" fontId="2" fillId="2" borderId="4" xfId="1" applyFont="1" applyFill="1" applyBorder="1" applyAlignment="1">
      <alignment horizontal="left" vertical="center"/>
    </xf>
    <xf numFmtId="0" fontId="6" fillId="0" borderId="1" xfId="1" applyFont="1" applyBorder="1" applyAlignment="1" applyProtection="1">
      <alignment horizontal="left" vertical="center"/>
      <protection locked="0"/>
    </xf>
    <xf numFmtId="0" fontId="6" fillId="0" borderId="2" xfId="1" applyFont="1" applyBorder="1" applyAlignment="1" applyProtection="1">
      <alignment horizontal="left" vertical="center"/>
      <protection locked="0"/>
    </xf>
    <xf numFmtId="0" fontId="6" fillId="0" borderId="4" xfId="1" applyFont="1" applyBorder="1" applyAlignment="1" applyProtection="1">
      <alignment horizontal="left" vertical="center"/>
      <protection locked="0"/>
    </xf>
    <xf numFmtId="0" fontId="2" fillId="2" borderId="1" xfId="1" applyFont="1" applyFill="1" applyBorder="1" applyAlignment="1">
      <alignment horizontal="left" vertical="center"/>
    </xf>
    <xf numFmtId="0" fontId="5" fillId="0" borderId="1" xfId="1" applyFont="1" applyBorder="1" applyAlignment="1">
      <alignment horizontal="left" vertical="center"/>
    </xf>
    <xf numFmtId="0" fontId="2" fillId="0" borderId="15" xfId="1" applyFont="1" applyBorder="1" applyAlignment="1">
      <alignment horizontal="left" vertical="center" wrapText="1"/>
    </xf>
    <xf numFmtId="0" fontId="2" fillId="0" borderId="8" xfId="1" applyFont="1" applyBorder="1" applyAlignment="1">
      <alignment horizontal="left" vertical="center" wrapText="1"/>
    </xf>
    <xf numFmtId="0" fontId="6" fillId="0" borderId="3" xfId="1" applyFont="1" applyBorder="1" applyAlignment="1">
      <alignment horizontal="left" vertical="center" wrapText="1"/>
    </xf>
    <xf numFmtId="0" fontId="6" fillId="0" borderId="5" xfId="1" applyFont="1" applyBorder="1" applyAlignment="1">
      <alignment horizontal="left" vertical="center" wrapText="1"/>
    </xf>
    <xf numFmtId="0" fontId="2" fillId="7" borderId="1" xfId="1" applyFont="1" applyFill="1" applyBorder="1" applyAlignment="1">
      <alignment horizontal="center" vertical="center" wrapText="1"/>
    </xf>
    <xf numFmtId="0" fontId="2" fillId="2" borderId="1" xfId="1" applyFont="1" applyFill="1" applyBorder="1" applyAlignment="1">
      <alignment horizontal="center" vertical="center" wrapText="1"/>
    </xf>
    <xf numFmtId="0" fontId="5" fillId="2" borderId="1" xfId="1" applyFont="1" applyFill="1" applyBorder="1" applyAlignment="1">
      <alignment horizontal="left" vertical="center"/>
    </xf>
    <xf numFmtId="0" fontId="30" fillId="0" borderId="12" xfId="1" applyFont="1" applyBorder="1" applyAlignment="1" applyProtection="1">
      <alignment vertical="center" wrapText="1"/>
      <protection locked="0"/>
    </xf>
    <xf numFmtId="0" fontId="30" fillId="0" borderId="9" xfId="1" applyFont="1" applyBorder="1" applyAlignment="1" applyProtection="1">
      <alignment vertical="center" wrapText="1"/>
      <protection locked="0"/>
    </xf>
    <xf numFmtId="0" fontId="30" fillId="0" borderId="13" xfId="1" applyFont="1" applyBorder="1" applyAlignment="1" applyProtection="1">
      <alignment vertical="center" wrapText="1"/>
      <protection locked="0"/>
    </xf>
    <xf numFmtId="0" fontId="30" fillId="0" borderId="8" xfId="1" applyFont="1" applyBorder="1" applyAlignment="1" applyProtection="1">
      <alignment vertical="center" wrapText="1"/>
      <protection locked="0"/>
    </xf>
    <xf numFmtId="0" fontId="30" fillId="0" borderId="0" xfId="1" applyFont="1" applyAlignment="1" applyProtection="1">
      <alignment vertical="center" wrapText="1"/>
      <protection locked="0"/>
    </xf>
    <xf numFmtId="0" fontId="30" fillId="0" borderId="14" xfId="1" applyFont="1" applyBorder="1" applyAlignment="1" applyProtection="1">
      <alignment vertical="center" wrapText="1"/>
      <protection locked="0"/>
    </xf>
    <xf numFmtId="0" fontId="30" fillId="0" borderId="5" xfId="1" applyFont="1" applyBorder="1" applyAlignment="1" applyProtection="1">
      <alignment vertical="center" wrapText="1"/>
      <protection locked="0"/>
    </xf>
    <xf numFmtId="0" fontId="30" fillId="0" borderId="10" xfId="1" applyFont="1" applyBorder="1" applyAlignment="1" applyProtection="1">
      <alignment vertical="center" wrapText="1"/>
      <protection locked="0"/>
    </xf>
    <xf numFmtId="0" fontId="30" fillId="0" borderId="6" xfId="1" applyFont="1" applyBorder="1" applyAlignment="1" applyProtection="1">
      <alignment vertical="center" wrapText="1"/>
      <protection locked="0"/>
    </xf>
    <xf numFmtId="0" fontId="5" fillId="2" borderId="2" xfId="1" applyFont="1" applyFill="1" applyBorder="1" applyAlignment="1">
      <alignment horizontal="left" vertical="center"/>
    </xf>
    <xf numFmtId="0" fontId="5" fillId="2" borderId="7" xfId="1" applyFont="1" applyFill="1" applyBorder="1" applyAlignment="1">
      <alignment horizontal="left" vertical="center"/>
    </xf>
    <xf numFmtId="0" fontId="5" fillId="2" borderId="4" xfId="1" applyFont="1" applyFill="1" applyBorder="1" applyAlignment="1">
      <alignment horizontal="left" vertical="center"/>
    </xf>
    <xf numFmtId="0" fontId="31" fillId="0" borderId="4" xfId="0" applyFont="1" applyBorder="1" applyAlignment="1">
      <alignment horizontal="left" vertical="center"/>
    </xf>
    <xf numFmtId="166" fontId="6" fillId="0" borderId="1" xfId="1" applyNumberFormat="1" applyFont="1" applyBorder="1" applyAlignment="1" applyProtection="1">
      <alignment horizontal="left" vertical="center" wrapText="1"/>
      <protection locked="0"/>
    </xf>
    <xf numFmtId="0" fontId="5" fillId="7" borderId="16" xfId="1" applyFont="1" applyFill="1" applyBorder="1" applyAlignment="1">
      <alignment horizontal="left" vertical="center"/>
    </xf>
    <xf numFmtId="0" fontId="31" fillId="7" borderId="17" xfId="0" applyFont="1" applyFill="1" applyBorder="1" applyAlignment="1">
      <alignment horizontal="left" vertical="center"/>
    </xf>
    <xf numFmtId="0" fontId="39" fillId="0" borderId="12" xfId="1" applyFont="1" applyBorder="1" applyAlignment="1" applyProtection="1">
      <alignment horizontal="left" vertical="top" wrapText="1"/>
      <protection locked="0"/>
    </xf>
    <xf numFmtId="0" fontId="39" fillId="0" borderId="9" xfId="1" applyFont="1" applyBorder="1" applyAlignment="1" applyProtection="1">
      <alignment horizontal="left" vertical="top" wrapText="1"/>
      <protection locked="0"/>
    </xf>
    <xf numFmtId="0" fontId="39" fillId="0" borderId="13" xfId="1" applyFont="1" applyBorder="1" applyAlignment="1" applyProtection="1">
      <alignment horizontal="left" vertical="top" wrapText="1"/>
      <protection locked="0"/>
    </xf>
    <xf numFmtId="0" fontId="39" fillId="0" borderId="8" xfId="1" applyFont="1" applyBorder="1" applyAlignment="1" applyProtection="1">
      <alignment horizontal="left" vertical="top" wrapText="1"/>
      <protection locked="0"/>
    </xf>
    <xf numFmtId="0" fontId="39" fillId="0" borderId="0" xfId="1" applyFont="1" applyAlignment="1" applyProtection="1">
      <alignment horizontal="left" vertical="top" wrapText="1"/>
      <protection locked="0"/>
    </xf>
    <xf numFmtId="0" fontId="39" fillId="0" borderId="14" xfId="1" applyFont="1" applyBorder="1" applyAlignment="1" applyProtection="1">
      <alignment horizontal="left" vertical="top" wrapText="1"/>
      <protection locked="0"/>
    </xf>
    <xf numFmtId="0" fontId="39" fillId="0" borderId="5" xfId="1" applyFont="1" applyBorder="1" applyAlignment="1" applyProtection="1">
      <alignment horizontal="left" vertical="top" wrapText="1"/>
      <protection locked="0"/>
    </xf>
    <xf numFmtId="0" fontId="39" fillId="0" borderId="10" xfId="1" applyFont="1" applyBorder="1" applyAlignment="1" applyProtection="1">
      <alignment horizontal="left" vertical="top" wrapText="1"/>
      <protection locked="0"/>
    </xf>
    <xf numFmtId="0" fontId="39" fillId="0" borderId="6" xfId="1" applyFont="1" applyBorder="1" applyAlignment="1" applyProtection="1">
      <alignment horizontal="left" vertical="top" wrapText="1"/>
      <protection locked="0"/>
    </xf>
    <xf numFmtId="0" fontId="6" fillId="0" borderId="12" xfId="1" applyFont="1" applyBorder="1" applyAlignment="1" applyProtection="1">
      <alignment horizontal="left" vertical="top" wrapText="1"/>
      <protection locked="0"/>
    </xf>
    <xf numFmtId="0" fontId="6" fillId="0" borderId="9" xfId="1" applyFont="1" applyBorder="1" applyAlignment="1" applyProtection="1">
      <alignment horizontal="left" vertical="top" wrapText="1"/>
      <protection locked="0"/>
    </xf>
    <xf numFmtId="0" fontId="6" fillId="0" borderId="13" xfId="1" applyFont="1" applyBorder="1" applyAlignment="1" applyProtection="1">
      <alignment horizontal="left" vertical="top" wrapText="1"/>
      <protection locked="0"/>
    </xf>
    <xf numFmtId="0" fontId="6" fillId="0" borderId="8" xfId="1" applyFont="1" applyBorder="1" applyAlignment="1" applyProtection="1">
      <alignment horizontal="left" vertical="top" wrapText="1"/>
      <protection locked="0"/>
    </xf>
    <xf numFmtId="0" fontId="6" fillId="0" borderId="0" xfId="1" applyFont="1" applyAlignment="1" applyProtection="1">
      <alignment horizontal="left" vertical="top" wrapText="1"/>
      <protection locked="0"/>
    </xf>
    <xf numFmtId="0" fontId="6" fillId="0" borderId="14" xfId="1" applyFont="1" applyBorder="1" applyAlignment="1" applyProtection="1">
      <alignment horizontal="left" vertical="top" wrapText="1"/>
      <protection locked="0"/>
    </xf>
    <xf numFmtId="0" fontId="6" fillId="0" borderId="5" xfId="1" applyFont="1" applyBorder="1" applyAlignment="1" applyProtection="1">
      <alignment horizontal="left" vertical="top" wrapText="1"/>
      <protection locked="0"/>
    </xf>
    <xf numFmtId="0" fontId="6" fillId="0" borderId="10" xfId="1" applyFont="1" applyBorder="1" applyAlignment="1" applyProtection="1">
      <alignment horizontal="left" vertical="top" wrapText="1"/>
      <protection locked="0"/>
    </xf>
    <xf numFmtId="0" fontId="6" fillId="0" borderId="6" xfId="1" applyFont="1" applyBorder="1" applyAlignment="1" applyProtection="1">
      <alignment horizontal="left" vertical="top" wrapText="1"/>
      <protection locked="0"/>
    </xf>
    <xf numFmtId="0" fontId="31" fillId="0" borderId="16" xfId="0" applyFont="1" applyBorder="1" applyAlignment="1" applyProtection="1">
      <alignment horizontal="left" vertical="center"/>
      <protection locked="0"/>
    </xf>
    <xf numFmtId="0" fontId="31" fillId="0" borderId="17" xfId="0" applyFont="1" applyBorder="1" applyAlignment="1" applyProtection="1">
      <alignment horizontal="left" vertical="center"/>
      <protection locked="0"/>
    </xf>
    <xf numFmtId="1" fontId="6" fillId="0" borderId="2" xfId="1" applyNumberFormat="1" applyFont="1" applyBorder="1" applyAlignment="1" applyProtection="1">
      <alignment horizontal="left" vertical="center"/>
      <protection locked="0"/>
    </xf>
    <xf numFmtId="1" fontId="6" fillId="0" borderId="4" xfId="1" applyNumberFormat="1" applyFont="1" applyBorder="1" applyAlignment="1" applyProtection="1">
      <alignment horizontal="left" vertical="center"/>
      <protection locked="0"/>
    </xf>
    <xf numFmtId="0" fontId="26" fillId="0" borderId="21" xfId="0" applyFont="1" applyBorder="1" applyAlignment="1">
      <alignment horizontal="center" vertical="center"/>
    </xf>
    <xf numFmtId="0" fontId="26" fillId="0" borderId="22" xfId="0" applyFont="1" applyBorder="1" applyAlignment="1">
      <alignment horizontal="center" vertical="center"/>
    </xf>
    <xf numFmtId="0" fontId="26" fillId="0" borderId="23" xfId="0" applyFont="1" applyBorder="1" applyAlignment="1">
      <alignment horizontal="center" vertical="center"/>
    </xf>
    <xf numFmtId="0" fontId="0" fillId="0" borderId="23" xfId="0" applyBorder="1" applyAlignment="1">
      <alignment horizontal="center" vertical="center"/>
    </xf>
    <xf numFmtId="0" fontId="22" fillId="10" borderId="18" xfId="0" applyFont="1" applyFill="1" applyBorder="1" applyAlignment="1">
      <alignment horizontal="center" vertical="top" textRotation="45" wrapText="1"/>
    </xf>
    <xf numFmtId="0" fontId="22" fillId="11" borderId="18" xfId="0" applyFont="1" applyFill="1" applyBorder="1" applyAlignment="1">
      <alignment horizontal="center" vertical="center" textRotation="45" wrapText="1"/>
    </xf>
    <xf numFmtId="0" fontId="22" fillId="10" borderId="18" xfId="0" applyFont="1" applyFill="1" applyBorder="1" applyAlignment="1">
      <alignment horizontal="center" vertical="center" textRotation="45"/>
    </xf>
    <xf numFmtId="0" fontId="23" fillId="10" borderId="19" xfId="0" applyFont="1" applyFill="1" applyBorder="1" applyAlignment="1">
      <alignment horizontal="center" vertical="center" textRotation="45" wrapText="1"/>
    </xf>
    <xf numFmtId="0" fontId="23" fillId="10" borderId="19" xfId="0" applyFont="1" applyFill="1" applyBorder="1" applyAlignment="1">
      <alignment horizontal="center" vertical="center" textRotation="45"/>
    </xf>
    <xf numFmtId="0" fontId="23" fillId="10" borderId="20" xfId="0" applyFont="1" applyFill="1" applyBorder="1" applyAlignment="1">
      <alignment horizontal="center" vertical="center" textRotation="45"/>
    </xf>
    <xf numFmtId="0" fontId="22" fillId="10" borderId="20" xfId="0" applyFont="1" applyFill="1" applyBorder="1" applyAlignment="1">
      <alignment horizontal="center" vertical="center" textRotation="45" wrapText="1"/>
    </xf>
    <xf numFmtId="0" fontId="22" fillId="11" borderId="19" xfId="0" applyFont="1" applyFill="1" applyBorder="1" applyAlignment="1">
      <alignment horizontal="center" vertical="center" textRotation="45" wrapText="1"/>
    </xf>
    <xf numFmtId="0" fontId="0" fillId="10" borderId="0" xfId="0" applyFill="1"/>
  </cellXfs>
  <cellStyles count="2">
    <cellStyle name="Excel Built-in Normal" xfId="1" xr:uid="{00000000-0005-0000-0000-000000000000}"/>
    <cellStyle name="Обычный" xfId="0" builtinId="0"/>
  </cellStyles>
  <dxfs count="21">
    <dxf>
      <font>
        <color theme="0"/>
      </font>
    </dxf>
    <dxf>
      <font>
        <color theme="0"/>
      </font>
    </dxf>
    <dxf>
      <font>
        <color theme="0"/>
      </font>
    </dxf>
    <dxf>
      <fill>
        <patternFill patternType="solid">
          <fgColor indexed="29"/>
          <bgColor indexed="45"/>
        </patternFill>
      </fill>
    </dxf>
    <dxf>
      <fill>
        <patternFill patternType="solid">
          <fgColor indexed="29"/>
          <bgColor indexed="45"/>
        </patternFill>
      </fill>
    </dxf>
    <dxf>
      <fill>
        <patternFill patternType="solid">
          <fgColor indexed="29"/>
          <bgColor indexed="45"/>
        </patternFill>
      </fill>
    </dxf>
    <dxf>
      <fill>
        <patternFill patternType="solid">
          <fgColor indexed="29"/>
          <bgColor indexed="45"/>
        </patternFill>
      </fill>
    </dxf>
    <dxf>
      <fill>
        <patternFill patternType="solid">
          <fgColor indexed="29"/>
          <bgColor indexed="45"/>
        </patternFill>
      </fill>
    </dxf>
    <dxf>
      <fill>
        <patternFill patternType="solid">
          <fgColor indexed="29"/>
          <bgColor indexed="45"/>
        </patternFill>
      </fill>
    </dxf>
    <dxf>
      <fill>
        <patternFill patternType="solid">
          <fgColor indexed="29"/>
          <bgColor indexed="45"/>
        </patternFill>
      </fill>
    </dxf>
    <dxf>
      <fill>
        <patternFill patternType="solid">
          <fgColor indexed="29"/>
          <bgColor indexed="45"/>
        </patternFill>
      </fill>
    </dxf>
    <dxf>
      <fill>
        <patternFill patternType="solid">
          <fgColor indexed="29"/>
          <bgColor indexed="45"/>
        </patternFill>
      </fill>
    </dxf>
    <dxf>
      <fill>
        <patternFill patternType="solid">
          <fgColor indexed="29"/>
          <bgColor indexed="45"/>
        </patternFill>
      </fill>
    </dxf>
    <dxf>
      <fill>
        <patternFill patternType="solid">
          <fgColor indexed="29"/>
          <bgColor indexed="45"/>
        </patternFill>
      </fill>
    </dxf>
    <dxf>
      <fill>
        <patternFill>
          <bgColor rgb="FFFF9999"/>
        </patternFill>
      </fill>
    </dxf>
    <dxf>
      <fill>
        <patternFill patternType="solid">
          <fgColor indexed="29"/>
          <bgColor indexed="45"/>
        </patternFill>
      </fill>
    </dxf>
    <dxf>
      <fill>
        <patternFill patternType="solid">
          <fgColor indexed="29"/>
          <bgColor indexed="45"/>
        </patternFill>
      </fill>
    </dxf>
    <dxf>
      <fill>
        <patternFill patternType="solid">
          <fgColor indexed="29"/>
          <bgColor indexed="45"/>
        </patternFill>
      </fill>
    </dxf>
    <dxf>
      <fill>
        <patternFill patternType="solid">
          <fgColor indexed="29"/>
          <bgColor indexed="45"/>
        </patternFill>
      </fill>
    </dxf>
    <dxf>
      <fill>
        <patternFill patternType="solid">
          <fgColor indexed="29"/>
          <bgColor indexed="45"/>
        </patternFill>
      </fill>
    </dxf>
    <dxf>
      <fill>
        <patternFill patternType="solid">
          <fgColor indexed="29"/>
          <bgColor indexed="45"/>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4EFFF"/>
      <rgbColor rgb="00660066"/>
      <rgbColor rgb="00FF8080"/>
      <rgbColor rgb="000F6FC6"/>
      <rgbColor rgb="00CCCCFF"/>
      <rgbColor rgb="00000080"/>
      <rgbColor rgb="00FF00FF"/>
      <rgbColor rgb="00FFFF00"/>
      <rgbColor rgb="0000FFFF"/>
      <rgbColor rgb="00800080"/>
      <rgbColor rgb="00800000"/>
      <rgbColor rgb="0004617B"/>
      <rgbColor rgb="000000FF"/>
      <rgbColor rgb="0000CCFF"/>
      <rgbColor rgb="00CCFFFF"/>
      <rgbColor rgb="00CCFFCC"/>
      <rgbColor rgb="00FFFF99"/>
      <rgbColor rgb="0099CCFF"/>
      <rgbColor rgb="00FF9999"/>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8E85"/>
      <color rgb="FFCCECFF"/>
      <color rgb="FFE799C0"/>
      <color rgb="FFFF9999"/>
      <color rgb="FFF29696"/>
      <color rgb="FFF08C8C"/>
      <color rgb="FFEF8181"/>
      <color rgb="FFFF7C80"/>
      <color rgb="FFCCFF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3</xdr:row>
          <xdr:rowOff>0</xdr:rowOff>
        </xdr:from>
        <xdr:to>
          <xdr:col>3</xdr:col>
          <xdr:colOff>266700</xdr:colOff>
          <xdr:row>7</xdr:row>
          <xdr:rowOff>38100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Click to Select and Copy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H115"/>
  <sheetViews>
    <sheetView showGridLines="0" tabSelected="1" view="pageLayout" topLeftCell="D19" zoomScale="70" zoomScaleNormal="100" zoomScalePageLayoutView="70" workbookViewId="0">
      <selection activeCell="F32" sqref="F32:G32"/>
    </sheetView>
  </sheetViews>
  <sheetFormatPr defaultColWidth="11.44140625" defaultRowHeight="13.8" x14ac:dyDescent="0.25"/>
  <cols>
    <col min="1" max="1" width="2" style="77" customWidth="1"/>
    <col min="2" max="2" width="41" style="77" customWidth="1"/>
    <col min="3" max="3" width="52" style="77" customWidth="1"/>
    <col min="4" max="4" width="45.44140625" style="77" customWidth="1"/>
    <col min="5" max="5" width="37.33203125" style="77" customWidth="1"/>
    <col min="6" max="6" width="53.6640625" style="77" customWidth="1"/>
    <col min="7" max="7" width="28.44140625" style="77" customWidth="1"/>
    <col min="8" max="8" width="5.5546875" style="77" customWidth="1"/>
    <col min="9" max="16384" width="11.44140625" style="77"/>
  </cols>
  <sheetData>
    <row r="1" spans="2:8" ht="19.5" customHeight="1" x14ac:dyDescent="0.25">
      <c r="D1" s="78"/>
    </row>
    <row r="2" spans="2:8" ht="18" customHeight="1" x14ac:dyDescent="0.25">
      <c r="E2" s="79"/>
      <c r="G2" s="80" t="s">
        <v>792</v>
      </c>
    </row>
    <row r="3" spans="2:8" ht="18" customHeight="1" x14ac:dyDescent="0.25">
      <c r="C3" s="127" t="s">
        <v>791</v>
      </c>
      <c r="D3" s="185" t="s">
        <v>1042</v>
      </c>
      <c r="E3" s="185"/>
      <c r="G3" s="81" t="s">
        <v>260</v>
      </c>
    </row>
    <row r="5" spans="2:8" x14ac:dyDescent="0.25">
      <c r="B5" s="76" t="s">
        <v>786</v>
      </c>
      <c r="C5" s="82" t="s">
        <v>802</v>
      </c>
    </row>
    <row r="6" spans="2:8" ht="18" customHeight="1" x14ac:dyDescent="0.25">
      <c r="B6" s="128" t="s">
        <v>793</v>
      </c>
      <c r="C6" s="128" t="s">
        <v>794</v>
      </c>
      <c r="D6" s="129" t="s">
        <v>795</v>
      </c>
      <c r="E6" s="63" t="s">
        <v>796</v>
      </c>
      <c r="F6" s="186"/>
      <c r="G6" s="187"/>
    </row>
    <row r="7" spans="2:8" ht="18" customHeight="1" x14ac:dyDescent="0.25">
      <c r="B7" s="83">
        <v>45652</v>
      </c>
      <c r="C7" s="84" t="s">
        <v>1041</v>
      </c>
      <c r="D7" s="84" t="s">
        <v>268</v>
      </c>
      <c r="E7" s="85" t="s">
        <v>290</v>
      </c>
      <c r="F7" s="188"/>
      <c r="G7" s="189"/>
    </row>
    <row r="8" spans="2:8" ht="18" customHeight="1" x14ac:dyDescent="0.25">
      <c r="B8" s="66" t="s">
        <v>797</v>
      </c>
      <c r="C8" s="66" t="s">
        <v>798</v>
      </c>
      <c r="D8" s="128" t="s">
        <v>860</v>
      </c>
      <c r="E8" s="128" t="s">
        <v>799</v>
      </c>
      <c r="F8" s="128" t="s">
        <v>800</v>
      </c>
      <c r="G8" s="130" t="s">
        <v>801</v>
      </c>
    </row>
    <row r="9" spans="2:8" ht="14.25" customHeight="1" x14ac:dyDescent="0.25">
      <c r="B9" s="85" t="s">
        <v>540</v>
      </c>
      <c r="C9" s="85" t="s">
        <v>106</v>
      </c>
      <c r="D9" s="177" t="s">
        <v>1037</v>
      </c>
      <c r="E9" s="86" t="s">
        <v>106</v>
      </c>
      <c r="F9" s="178" t="s">
        <v>148</v>
      </c>
      <c r="G9" s="87" t="s">
        <v>47</v>
      </c>
    </row>
    <row r="10" spans="2:8" ht="12" customHeight="1" x14ac:dyDescent="0.25">
      <c r="B10" s="88"/>
      <c r="C10" s="89"/>
      <c r="D10" s="176"/>
    </row>
    <row r="11" spans="2:8" ht="18" customHeight="1" x14ac:dyDescent="0.25">
      <c r="B11" s="76" t="s">
        <v>787</v>
      </c>
      <c r="C11" s="82" t="s">
        <v>803</v>
      </c>
    </row>
    <row r="12" spans="2:8" ht="18" customHeight="1" x14ac:dyDescent="0.25">
      <c r="B12" s="190" t="s">
        <v>999</v>
      </c>
      <c r="C12" s="90" t="s">
        <v>48</v>
      </c>
      <c r="D12" s="191" t="s">
        <v>804</v>
      </c>
      <c r="E12" s="90" t="s">
        <v>50</v>
      </c>
      <c r="F12" s="191" t="s">
        <v>805</v>
      </c>
      <c r="G12" s="90" t="s">
        <v>51</v>
      </c>
    </row>
    <row r="13" spans="2:8" ht="46.5" customHeight="1" x14ac:dyDescent="0.25">
      <c r="B13" s="190"/>
      <c r="C13" s="90" t="s">
        <v>31</v>
      </c>
      <c r="D13" s="191"/>
      <c r="E13" s="90" t="s">
        <v>31</v>
      </c>
      <c r="F13" s="191"/>
      <c r="G13" s="90" t="s">
        <v>31</v>
      </c>
      <c r="H13" s="91"/>
    </row>
    <row r="14" spans="2:8" ht="18" customHeight="1" x14ac:dyDescent="0.3">
      <c r="B14" s="92"/>
      <c r="C14" s="93"/>
      <c r="D14" s="92"/>
      <c r="E14" s="94"/>
      <c r="F14" s="92"/>
      <c r="G14" s="93"/>
      <c r="H14" s="91"/>
    </row>
    <row r="15" spans="2:8" ht="18" customHeight="1" x14ac:dyDescent="0.3">
      <c r="B15" s="62" t="s">
        <v>806</v>
      </c>
      <c r="C15" s="90" t="s">
        <v>34</v>
      </c>
      <c r="D15" s="92"/>
      <c r="E15" s="94"/>
      <c r="F15" s="92"/>
      <c r="G15" s="93"/>
      <c r="H15" s="91"/>
    </row>
    <row r="16" spans="2:8" ht="12" customHeight="1" x14ac:dyDescent="0.25"/>
    <row r="17" spans="2:8" ht="18" customHeight="1" x14ac:dyDescent="0.25">
      <c r="B17" s="131" t="s">
        <v>1006</v>
      </c>
      <c r="C17" s="132"/>
    </row>
    <row r="18" spans="2:8" ht="18" customHeight="1" x14ac:dyDescent="0.25">
      <c r="B18" s="1" t="s">
        <v>887</v>
      </c>
      <c r="C18" s="2"/>
      <c r="D18" s="179" t="s">
        <v>794</v>
      </c>
      <c r="E18" s="180"/>
      <c r="F18" s="1" t="s">
        <v>807</v>
      </c>
      <c r="G18" s="2"/>
      <c r="H18" s="95"/>
    </row>
    <row r="19" spans="2:8" ht="18" customHeight="1" x14ac:dyDescent="0.25">
      <c r="B19" s="181" t="s">
        <v>1040</v>
      </c>
      <c r="C19" s="181"/>
      <c r="D19" s="182" t="s">
        <v>1036</v>
      </c>
      <c r="E19" s="183"/>
      <c r="F19" s="181" t="s">
        <v>278</v>
      </c>
      <c r="G19" s="181"/>
      <c r="H19" s="91"/>
    </row>
    <row r="20" spans="2:8" ht="12" customHeight="1" x14ac:dyDescent="0.25"/>
    <row r="21" spans="2:8" ht="18" customHeight="1" x14ac:dyDescent="0.25">
      <c r="B21" s="76" t="s">
        <v>788</v>
      </c>
      <c r="C21" s="82" t="s">
        <v>808</v>
      </c>
    </row>
    <row r="22" spans="2:8" ht="18" customHeight="1" x14ac:dyDescent="0.25">
      <c r="B22" s="1" t="s">
        <v>888</v>
      </c>
      <c r="C22" s="2"/>
      <c r="D22" s="179" t="s">
        <v>809</v>
      </c>
      <c r="E22" s="180"/>
      <c r="F22" s="1" t="s">
        <v>810</v>
      </c>
      <c r="G22" s="2"/>
      <c r="H22" s="95"/>
    </row>
    <row r="23" spans="2:8" ht="18" customHeight="1" x14ac:dyDescent="0.25">
      <c r="B23" s="181" t="s">
        <v>1038</v>
      </c>
      <c r="C23" s="181"/>
      <c r="D23" s="182" t="s">
        <v>1036</v>
      </c>
      <c r="E23" s="183"/>
      <c r="F23" s="181" t="s">
        <v>93</v>
      </c>
      <c r="G23" s="181"/>
      <c r="H23" s="91"/>
    </row>
    <row r="24" spans="2:8" ht="18" customHeight="1" x14ac:dyDescent="0.25">
      <c r="B24" s="181" t="s">
        <v>1039</v>
      </c>
      <c r="C24" s="181"/>
      <c r="D24" s="182" t="s">
        <v>1036</v>
      </c>
      <c r="E24" s="183"/>
      <c r="F24" s="181" t="s">
        <v>93</v>
      </c>
      <c r="G24" s="181"/>
      <c r="H24" s="91"/>
    </row>
    <row r="25" spans="2:8" ht="12" customHeight="1" x14ac:dyDescent="0.25"/>
    <row r="26" spans="2:8" ht="18" customHeight="1" x14ac:dyDescent="0.25">
      <c r="B26" s="76" t="s">
        <v>789</v>
      </c>
      <c r="C26" s="82" t="s">
        <v>811</v>
      </c>
    </row>
    <row r="27" spans="2:8" ht="18" customHeight="1" x14ac:dyDescent="0.25">
      <c r="B27" s="3" t="s">
        <v>889</v>
      </c>
      <c r="C27" s="4"/>
      <c r="D27" s="179" t="s">
        <v>812</v>
      </c>
      <c r="E27" s="180"/>
      <c r="F27" s="184" t="s">
        <v>813</v>
      </c>
      <c r="G27" s="184"/>
      <c r="H27" s="95"/>
    </row>
    <row r="28" spans="2:8" ht="18" customHeight="1" x14ac:dyDescent="0.25">
      <c r="B28" s="181" t="s">
        <v>1033</v>
      </c>
      <c r="C28" s="181"/>
      <c r="D28" s="182" t="s">
        <v>44</v>
      </c>
      <c r="E28" s="183"/>
      <c r="F28" s="181" t="s">
        <v>278</v>
      </c>
      <c r="G28" s="181"/>
      <c r="H28" s="94"/>
    </row>
    <row r="29" spans="2:8" ht="18" customHeight="1" x14ac:dyDescent="0.25">
      <c r="B29" s="63" t="s">
        <v>814</v>
      </c>
      <c r="C29" s="63" t="s">
        <v>816</v>
      </c>
      <c r="D29" s="179" t="s">
        <v>815</v>
      </c>
      <c r="E29" s="180"/>
      <c r="F29" s="192" t="s">
        <v>817</v>
      </c>
      <c r="G29" s="192"/>
    </row>
    <row r="30" spans="2:8" ht="18" customHeight="1" x14ac:dyDescent="0.25">
      <c r="B30" s="96"/>
      <c r="C30" s="96"/>
      <c r="D30" s="182" t="s">
        <v>183</v>
      </c>
      <c r="E30" s="183"/>
      <c r="F30" s="181" t="s">
        <v>268</v>
      </c>
      <c r="G30" s="181"/>
    </row>
    <row r="31" spans="2:8" ht="18" customHeight="1" x14ac:dyDescent="0.25">
      <c r="B31" s="3" t="s">
        <v>819</v>
      </c>
      <c r="C31" s="5"/>
      <c r="D31" s="179" t="s">
        <v>818</v>
      </c>
      <c r="E31" s="180"/>
      <c r="F31" s="192" t="s">
        <v>820</v>
      </c>
      <c r="G31" s="192"/>
    </row>
    <row r="32" spans="2:8" ht="17.25" customHeight="1" x14ac:dyDescent="0.25">
      <c r="B32" s="181" t="s">
        <v>124</v>
      </c>
      <c r="C32" s="181"/>
      <c r="D32" s="182" t="s">
        <v>123</v>
      </c>
      <c r="E32" s="183"/>
      <c r="F32" s="181" t="s">
        <v>181</v>
      </c>
      <c r="G32" s="181"/>
    </row>
    <row r="33" spans="2:8" ht="7.5" customHeight="1" x14ac:dyDescent="0.25">
      <c r="F33" s="94"/>
      <c r="G33" s="94"/>
      <c r="H33" s="94"/>
    </row>
    <row r="34" spans="2:8" ht="18" customHeight="1" x14ac:dyDescent="0.25">
      <c r="B34" s="65" t="s">
        <v>821</v>
      </c>
      <c r="C34" s="6"/>
      <c r="D34" s="96" t="s">
        <v>64</v>
      </c>
      <c r="E34" s="64" t="s">
        <v>824</v>
      </c>
      <c r="F34" s="7"/>
      <c r="G34" s="97" t="s">
        <v>64</v>
      </c>
      <c r="H34" s="94"/>
    </row>
    <row r="35" spans="2:8" ht="18" customHeight="1" x14ac:dyDescent="0.25">
      <c r="B35" s="167" t="s">
        <v>1000</v>
      </c>
      <c r="C35" s="6"/>
      <c r="D35" s="96" t="s">
        <v>64</v>
      </c>
      <c r="E35" s="202" t="s">
        <v>1002</v>
      </c>
      <c r="F35" s="204"/>
      <c r="G35" s="87" t="s">
        <v>64</v>
      </c>
      <c r="H35" s="94"/>
    </row>
    <row r="36" spans="2:8" ht="18" customHeight="1" x14ac:dyDescent="0.25">
      <c r="B36" s="168" t="s">
        <v>1001</v>
      </c>
      <c r="C36" s="6"/>
      <c r="D36" s="87" t="s">
        <v>64</v>
      </c>
      <c r="E36" s="202" t="s">
        <v>825</v>
      </c>
      <c r="F36" s="204"/>
      <c r="G36" s="87" t="s">
        <v>64</v>
      </c>
      <c r="H36" s="94"/>
    </row>
    <row r="37" spans="2:8" ht="18" customHeight="1" x14ac:dyDescent="0.25">
      <c r="B37" s="65" t="s">
        <v>822</v>
      </c>
      <c r="C37" s="6"/>
      <c r="D37" s="98" t="s">
        <v>64</v>
      </c>
      <c r="E37" s="65" t="s">
        <v>826</v>
      </c>
      <c r="F37" s="6"/>
      <c r="G37" s="97"/>
      <c r="H37" s="94"/>
    </row>
    <row r="38" spans="2:8" ht="18" customHeight="1" x14ac:dyDescent="0.25">
      <c r="B38" s="65" t="s">
        <v>823</v>
      </c>
      <c r="C38" s="6"/>
      <c r="D38" s="96" t="s">
        <v>64</v>
      </c>
      <c r="E38" s="169" t="s">
        <v>1003</v>
      </c>
      <c r="F38" s="8"/>
      <c r="G38" s="87" t="s">
        <v>64</v>
      </c>
      <c r="H38" s="94"/>
    </row>
    <row r="39" spans="2:8" ht="12" customHeight="1" x14ac:dyDescent="0.25">
      <c r="B39" s="91"/>
      <c r="C39" s="91"/>
      <c r="D39" s="91"/>
      <c r="E39" s="91"/>
      <c r="F39" s="94"/>
      <c r="G39" s="94"/>
      <c r="H39" s="91"/>
    </row>
    <row r="40" spans="2:8" ht="18" customHeight="1" x14ac:dyDescent="0.25">
      <c r="B40" s="1" t="s">
        <v>890</v>
      </c>
      <c r="C40" s="99"/>
      <c r="D40" s="99"/>
      <c r="E40" s="100" t="s">
        <v>548</v>
      </c>
      <c r="F40" s="101"/>
      <c r="G40" s="2"/>
      <c r="H40" s="102"/>
    </row>
    <row r="41" spans="2:8" ht="18" customHeight="1" x14ac:dyDescent="0.25">
      <c r="B41" s="209" t="s">
        <v>1034</v>
      </c>
      <c r="C41" s="210"/>
      <c r="D41" s="210"/>
      <c r="E41" s="210"/>
      <c r="F41" s="210"/>
      <c r="G41" s="211"/>
      <c r="H41" s="103"/>
    </row>
    <row r="42" spans="2:8" ht="18" customHeight="1" x14ac:dyDescent="0.25">
      <c r="B42" s="215"/>
      <c r="C42" s="216"/>
      <c r="D42" s="216"/>
      <c r="E42" s="216"/>
      <c r="F42" s="216"/>
      <c r="G42" s="217"/>
      <c r="H42" s="103"/>
    </row>
    <row r="43" spans="2:8" ht="18" customHeight="1" x14ac:dyDescent="0.25">
      <c r="B43" s="209" t="s">
        <v>1034</v>
      </c>
      <c r="C43" s="210"/>
      <c r="D43" s="210"/>
      <c r="E43" s="210"/>
      <c r="F43" s="210"/>
      <c r="G43" s="211"/>
      <c r="H43" s="103"/>
    </row>
    <row r="44" spans="2:8" ht="18" customHeight="1" x14ac:dyDescent="0.25">
      <c r="B44" s="215"/>
      <c r="C44" s="216"/>
      <c r="D44" s="216"/>
      <c r="E44" s="216"/>
      <c r="F44" s="216"/>
      <c r="G44" s="217"/>
      <c r="H44" s="104"/>
    </row>
    <row r="45" spans="2:8" ht="18" customHeight="1" x14ac:dyDescent="0.25">
      <c r="B45" s="1" t="s">
        <v>827</v>
      </c>
      <c r="C45" s="99"/>
      <c r="D45" s="99"/>
      <c r="E45" s="101"/>
      <c r="F45" s="101"/>
      <c r="G45" s="2"/>
      <c r="H45" s="102"/>
    </row>
    <row r="46" spans="2:8" ht="18" customHeight="1" x14ac:dyDescent="0.25">
      <c r="B46" s="209" t="s">
        <v>5</v>
      </c>
      <c r="C46" s="210"/>
      <c r="D46" s="210"/>
      <c r="E46" s="210"/>
      <c r="F46" s="210"/>
      <c r="G46" s="211"/>
      <c r="H46" s="103"/>
    </row>
    <row r="47" spans="2:8" ht="18" customHeight="1" x14ac:dyDescent="0.25">
      <c r="B47" s="212"/>
      <c r="C47" s="213"/>
      <c r="D47" s="213"/>
      <c r="E47" s="213"/>
      <c r="F47" s="213"/>
      <c r="G47" s="214"/>
      <c r="H47" s="103"/>
    </row>
    <row r="48" spans="2:8" ht="18" customHeight="1" x14ac:dyDescent="0.25">
      <c r="B48" s="212"/>
      <c r="C48" s="213"/>
      <c r="D48" s="213"/>
      <c r="E48" s="213"/>
      <c r="F48" s="213"/>
      <c r="G48" s="214"/>
      <c r="H48" s="103"/>
    </row>
    <row r="49" spans="2:8" ht="18" customHeight="1" x14ac:dyDescent="0.25">
      <c r="B49" s="212"/>
      <c r="C49" s="213"/>
      <c r="D49" s="213"/>
      <c r="E49" s="213"/>
      <c r="F49" s="213"/>
      <c r="G49" s="214"/>
      <c r="H49" s="103"/>
    </row>
    <row r="50" spans="2:8" ht="18" customHeight="1" x14ac:dyDescent="0.25">
      <c r="B50" s="212"/>
      <c r="C50" s="213"/>
      <c r="D50" s="213"/>
      <c r="E50" s="213"/>
      <c r="F50" s="213"/>
      <c r="G50" s="214"/>
      <c r="H50" s="103"/>
    </row>
    <row r="51" spans="2:8" ht="18" customHeight="1" x14ac:dyDescent="0.25">
      <c r="B51" s="215"/>
      <c r="C51" s="216"/>
      <c r="D51" s="216"/>
      <c r="E51" s="216"/>
      <c r="F51" s="216"/>
      <c r="G51" s="217"/>
      <c r="H51" s="104"/>
    </row>
    <row r="52" spans="2:8" ht="18" customHeight="1" x14ac:dyDescent="0.25">
      <c r="B52" s="1" t="s">
        <v>828</v>
      </c>
      <c r="C52" s="99"/>
      <c r="D52" s="99"/>
      <c r="E52" s="99"/>
      <c r="F52" s="99"/>
      <c r="G52" s="2"/>
      <c r="H52" s="102"/>
    </row>
    <row r="53" spans="2:8" ht="18" customHeight="1" x14ac:dyDescent="0.25">
      <c r="B53" s="209" t="s">
        <v>1034</v>
      </c>
      <c r="C53" s="210"/>
      <c r="D53" s="210"/>
      <c r="E53" s="210"/>
      <c r="F53" s="210"/>
      <c r="G53" s="211"/>
      <c r="H53" s="103"/>
    </row>
    <row r="54" spans="2:8" ht="18" customHeight="1" x14ac:dyDescent="0.25">
      <c r="B54" s="212"/>
      <c r="C54" s="213"/>
      <c r="D54" s="213"/>
      <c r="E54" s="213"/>
      <c r="F54" s="213"/>
      <c r="G54" s="214"/>
      <c r="H54" s="103"/>
    </row>
    <row r="55" spans="2:8" ht="18" customHeight="1" x14ac:dyDescent="0.25">
      <c r="B55" s="212"/>
      <c r="C55" s="213"/>
      <c r="D55" s="213"/>
      <c r="E55" s="213"/>
      <c r="F55" s="213"/>
      <c r="G55" s="214"/>
      <c r="H55" s="103"/>
    </row>
    <row r="56" spans="2:8" ht="18" customHeight="1" x14ac:dyDescent="0.25">
      <c r="B56" s="212"/>
      <c r="C56" s="213"/>
      <c r="D56" s="213"/>
      <c r="E56" s="213"/>
      <c r="F56" s="213"/>
      <c r="G56" s="214"/>
      <c r="H56" s="103"/>
    </row>
    <row r="57" spans="2:8" ht="18" customHeight="1" x14ac:dyDescent="0.25">
      <c r="B57" s="212"/>
      <c r="C57" s="213"/>
      <c r="D57" s="213"/>
      <c r="E57" s="213"/>
      <c r="F57" s="213"/>
      <c r="G57" s="214"/>
      <c r="H57" s="103"/>
    </row>
    <row r="58" spans="2:8" ht="18" customHeight="1" x14ac:dyDescent="0.25">
      <c r="B58" s="215"/>
      <c r="C58" s="216"/>
      <c r="D58" s="216"/>
      <c r="E58" s="216"/>
      <c r="F58" s="216"/>
      <c r="G58" s="217"/>
      <c r="H58" s="103"/>
    </row>
    <row r="59" spans="2:8" ht="12" customHeight="1" x14ac:dyDescent="0.25">
      <c r="B59" s="105"/>
      <c r="C59" s="94"/>
      <c r="D59" s="94"/>
    </row>
    <row r="60" spans="2:8" ht="18" customHeight="1" x14ac:dyDescent="0.25">
      <c r="B60" s="106" t="s">
        <v>4</v>
      </c>
      <c r="C60" s="107" t="s">
        <v>829</v>
      </c>
      <c r="D60" s="108"/>
    </row>
    <row r="61" spans="2:8" ht="18" customHeight="1" x14ac:dyDescent="0.25">
      <c r="B61" s="192" t="s">
        <v>830</v>
      </c>
      <c r="C61" s="192"/>
      <c r="D61" s="96" t="s">
        <v>47</v>
      </c>
    </row>
    <row r="62" spans="2:8" ht="18" customHeight="1" x14ac:dyDescent="0.25">
      <c r="B62" s="192" t="s">
        <v>1004</v>
      </c>
      <c r="C62" s="192"/>
      <c r="D62" s="96" t="s">
        <v>47</v>
      </c>
    </row>
    <row r="63" spans="2:8" ht="18" customHeight="1" x14ac:dyDescent="0.25">
      <c r="B63" s="192" t="s">
        <v>1005</v>
      </c>
      <c r="C63" s="192"/>
      <c r="D63" s="96" t="s">
        <v>64</v>
      </c>
    </row>
    <row r="64" spans="2:8" ht="18" customHeight="1" x14ac:dyDescent="0.25">
      <c r="B64" s="192" t="s">
        <v>831</v>
      </c>
      <c r="C64" s="192"/>
      <c r="D64" s="96" t="s">
        <v>47</v>
      </c>
    </row>
    <row r="65" spans="2:8" ht="18" customHeight="1" x14ac:dyDescent="0.25">
      <c r="B65" s="192" t="s">
        <v>1007</v>
      </c>
      <c r="C65" s="192"/>
      <c r="D65" s="96" t="s">
        <v>47</v>
      </c>
    </row>
    <row r="66" spans="2:8" ht="18" customHeight="1" x14ac:dyDescent="0.25">
      <c r="B66" s="192" t="s">
        <v>832</v>
      </c>
      <c r="C66" s="192"/>
      <c r="D66" s="96" t="s">
        <v>47</v>
      </c>
    </row>
    <row r="67" spans="2:8" ht="18" customHeight="1" x14ac:dyDescent="0.25">
      <c r="B67" s="109"/>
      <c r="C67" s="109"/>
      <c r="D67" s="94"/>
    </row>
    <row r="68" spans="2:8" ht="18" customHeight="1" x14ac:dyDescent="0.25">
      <c r="B68" s="184" t="s">
        <v>833</v>
      </c>
      <c r="C68" s="184"/>
      <c r="D68" s="94"/>
    </row>
    <row r="69" spans="2:8" ht="18" customHeight="1" x14ac:dyDescent="0.25">
      <c r="B69" s="206">
        <v>45652</v>
      </c>
      <c r="C69" s="206"/>
      <c r="D69" s="94"/>
    </row>
    <row r="70" spans="2:8" ht="103.5" customHeight="1" x14ac:dyDescent="0.25">
      <c r="B70" s="94"/>
      <c r="C70" s="94"/>
      <c r="D70" s="78" t="s">
        <v>5</v>
      </c>
      <c r="E70" s="78"/>
    </row>
    <row r="71" spans="2:8" ht="15" customHeight="1" x14ac:dyDescent="0.25">
      <c r="B71" s="94"/>
      <c r="C71" s="94"/>
      <c r="D71" s="78"/>
      <c r="E71" s="78"/>
    </row>
    <row r="72" spans="2:8" ht="12" customHeight="1" x14ac:dyDescent="0.25">
      <c r="H72" s="110"/>
    </row>
    <row r="73" spans="2:8" ht="18" customHeight="1" x14ac:dyDescent="0.25">
      <c r="B73" s="77" t="s">
        <v>834</v>
      </c>
      <c r="H73" s="110"/>
    </row>
    <row r="74" spans="2:8" ht="18" customHeight="1" x14ac:dyDescent="0.25">
      <c r="H74" s="110"/>
    </row>
    <row r="75" spans="2:8" ht="18" customHeight="1" x14ac:dyDescent="0.25">
      <c r="B75" s="192" t="s">
        <v>835</v>
      </c>
      <c r="C75" s="192"/>
      <c r="D75" s="182" t="s">
        <v>262</v>
      </c>
      <c r="E75" s="183"/>
      <c r="F75" s="111"/>
      <c r="G75" s="112"/>
      <c r="H75" s="110"/>
    </row>
    <row r="76" spans="2:8" ht="18" customHeight="1" x14ac:dyDescent="0.25">
      <c r="B76" s="192" t="s">
        <v>836</v>
      </c>
      <c r="C76" s="192"/>
      <c r="D76" s="182" t="s">
        <v>77</v>
      </c>
      <c r="E76" s="183"/>
      <c r="F76" s="111"/>
      <c r="G76" s="112"/>
      <c r="H76" s="110"/>
    </row>
    <row r="77" spans="2:8" ht="18" customHeight="1" x14ac:dyDescent="0.25">
      <c r="B77" s="202" t="s">
        <v>837</v>
      </c>
      <c r="C77" s="205"/>
      <c r="D77" s="182" t="s">
        <v>587</v>
      </c>
      <c r="E77" s="183"/>
      <c r="F77" s="111"/>
      <c r="G77" s="112"/>
      <c r="H77" s="110"/>
    </row>
    <row r="78" spans="2:8" ht="18" customHeight="1" x14ac:dyDescent="0.25">
      <c r="B78" s="202" t="s">
        <v>838</v>
      </c>
      <c r="C78" s="205"/>
      <c r="D78" s="182" t="s">
        <v>687</v>
      </c>
      <c r="E78" s="183"/>
      <c r="F78" s="111"/>
      <c r="G78" s="112"/>
      <c r="H78" s="110"/>
    </row>
    <row r="79" spans="2:8" ht="18" customHeight="1" x14ac:dyDescent="0.25">
      <c r="B79" s="202" t="s">
        <v>1035</v>
      </c>
      <c r="C79" s="203"/>
      <c r="D79" s="203"/>
      <c r="E79" s="204"/>
      <c r="F79" s="111"/>
      <c r="G79" s="112"/>
      <c r="H79" s="110"/>
    </row>
    <row r="80" spans="2:8" ht="18" customHeight="1" x14ac:dyDescent="0.25">
      <c r="B80" s="193"/>
      <c r="C80" s="194"/>
      <c r="D80" s="194"/>
      <c r="E80" s="195"/>
      <c r="F80" s="111"/>
      <c r="G80" s="112"/>
      <c r="H80" s="110"/>
    </row>
    <row r="81" spans="2:8" ht="18" customHeight="1" x14ac:dyDescent="0.25">
      <c r="B81" s="196"/>
      <c r="C81" s="197"/>
      <c r="D81" s="197"/>
      <c r="E81" s="198"/>
      <c r="F81" s="111"/>
      <c r="G81" s="112"/>
      <c r="H81" s="110"/>
    </row>
    <row r="82" spans="2:8" ht="18" customHeight="1" x14ac:dyDescent="0.25">
      <c r="B82" s="196"/>
      <c r="C82" s="197"/>
      <c r="D82" s="197"/>
      <c r="E82" s="198"/>
      <c r="F82" s="111"/>
      <c r="G82" s="112"/>
      <c r="H82" s="110"/>
    </row>
    <row r="83" spans="2:8" ht="18" customHeight="1" x14ac:dyDescent="0.25">
      <c r="B83" s="196"/>
      <c r="C83" s="197"/>
      <c r="D83" s="197"/>
      <c r="E83" s="198"/>
      <c r="F83" s="111"/>
      <c r="G83" s="112"/>
      <c r="H83" s="110"/>
    </row>
    <row r="84" spans="2:8" ht="18" customHeight="1" x14ac:dyDescent="0.25">
      <c r="B84" s="199"/>
      <c r="C84" s="200"/>
      <c r="D84" s="200"/>
      <c r="E84" s="201"/>
      <c r="F84" s="111"/>
      <c r="G84" s="112"/>
      <c r="H84" s="110"/>
    </row>
    <row r="85" spans="2:8" ht="18" customHeight="1" x14ac:dyDescent="0.25">
      <c r="B85" s="192" t="s">
        <v>839</v>
      </c>
      <c r="C85" s="192"/>
      <c r="D85" s="229" t="s">
        <v>1033</v>
      </c>
      <c r="E85" s="230"/>
      <c r="F85" s="111"/>
      <c r="G85" s="112"/>
      <c r="H85" s="110"/>
    </row>
    <row r="86" spans="2:8" ht="18" customHeight="1" x14ac:dyDescent="0.25">
      <c r="B86" s="58"/>
      <c r="C86" s="58"/>
      <c r="D86" s="113"/>
      <c r="E86" s="113"/>
      <c r="F86" s="112"/>
      <c r="G86" s="112"/>
      <c r="H86" s="110"/>
    </row>
    <row r="87" spans="2:8" ht="18" customHeight="1" x14ac:dyDescent="0.25">
      <c r="B87" s="207" t="s">
        <v>1043</v>
      </c>
      <c r="C87" s="208"/>
      <c r="D87" s="227" t="s">
        <v>508</v>
      </c>
      <c r="E87" s="228"/>
      <c r="F87" s="112"/>
      <c r="G87" s="112"/>
      <c r="H87" s="110"/>
    </row>
    <row r="88" spans="2:8" ht="18" customHeight="1" x14ac:dyDescent="0.25">
      <c r="B88" s="61" t="s">
        <v>840</v>
      </c>
      <c r="C88" s="32"/>
      <c r="D88" s="227" t="s">
        <v>208</v>
      </c>
      <c r="E88" s="228"/>
      <c r="F88" s="112"/>
      <c r="G88" s="112"/>
      <c r="H88" s="110"/>
    </row>
    <row r="89" spans="2:8" ht="18" customHeight="1" x14ac:dyDescent="0.25">
      <c r="B89" s="94"/>
      <c r="C89" s="94"/>
      <c r="D89" s="114"/>
      <c r="E89" s="114"/>
      <c r="F89" s="112"/>
      <c r="G89" s="112"/>
      <c r="H89" s="110"/>
    </row>
    <row r="90" spans="2:8" ht="18" customHeight="1" x14ac:dyDescent="0.25">
      <c r="B90" s="1" t="s">
        <v>841</v>
      </c>
      <c r="C90" s="99"/>
      <c r="D90" s="101"/>
      <c r="E90" s="101"/>
      <c r="F90" s="101"/>
      <c r="G90" s="2"/>
      <c r="H90" s="110"/>
    </row>
    <row r="91" spans="2:8" ht="18" customHeight="1" x14ac:dyDescent="0.25">
      <c r="B91" s="218"/>
      <c r="C91" s="219"/>
      <c r="D91" s="219"/>
      <c r="E91" s="219"/>
      <c r="F91" s="219"/>
      <c r="G91" s="220"/>
      <c r="H91" s="110"/>
    </row>
    <row r="92" spans="2:8" ht="18" customHeight="1" x14ac:dyDescent="0.25">
      <c r="B92" s="221"/>
      <c r="C92" s="222"/>
      <c r="D92" s="222"/>
      <c r="E92" s="222"/>
      <c r="F92" s="222"/>
      <c r="G92" s="223"/>
      <c r="H92" s="110"/>
    </row>
    <row r="93" spans="2:8" ht="18" customHeight="1" x14ac:dyDescent="0.25">
      <c r="B93" s="221"/>
      <c r="C93" s="222"/>
      <c r="D93" s="222"/>
      <c r="E93" s="222"/>
      <c r="F93" s="222"/>
      <c r="G93" s="223"/>
      <c r="H93" s="110"/>
    </row>
    <row r="94" spans="2:8" ht="18" customHeight="1" x14ac:dyDescent="0.25">
      <c r="B94" s="221"/>
      <c r="C94" s="222"/>
      <c r="D94" s="222"/>
      <c r="E94" s="222"/>
      <c r="F94" s="222"/>
      <c r="G94" s="223"/>
      <c r="H94" s="110"/>
    </row>
    <row r="95" spans="2:8" ht="18" customHeight="1" x14ac:dyDescent="0.25">
      <c r="B95" s="221"/>
      <c r="C95" s="222"/>
      <c r="D95" s="222"/>
      <c r="E95" s="222"/>
      <c r="F95" s="222"/>
      <c r="G95" s="223"/>
      <c r="H95" s="110"/>
    </row>
    <row r="96" spans="2:8" ht="16.5" customHeight="1" x14ac:dyDescent="0.25">
      <c r="B96" s="224"/>
      <c r="C96" s="225"/>
      <c r="D96" s="225"/>
      <c r="E96" s="225"/>
      <c r="F96" s="225"/>
      <c r="G96" s="226"/>
      <c r="H96" s="110"/>
    </row>
    <row r="97" spans="2:8" ht="18" customHeight="1" x14ac:dyDescent="0.25">
      <c r="B97" s="1" t="s">
        <v>842</v>
      </c>
      <c r="C97" s="99"/>
      <c r="D97" s="99"/>
      <c r="E97" s="101"/>
      <c r="F97" s="101"/>
      <c r="G97" s="2"/>
      <c r="H97" s="110"/>
    </row>
    <row r="98" spans="2:8" ht="18" customHeight="1" x14ac:dyDescent="0.25">
      <c r="B98" s="218"/>
      <c r="C98" s="219"/>
      <c r="D98" s="219"/>
      <c r="E98" s="219"/>
      <c r="F98" s="219"/>
      <c r="G98" s="220"/>
    </row>
    <row r="99" spans="2:8" ht="18" customHeight="1" x14ac:dyDescent="0.25">
      <c r="B99" s="221"/>
      <c r="C99" s="222"/>
      <c r="D99" s="222"/>
      <c r="E99" s="222"/>
      <c r="F99" s="222"/>
      <c r="G99" s="223"/>
    </row>
    <row r="100" spans="2:8" ht="18" customHeight="1" x14ac:dyDescent="0.25">
      <c r="B100" s="221"/>
      <c r="C100" s="222"/>
      <c r="D100" s="222"/>
      <c r="E100" s="222"/>
      <c r="F100" s="222"/>
      <c r="G100" s="223"/>
      <c r="H100" s="95"/>
    </row>
    <row r="101" spans="2:8" ht="18" customHeight="1" x14ac:dyDescent="0.25">
      <c r="B101" s="221"/>
      <c r="C101" s="222"/>
      <c r="D101" s="222"/>
      <c r="E101" s="222"/>
      <c r="F101" s="222"/>
      <c r="G101" s="223"/>
      <c r="H101" s="91"/>
    </row>
    <row r="102" spans="2:8" ht="18" customHeight="1" x14ac:dyDescent="0.25">
      <c r="B102" s="221"/>
      <c r="C102" s="222"/>
      <c r="D102" s="222"/>
      <c r="E102" s="222"/>
      <c r="F102" s="222"/>
      <c r="G102" s="223"/>
    </row>
    <row r="103" spans="2:8" ht="18" customHeight="1" x14ac:dyDescent="0.25">
      <c r="B103" s="224"/>
      <c r="C103" s="225"/>
      <c r="D103" s="225"/>
      <c r="E103" s="225"/>
      <c r="F103" s="225"/>
      <c r="G103" s="226"/>
    </row>
    <row r="104" spans="2:8" x14ac:dyDescent="0.25">
      <c r="D104" s="115"/>
      <c r="E104" s="110"/>
      <c r="F104" s="112"/>
      <c r="G104" s="112"/>
    </row>
    <row r="105" spans="2:8" x14ac:dyDescent="0.25">
      <c r="B105" s="76" t="s">
        <v>843</v>
      </c>
      <c r="E105" s="116"/>
      <c r="F105" s="112"/>
      <c r="G105" s="112"/>
    </row>
    <row r="106" spans="2:8" x14ac:dyDescent="0.25">
      <c r="B106" s="117" t="s">
        <v>888</v>
      </c>
      <c r="C106" s="118"/>
      <c r="D106" s="117" t="s">
        <v>810</v>
      </c>
      <c r="E106" s="118"/>
      <c r="F106" s="119"/>
      <c r="G106" s="120"/>
    </row>
    <row r="107" spans="2:8" x14ac:dyDescent="0.25">
      <c r="B107" s="181"/>
      <c r="C107" s="181"/>
      <c r="D107" s="182"/>
      <c r="E107" s="183"/>
      <c r="F107" s="121"/>
      <c r="G107" s="94"/>
    </row>
    <row r="108" spans="2:8" ht="15.75" customHeight="1" x14ac:dyDescent="0.3">
      <c r="B108" s="122"/>
    </row>
    <row r="109" spans="2:8" x14ac:dyDescent="0.25">
      <c r="B109" s="107" t="s">
        <v>829</v>
      </c>
      <c r="C109" s="123"/>
      <c r="D109" s="108"/>
    </row>
    <row r="110" spans="2:8" x14ac:dyDescent="0.25">
      <c r="B110" s="65" t="s">
        <v>844</v>
      </c>
      <c r="C110" s="124"/>
      <c r="D110" s="96"/>
    </row>
    <row r="111" spans="2:8" x14ac:dyDescent="0.25">
      <c r="B111" s="65" t="s">
        <v>845</v>
      </c>
      <c r="C111" s="124"/>
      <c r="D111" s="96"/>
    </row>
    <row r="112" spans="2:8" x14ac:dyDescent="0.25">
      <c r="B112" s="65" t="s">
        <v>1044</v>
      </c>
      <c r="C112" s="124"/>
      <c r="D112" s="96"/>
    </row>
    <row r="113" spans="2:4" x14ac:dyDescent="0.25">
      <c r="B113" s="125"/>
      <c r="C113" s="125"/>
      <c r="D113" s="105"/>
    </row>
    <row r="114" spans="2:4" x14ac:dyDescent="0.25">
      <c r="B114" s="3" t="s">
        <v>846</v>
      </c>
      <c r="C114" s="126"/>
      <c r="D114" s="94"/>
    </row>
    <row r="115" spans="2:4" ht="15" customHeight="1" x14ac:dyDescent="0.25">
      <c r="B115" s="206"/>
      <c r="C115" s="206"/>
    </row>
  </sheetData>
  <sheetProtection selectLockedCells="1"/>
  <dataConsolidate/>
  <mergeCells count="65">
    <mergeCell ref="B63:C63"/>
    <mergeCell ref="B64:C64"/>
    <mergeCell ref="B65:C65"/>
    <mergeCell ref="B66:C66"/>
    <mergeCell ref="B68:C68"/>
    <mergeCell ref="D107:E107"/>
    <mergeCell ref="B98:G103"/>
    <mergeCell ref="B91:G96"/>
    <mergeCell ref="D88:E88"/>
    <mergeCell ref="D85:E85"/>
    <mergeCell ref="D87:E87"/>
    <mergeCell ref="D31:E31"/>
    <mergeCell ref="F31:G31"/>
    <mergeCell ref="B61:C61"/>
    <mergeCell ref="B62:C62"/>
    <mergeCell ref="B46:G51"/>
    <mergeCell ref="E35:F35"/>
    <mergeCell ref="E36:F36"/>
    <mergeCell ref="B32:C32"/>
    <mergeCell ref="D32:E32"/>
    <mergeCell ref="F32:G32"/>
    <mergeCell ref="B41:G42"/>
    <mergeCell ref="B43:G44"/>
    <mergeCell ref="B53:G58"/>
    <mergeCell ref="B115:C115"/>
    <mergeCell ref="B107:C107"/>
    <mergeCell ref="B85:C85"/>
    <mergeCell ref="B69:C69"/>
    <mergeCell ref="B75:C75"/>
    <mergeCell ref="B87:C87"/>
    <mergeCell ref="D75:E75"/>
    <mergeCell ref="B76:C76"/>
    <mergeCell ref="D76:E76"/>
    <mergeCell ref="B80:E84"/>
    <mergeCell ref="B79:E79"/>
    <mergeCell ref="B77:C77"/>
    <mergeCell ref="B78:C78"/>
    <mergeCell ref="D77:E77"/>
    <mergeCell ref="D78:E78"/>
    <mergeCell ref="D29:E29"/>
    <mergeCell ref="F29:G29"/>
    <mergeCell ref="D30:E30"/>
    <mergeCell ref="F30:G30"/>
    <mergeCell ref="B28:C28"/>
    <mergeCell ref="D28:E28"/>
    <mergeCell ref="F28:G28"/>
    <mergeCell ref="D3:E3"/>
    <mergeCell ref="F6:G6"/>
    <mergeCell ref="F7:G7"/>
    <mergeCell ref="B12:B13"/>
    <mergeCell ref="D12:D13"/>
    <mergeCell ref="F12:F13"/>
    <mergeCell ref="D18:E18"/>
    <mergeCell ref="B19:C19"/>
    <mergeCell ref="D19:E19"/>
    <mergeCell ref="F19:G19"/>
    <mergeCell ref="D27:E27"/>
    <mergeCell ref="F27:G27"/>
    <mergeCell ref="D22:E22"/>
    <mergeCell ref="B24:C24"/>
    <mergeCell ref="F24:G24"/>
    <mergeCell ref="D24:E24"/>
    <mergeCell ref="B23:C23"/>
    <mergeCell ref="F23:G23"/>
    <mergeCell ref="D23:E23"/>
  </mergeCells>
  <phoneticPr fontId="0" type="noConversion"/>
  <conditionalFormatting sqref="D7 E9:G9 B9:C9">
    <cfRule type="cellIs" dxfId="20" priority="24" stopIfTrue="1" operator="equal">
      <formula>""</formula>
    </cfRule>
  </conditionalFormatting>
  <conditionalFormatting sqref="B7">
    <cfRule type="cellIs" dxfId="19" priority="25" stopIfTrue="1" operator="equal">
      <formula>""</formula>
    </cfRule>
  </conditionalFormatting>
  <conditionalFormatting sqref="B19:C19">
    <cfRule type="cellIs" dxfId="18" priority="56" stopIfTrue="1" operator="equal">
      <formula>""</formula>
    </cfRule>
  </conditionalFormatting>
  <conditionalFormatting sqref="D19:G19">
    <cfRule type="cellIs" dxfId="17" priority="57" stopIfTrue="1" operator="equal">
      <formula>""</formula>
    </cfRule>
  </conditionalFormatting>
  <conditionalFormatting sqref="D61:D66">
    <cfRule type="cellIs" dxfId="16" priority="59" stopIfTrue="1" operator="equal">
      <formula>""</formula>
    </cfRule>
  </conditionalFormatting>
  <conditionalFormatting sqref="C7">
    <cfRule type="cellIs" dxfId="15" priority="20" stopIfTrue="1" operator="equal">
      <formula>""</formula>
    </cfRule>
  </conditionalFormatting>
  <conditionalFormatting sqref="E7">
    <cfRule type="cellIs" dxfId="14" priority="15" stopIfTrue="1" operator="equal">
      <formula>0</formula>
    </cfRule>
  </conditionalFormatting>
  <conditionalFormatting sqref="F30:G30">
    <cfRule type="cellIs" dxfId="13" priority="12" stopIfTrue="1" operator="equal">
      <formula>""</formula>
    </cfRule>
  </conditionalFormatting>
  <conditionalFormatting sqref="B32:G32">
    <cfRule type="cellIs" dxfId="12" priority="11" stopIfTrue="1" operator="equal">
      <formula>""</formula>
    </cfRule>
  </conditionalFormatting>
  <conditionalFormatting sqref="G36">
    <cfRule type="cellIs" dxfId="11" priority="10" stopIfTrue="1" operator="equal">
      <formula>""</formula>
    </cfRule>
  </conditionalFormatting>
  <conditionalFormatting sqref="G38">
    <cfRule type="cellIs" dxfId="10" priority="9" stopIfTrue="1" operator="equal">
      <formula>""</formula>
    </cfRule>
  </conditionalFormatting>
  <conditionalFormatting sqref="G35">
    <cfRule type="cellIs" dxfId="9" priority="8" stopIfTrue="1" operator="equal">
      <formula>""</formula>
    </cfRule>
  </conditionalFormatting>
  <conditionalFormatting sqref="D36">
    <cfRule type="cellIs" dxfId="8" priority="7" stopIfTrue="1" operator="equal">
      <formula>""</formula>
    </cfRule>
  </conditionalFormatting>
  <conditionalFormatting sqref="B41:G44">
    <cfRule type="cellIs" dxfId="7" priority="6" stopIfTrue="1" operator="equal">
      <formula>""</formula>
    </cfRule>
  </conditionalFormatting>
  <conditionalFormatting sqref="B46:G51">
    <cfRule type="cellIs" dxfId="6" priority="4" stopIfTrue="1" operator="equal">
      <formula>""</formula>
    </cfRule>
  </conditionalFormatting>
  <conditionalFormatting sqref="B53:G58">
    <cfRule type="cellIs" dxfId="5" priority="3" stopIfTrue="1" operator="equal">
      <formula>""</formula>
    </cfRule>
  </conditionalFormatting>
  <conditionalFormatting sqref="D24:E24">
    <cfRule type="cellIs" dxfId="4" priority="2" stopIfTrue="1" operator="equal">
      <formula>""</formula>
    </cfRule>
  </conditionalFormatting>
  <conditionalFormatting sqref="D23:E23">
    <cfRule type="cellIs" dxfId="3" priority="1" stopIfTrue="1" operator="equal">
      <formula>""</formula>
    </cfRule>
  </conditionalFormatting>
  <dataValidations count="29">
    <dataValidation type="list" allowBlank="1" showInputMessage="1" showErrorMessage="1" sqref="D34:D38 D110:D112 G38 D61:D66 G36 G9" xr:uid="{00000000-0002-0000-0000-000000000000}">
      <formula1>YesNo</formula1>
      <formula2>0</formula2>
    </dataValidation>
    <dataValidation type="list" allowBlank="1" showInputMessage="1" showErrorMessage="1" sqref="D7" xr:uid="{00000000-0002-0000-0000-000001000000}">
      <formula1>Type_of_incident</formula1>
      <formula2>0</formula2>
    </dataValidation>
    <dataValidation type="list" allowBlank="1" showInputMessage="1" showErrorMessage="1" sqref="D28:E28" xr:uid="{00000000-0002-0000-0000-000002000000}">
      <formula1>Company</formula1>
      <formula2>0</formula2>
    </dataValidation>
    <dataValidation type="list" allowBlank="1" showInputMessage="1" showErrorMessage="1" sqref="E7" xr:uid="{00000000-0002-0000-0000-000003000000}">
      <formula1>Client</formula1>
      <formula2>0</formula2>
    </dataValidation>
    <dataValidation type="list" allowBlank="1" showInputMessage="1" showErrorMessage="1" sqref="C12" xr:uid="{00000000-0002-0000-0000-000004000000}">
      <formula1>SeaSwell</formula1>
      <formula2>0</formula2>
    </dataValidation>
    <dataValidation type="list" allowBlank="1" showInputMessage="1" showErrorMessage="1" sqref="C13 E13 G13" xr:uid="{00000000-0002-0000-0000-000005000000}">
      <formula1>Direction</formula1>
      <formula2>0</formula2>
    </dataValidation>
    <dataValidation type="list" allowBlank="1" showInputMessage="1" showErrorMessage="1" sqref="C15" xr:uid="{00000000-0002-0000-0000-000006000000}">
      <formula1>Visibility</formula1>
      <formula2>0</formula2>
    </dataValidation>
    <dataValidation type="list" allowBlank="1" showInputMessage="1" showErrorMessage="1" sqref="G12" xr:uid="{00000000-0002-0000-0000-000007000000}">
      <formula1>Wind</formula1>
      <formula2>0</formula2>
    </dataValidation>
    <dataValidation type="list" allowBlank="1" showInputMessage="1" showErrorMessage="1" sqref="E12" xr:uid="{00000000-0002-0000-0000-000008000000}">
      <formula1>Current</formula1>
      <formula2>0</formula2>
    </dataValidation>
    <dataValidation type="list" allowBlank="1" showInputMessage="1" showErrorMessage="1" sqref="D107:E107 F28:G28 F23:G24" xr:uid="{00000000-0002-0000-0000-000009000000}">
      <formula1>IP_Rank</formula1>
      <formula2>0</formula2>
    </dataValidation>
    <dataValidation type="list" allowBlank="1" showInputMessage="1" showErrorMessage="1" sqref="B30" xr:uid="{00000000-0002-0000-0000-00000A000000}">
      <formula1>TypeOfInjury</formula1>
      <formula2>0</formula2>
    </dataValidation>
    <dataValidation type="list" allowBlank="1" showInputMessage="1" showErrorMessage="1" sqref="C30" xr:uid="{00000000-0002-0000-0000-00000B000000}">
      <formula1>BodyPartHarmed</formula1>
      <formula2>0</formula2>
    </dataValidation>
    <dataValidation type="list" allowBlank="1" showInputMessage="1" showErrorMessage="1" sqref="B32:C32" xr:uid="{00000000-0002-0000-0000-00000C000000}">
      <formula1>Task</formula1>
    </dataValidation>
    <dataValidation type="list" allowBlank="1" showInputMessage="1" showErrorMessage="1" sqref="D30:E30" xr:uid="{00000000-0002-0000-0000-00000D000000}">
      <formula1>TypeOfDamage</formula1>
    </dataValidation>
    <dataValidation type="list" allowBlank="1" showInputMessage="1" showErrorMessage="1" sqref="C88" xr:uid="{00000000-0002-0000-0000-00000E000000}">
      <formula1>INDIRECT($C$87)</formula1>
    </dataValidation>
    <dataValidation type="list" allowBlank="1" showInputMessage="1" showErrorMessage="1" sqref="D87:E87" xr:uid="{00000000-0002-0000-0000-00000F000000}">
      <formula1>element</formula1>
    </dataValidation>
    <dataValidation type="list" allowBlank="1" showInputMessage="1" showErrorMessage="1" sqref="D88:E88" xr:uid="{00000000-0002-0000-0000-000010000000}">
      <formula1>INDIRECT($D$87)</formula1>
    </dataValidation>
    <dataValidation type="list" allowBlank="1" showInputMessage="1" showErrorMessage="1" sqref="C7" xr:uid="{00000000-0002-0000-0000-000011000000}">
      <formula1>Company</formula1>
    </dataValidation>
    <dataValidation type="list" allowBlank="1" showInputMessage="1" showErrorMessage="1" sqref="D75:E75 F30:G30" xr:uid="{00000000-0002-0000-0000-000012000000}">
      <formula1>Classification</formula1>
    </dataValidation>
    <dataValidation type="list" allowBlank="1" showInputMessage="1" showErrorMessage="1" sqref="D77:E77" xr:uid="{00000000-0002-0000-0000-000013000000}">
      <formula1>INDIRECT($D$76)</formula1>
    </dataValidation>
    <dataValidation type="list" allowBlank="1" showInputMessage="1" showErrorMessage="1" sqref="D76:E76" xr:uid="{00000000-0002-0000-0000-000014000000}">
      <formula1>rootcause</formula1>
    </dataValidation>
    <dataValidation type="list" allowBlank="1" showInputMessage="1" showErrorMessage="1" sqref="D78:E78" xr:uid="{00000000-0002-0000-0000-000015000000}">
      <formula1>INDIRECT($D$77)</formula1>
    </dataValidation>
    <dataValidation type="list" allowBlank="1" showInputMessage="1" showErrorMessage="1" sqref="F19:G19" xr:uid="{00000000-0002-0000-0000-000016000000}">
      <formula1>IP_Rank</formula1>
    </dataValidation>
    <dataValidation type="list" allowBlank="1" showInputMessage="1" showErrorMessage="1" sqref="F32:G32" xr:uid="{00000000-0002-0000-0000-000017000000}">
      <formula1>DirectCause</formula1>
    </dataValidation>
    <dataValidation type="list" allowBlank="1" showInputMessage="1" showErrorMessage="1" sqref="D32:E32" xr:uid="{00000000-0002-0000-0000-000018000000}">
      <formula1>Location</formula1>
    </dataValidation>
    <dataValidation type="list" allowBlank="1" showInputMessage="1" showErrorMessage="1" sqref="G35" xr:uid="{00000000-0002-0000-0000-000019000000}">
      <formula1>YesNo</formula1>
    </dataValidation>
    <dataValidation type="list" allowBlank="1" showInputMessage="1" showErrorMessage="1" sqref="F9" xr:uid="{00000000-0002-0000-0000-00001A000000}">
      <formula1>VesselType</formula1>
      <formula2>0</formula2>
    </dataValidation>
    <dataValidation type="list" allowBlank="1" showInputMessage="1" showErrorMessage="1" sqref="C9" xr:uid="{00000000-0002-0000-0000-00001B000000}">
      <formula1>Country</formula1>
    </dataValidation>
    <dataValidation type="list" allowBlank="1" showInputMessage="1" showErrorMessage="1" sqref="B9" xr:uid="{00000000-0002-0000-0000-00001C000000}">
      <formula1>Region</formula1>
    </dataValidation>
  </dataValidations>
  <pageMargins left="0.70866141732283472" right="0.70866141732283472" top="0.74803149606299213" bottom="0.74803149606299213" header="0.51181102362204722" footer="0.31496062992125984"/>
  <pageSetup paperSize="9" scale="33" firstPageNumber="0" fitToHeight="2" orientation="portrait" r:id="rId1"/>
  <headerFooter alignWithMargins="0">
    <oddHeader xml:space="preserve">&amp;L&amp;"Arial,полужирный"&amp;12ООО «Боллард»
РФ, Краснодарский край,
353919, г. Новороссийск,
Мысхакское шоссе, д. 75, помещение 209
Тел.: 8(8617) 70 00 95
Эл. почта: info@bollard-marine.group&amp;"Arial,обычный"
</oddHeader>
    <oddFooter>&amp;L&amp;6Document owner: Group SHEQ Manager</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1D000000}">
          <x14:formula1>
            <xm:f>'Pull-down-menus'!$X$3:$X$21</xm:f>
          </x14:formula1>
          <xm:sqref>E9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1"/>
  <dimension ref="A1:B25"/>
  <sheetViews>
    <sheetView workbookViewId="0">
      <selection activeCell="A15" sqref="A15"/>
    </sheetView>
  </sheetViews>
  <sheetFormatPr defaultRowHeight="13.2" x14ac:dyDescent="0.25"/>
  <cols>
    <col min="1" max="1" width="51.33203125" customWidth="1"/>
    <col min="2" max="2" width="11.33203125" customWidth="1"/>
  </cols>
  <sheetData>
    <row r="1" spans="1:2" ht="17.399999999999999" x14ac:dyDescent="0.3">
      <c r="A1" s="60" t="s">
        <v>847</v>
      </c>
    </row>
    <row r="2" spans="1:2" ht="13.8" thickBot="1" x14ac:dyDescent="0.3"/>
    <row r="3" spans="1:2" ht="14.4" thickTop="1" thickBot="1" x14ac:dyDescent="0.3">
      <c r="A3" s="45" t="s">
        <v>848</v>
      </c>
      <c r="B3" s="47" t="s">
        <v>849</v>
      </c>
    </row>
    <row r="4" spans="1:2" ht="13.8" thickTop="1" x14ac:dyDescent="0.25">
      <c r="A4" s="67" t="s">
        <v>850</v>
      </c>
      <c r="B4" s="68">
        <v>1000</v>
      </c>
    </row>
    <row r="5" spans="1:2" x14ac:dyDescent="0.25">
      <c r="A5" s="69"/>
      <c r="B5" s="70"/>
    </row>
    <row r="6" spans="1:2" x14ac:dyDescent="0.25">
      <c r="A6" s="69" t="s">
        <v>851</v>
      </c>
      <c r="B6" s="70"/>
    </row>
    <row r="7" spans="1:2" x14ac:dyDescent="0.25">
      <c r="A7" s="69" t="s">
        <v>852</v>
      </c>
      <c r="B7" s="70"/>
    </row>
    <row r="8" spans="1:2" x14ac:dyDescent="0.25">
      <c r="A8" s="69" t="s">
        <v>853</v>
      </c>
      <c r="B8" s="70"/>
    </row>
    <row r="9" spans="1:2" x14ac:dyDescent="0.25">
      <c r="A9" s="69"/>
      <c r="B9" s="70"/>
    </row>
    <row r="10" spans="1:2" x14ac:dyDescent="0.25">
      <c r="A10" s="69" t="s">
        <v>854</v>
      </c>
      <c r="B10" s="70"/>
    </row>
    <row r="11" spans="1:2" x14ac:dyDescent="0.25">
      <c r="A11" s="69"/>
      <c r="B11" s="70"/>
    </row>
    <row r="12" spans="1:2" x14ac:dyDescent="0.25">
      <c r="A12" s="69" t="s">
        <v>855</v>
      </c>
      <c r="B12" s="70"/>
    </row>
    <row r="13" spans="1:2" x14ac:dyDescent="0.25">
      <c r="A13" s="69" t="s">
        <v>856</v>
      </c>
      <c r="B13" s="70"/>
    </row>
    <row r="14" spans="1:2" x14ac:dyDescent="0.25">
      <c r="A14" s="69" t="s">
        <v>857</v>
      </c>
      <c r="B14" s="70">
        <v>2500</v>
      </c>
    </row>
    <row r="15" spans="1:2" x14ac:dyDescent="0.25">
      <c r="A15" s="69"/>
      <c r="B15" s="70"/>
    </row>
    <row r="16" spans="1:2" x14ac:dyDescent="0.25">
      <c r="A16" s="69"/>
      <c r="B16" s="70"/>
    </row>
    <row r="17" spans="1:2" x14ac:dyDescent="0.25">
      <c r="A17" s="69"/>
      <c r="B17" s="70"/>
    </row>
    <row r="18" spans="1:2" x14ac:dyDescent="0.25">
      <c r="A18" s="69"/>
      <c r="B18" s="70"/>
    </row>
    <row r="19" spans="1:2" x14ac:dyDescent="0.25">
      <c r="A19" s="69"/>
      <c r="B19" s="70"/>
    </row>
    <row r="20" spans="1:2" x14ac:dyDescent="0.25">
      <c r="A20" s="69"/>
      <c r="B20" s="70"/>
    </row>
    <row r="21" spans="1:2" x14ac:dyDescent="0.25">
      <c r="A21" s="69"/>
      <c r="B21" s="70"/>
    </row>
    <row r="22" spans="1:2" x14ac:dyDescent="0.25">
      <c r="A22" s="69"/>
      <c r="B22" s="70"/>
    </row>
    <row r="23" spans="1:2" ht="13.8" thickBot="1" x14ac:dyDescent="0.3">
      <c r="A23" s="71"/>
      <c r="B23" s="72"/>
    </row>
    <row r="24" spans="1:2" ht="14.4" thickTop="1" thickBot="1" x14ac:dyDescent="0.3">
      <c r="A24" s="45" t="s">
        <v>858</v>
      </c>
      <c r="B24" s="59">
        <f>SUM(B4:B23)</f>
        <v>3500</v>
      </c>
    </row>
    <row r="25" spans="1:2" ht="13.8" thickTop="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2"/>
  <dimension ref="B1:G70"/>
  <sheetViews>
    <sheetView topLeftCell="A60" zoomScale="70" zoomScaleNormal="70" workbookViewId="0">
      <selection activeCell="C3" sqref="C3"/>
    </sheetView>
  </sheetViews>
  <sheetFormatPr defaultRowHeight="13.2" x14ac:dyDescent="0.25"/>
  <cols>
    <col min="1" max="1" width="2.33203125" customWidth="1"/>
    <col min="2" max="2" width="37.6640625" customWidth="1"/>
    <col min="3" max="3" width="48.33203125" customWidth="1"/>
    <col min="4" max="5" width="33.5546875" customWidth="1"/>
    <col min="6" max="6" width="20.6640625" customWidth="1"/>
    <col min="7" max="7" width="41.33203125" bestFit="1" customWidth="1"/>
  </cols>
  <sheetData>
    <row r="1" spans="2:4" ht="13.8" thickBot="1" x14ac:dyDescent="0.3"/>
    <row r="2" spans="2:4" ht="14.4" thickTop="1" thickBot="1" x14ac:dyDescent="0.3">
      <c r="B2" s="231" t="s">
        <v>1045</v>
      </c>
      <c r="C2" s="232"/>
      <c r="D2" s="233"/>
    </row>
    <row r="3" spans="2:4" ht="26.25" customHeight="1" thickTop="1" thickBot="1" x14ac:dyDescent="0.3">
      <c r="B3" s="133" t="s">
        <v>1008</v>
      </c>
      <c r="C3" s="144" t="s">
        <v>895</v>
      </c>
      <c r="D3" s="170" t="s">
        <v>1009</v>
      </c>
    </row>
    <row r="4" spans="2:4" ht="28.2" thickTop="1" x14ac:dyDescent="0.3">
      <c r="B4" s="35" t="s">
        <v>891</v>
      </c>
      <c r="C4" s="36" t="s">
        <v>1010</v>
      </c>
      <c r="D4" s="171" t="s">
        <v>901</v>
      </c>
    </row>
    <row r="5" spans="2:4" ht="54" customHeight="1" x14ac:dyDescent="0.25">
      <c r="B5" s="134" t="s">
        <v>892</v>
      </c>
      <c r="C5" s="173" t="s">
        <v>1011</v>
      </c>
      <c r="D5" s="138" t="s">
        <v>900</v>
      </c>
    </row>
    <row r="6" spans="2:4" ht="27.6" x14ac:dyDescent="0.25">
      <c r="B6" s="134" t="s">
        <v>893</v>
      </c>
      <c r="C6" s="135" t="s">
        <v>899</v>
      </c>
      <c r="D6" s="138" t="s">
        <v>902</v>
      </c>
    </row>
    <row r="7" spans="2:4" ht="30" customHeight="1" x14ac:dyDescent="0.25">
      <c r="B7" s="134" t="s">
        <v>894</v>
      </c>
      <c r="C7" s="135" t="s">
        <v>896</v>
      </c>
      <c r="D7" s="138" t="s">
        <v>1012</v>
      </c>
    </row>
    <row r="8" spans="2:4" ht="13.8" x14ac:dyDescent="0.3">
      <c r="B8" s="41"/>
      <c r="C8" s="136" t="s">
        <v>897</v>
      </c>
      <c r="D8" s="137" t="s">
        <v>1024</v>
      </c>
    </row>
    <row r="9" spans="2:4" ht="13.8" x14ac:dyDescent="0.3">
      <c r="B9" s="41"/>
      <c r="C9" s="136" t="s">
        <v>898</v>
      </c>
      <c r="D9" s="137" t="s">
        <v>903</v>
      </c>
    </row>
    <row r="10" spans="2:4" ht="41.4" x14ac:dyDescent="0.25">
      <c r="B10" s="41"/>
      <c r="C10" s="42"/>
      <c r="D10" s="138" t="s">
        <v>904</v>
      </c>
    </row>
    <row r="11" spans="2:4" ht="13.8" x14ac:dyDescent="0.25">
      <c r="B11" s="41"/>
      <c r="C11" s="42"/>
      <c r="D11" s="137" t="s">
        <v>905</v>
      </c>
    </row>
    <row r="12" spans="2:4" ht="13.8" x14ac:dyDescent="0.25">
      <c r="B12" s="41"/>
      <c r="C12" s="42"/>
      <c r="D12" s="137" t="s">
        <v>906</v>
      </c>
    </row>
    <row r="13" spans="2:4" ht="27.6" x14ac:dyDescent="0.25">
      <c r="B13" s="41"/>
      <c r="C13" s="42"/>
      <c r="D13" s="138" t="s">
        <v>907</v>
      </c>
    </row>
    <row r="14" spans="2:4" ht="27.6" x14ac:dyDescent="0.25">
      <c r="B14" s="41"/>
      <c r="C14" s="42"/>
      <c r="D14" s="138" t="s">
        <v>1013</v>
      </c>
    </row>
    <row r="15" spans="2:4" ht="27.6" x14ac:dyDescent="0.25">
      <c r="B15" s="41"/>
      <c r="C15" s="42"/>
      <c r="D15" s="138" t="s">
        <v>1014</v>
      </c>
    </row>
    <row r="16" spans="2:4" ht="28.2" thickBot="1" x14ac:dyDescent="0.3">
      <c r="B16" s="43"/>
      <c r="C16" s="44"/>
      <c r="D16" s="139" t="s">
        <v>908</v>
      </c>
    </row>
    <row r="17" spans="2:4" ht="14.4" thickTop="1" thickBot="1" x14ac:dyDescent="0.3"/>
    <row r="18" spans="2:4" ht="14.4" thickTop="1" thickBot="1" x14ac:dyDescent="0.3">
      <c r="B18" s="231" t="s">
        <v>909</v>
      </c>
      <c r="C18" s="234"/>
      <c r="D18" s="48"/>
    </row>
    <row r="19" spans="2:4" ht="14.4" thickTop="1" thickBot="1" x14ac:dyDescent="0.3">
      <c r="B19" s="45" t="s">
        <v>910</v>
      </c>
      <c r="C19" s="47" t="s">
        <v>915</v>
      </c>
    </row>
    <row r="20" spans="2:4" ht="28.2" thickTop="1" x14ac:dyDescent="0.3">
      <c r="B20" s="140" t="s">
        <v>911</v>
      </c>
      <c r="C20" s="37" t="s">
        <v>916</v>
      </c>
    </row>
    <row r="21" spans="2:4" ht="27.6" x14ac:dyDescent="0.3">
      <c r="B21" s="142" t="s">
        <v>912</v>
      </c>
      <c r="C21" s="40" t="s">
        <v>917</v>
      </c>
    </row>
    <row r="22" spans="2:4" ht="13.8" x14ac:dyDescent="0.3">
      <c r="B22" s="38" t="s">
        <v>913</v>
      </c>
      <c r="C22" s="40" t="s">
        <v>918</v>
      </c>
    </row>
    <row r="23" spans="2:4" ht="27.6" x14ac:dyDescent="0.3">
      <c r="B23" s="141" t="s">
        <v>914</v>
      </c>
      <c r="C23" s="40" t="s">
        <v>919</v>
      </c>
    </row>
    <row r="24" spans="2:4" ht="13.8" x14ac:dyDescent="0.3">
      <c r="B24" s="41"/>
      <c r="C24" s="40" t="s">
        <v>920</v>
      </c>
    </row>
    <row r="25" spans="2:4" ht="14.4" thickBot="1" x14ac:dyDescent="0.35">
      <c r="B25" s="43"/>
      <c r="C25" s="143" t="s">
        <v>921</v>
      </c>
    </row>
    <row r="26" spans="2:4" ht="14.4" thickTop="1" thickBot="1" x14ac:dyDescent="0.3"/>
    <row r="27" spans="2:4" ht="14.4" thickTop="1" thickBot="1" x14ac:dyDescent="0.3">
      <c r="B27" s="231" t="s">
        <v>922</v>
      </c>
      <c r="C27" s="234"/>
    </row>
    <row r="28" spans="2:4" ht="14.4" thickTop="1" thickBot="1" x14ac:dyDescent="0.3">
      <c r="B28" s="45" t="s">
        <v>938</v>
      </c>
      <c r="C28" s="47" t="s">
        <v>923</v>
      </c>
    </row>
    <row r="29" spans="2:4" ht="28.2" thickTop="1" x14ac:dyDescent="0.25">
      <c r="B29" s="151" t="s">
        <v>939</v>
      </c>
      <c r="C29" s="175" t="s">
        <v>924</v>
      </c>
    </row>
    <row r="30" spans="2:4" ht="18.600000000000001" customHeight="1" x14ac:dyDescent="0.3">
      <c r="B30" s="38" t="s">
        <v>1015</v>
      </c>
      <c r="C30" s="40" t="s">
        <v>925</v>
      </c>
    </row>
    <row r="31" spans="2:4" ht="28.2" thickBot="1" x14ac:dyDescent="0.3">
      <c r="B31" s="172" t="s">
        <v>1016</v>
      </c>
      <c r="C31" s="174" t="s">
        <v>926</v>
      </c>
    </row>
    <row r="32" spans="2:4" ht="14.4" thickTop="1" thickBot="1" x14ac:dyDescent="0.3"/>
    <row r="33" spans="2:7" ht="14.4" thickTop="1" thickBot="1" x14ac:dyDescent="0.3">
      <c r="B33" s="231" t="s">
        <v>927</v>
      </c>
      <c r="C33" s="232"/>
      <c r="D33" s="233"/>
    </row>
    <row r="34" spans="2:7" ht="40.799999999999997" thickTop="1" thickBot="1" x14ac:dyDescent="0.3">
      <c r="B34" s="150" t="s">
        <v>931</v>
      </c>
      <c r="C34" s="145" t="s">
        <v>930</v>
      </c>
      <c r="D34" s="148" t="s">
        <v>933</v>
      </c>
    </row>
    <row r="35" spans="2:7" ht="42" thickTop="1" x14ac:dyDescent="0.3">
      <c r="B35" s="140" t="s">
        <v>928</v>
      </c>
      <c r="C35" s="147" t="s">
        <v>1018</v>
      </c>
      <c r="D35" s="149" t="s">
        <v>1017</v>
      </c>
    </row>
    <row r="36" spans="2:7" ht="27.6" x14ac:dyDescent="0.25">
      <c r="B36" s="152" t="s">
        <v>929</v>
      </c>
      <c r="C36" s="146" t="s">
        <v>1019</v>
      </c>
      <c r="D36" s="138" t="s">
        <v>934</v>
      </c>
    </row>
    <row r="37" spans="2:7" ht="27.6" x14ac:dyDescent="0.3">
      <c r="B37" s="38"/>
      <c r="C37" s="146" t="s">
        <v>932</v>
      </c>
      <c r="D37" s="138" t="s">
        <v>935</v>
      </c>
    </row>
    <row r="38" spans="2:7" ht="13.8" x14ac:dyDescent="0.3">
      <c r="B38" s="38"/>
      <c r="C38" s="146"/>
      <c r="D38" s="137" t="s">
        <v>936</v>
      </c>
      <c r="G38" s="18"/>
    </row>
    <row r="39" spans="2:7" ht="28.2" thickBot="1" x14ac:dyDescent="0.35">
      <c r="B39" s="43"/>
      <c r="C39" s="50"/>
      <c r="D39" s="139" t="s">
        <v>937</v>
      </c>
      <c r="G39" s="18"/>
    </row>
    <row r="40" spans="2:7" ht="15" thickTop="1" thickBot="1" x14ac:dyDescent="0.35">
      <c r="B40" s="51"/>
      <c r="C40" s="52"/>
      <c r="D40" s="52"/>
      <c r="G40" s="18"/>
    </row>
    <row r="41" spans="2:7" ht="15" thickTop="1" thickBot="1" x14ac:dyDescent="0.35">
      <c r="B41" s="231" t="s">
        <v>940</v>
      </c>
      <c r="C41" s="232"/>
      <c r="D41" s="232"/>
      <c r="E41" s="233"/>
      <c r="G41" s="18"/>
    </row>
    <row r="42" spans="2:7" s="49" customFormat="1" ht="40.799999999999997" thickTop="1" thickBot="1" x14ac:dyDescent="0.35">
      <c r="B42" s="133" t="s">
        <v>948</v>
      </c>
      <c r="C42" s="153" t="s">
        <v>949</v>
      </c>
      <c r="D42" s="153" t="s">
        <v>946</v>
      </c>
      <c r="E42" s="160" t="s">
        <v>947</v>
      </c>
      <c r="G42" s="55"/>
    </row>
    <row r="43" spans="2:7" ht="42" thickTop="1" x14ac:dyDescent="0.3">
      <c r="B43" s="154" t="s">
        <v>941</v>
      </c>
      <c r="C43" s="147" t="s">
        <v>1025</v>
      </c>
      <c r="D43" s="147" t="s">
        <v>954</v>
      </c>
      <c r="E43" s="149" t="s">
        <v>958</v>
      </c>
      <c r="G43" s="18"/>
    </row>
    <row r="44" spans="2:7" ht="41.4" x14ac:dyDescent="0.3">
      <c r="B44" s="142" t="s">
        <v>942</v>
      </c>
      <c r="C44" s="155" t="s">
        <v>950</v>
      </c>
      <c r="D44" s="155" t="s">
        <v>955</v>
      </c>
      <c r="E44" s="138" t="s">
        <v>959</v>
      </c>
      <c r="G44" s="18"/>
    </row>
    <row r="45" spans="2:7" ht="41.4" x14ac:dyDescent="0.3">
      <c r="B45" s="142" t="s">
        <v>943</v>
      </c>
      <c r="C45" s="155" t="s">
        <v>951</v>
      </c>
      <c r="D45" s="155" t="s">
        <v>956</v>
      </c>
      <c r="E45" s="138" t="s">
        <v>960</v>
      </c>
      <c r="G45" s="18"/>
    </row>
    <row r="46" spans="2:7" ht="27.6" x14ac:dyDescent="0.3">
      <c r="B46" s="142" t="s">
        <v>944</v>
      </c>
      <c r="C46" s="155" t="s">
        <v>952</v>
      </c>
      <c r="D46" s="155" t="s">
        <v>1026</v>
      </c>
      <c r="E46" s="156"/>
      <c r="G46" s="18"/>
    </row>
    <row r="47" spans="2:7" ht="28.2" thickBot="1" x14ac:dyDescent="0.35">
      <c r="B47" s="157" t="s">
        <v>945</v>
      </c>
      <c r="C47" s="158" t="s">
        <v>953</v>
      </c>
      <c r="D47" s="158" t="s">
        <v>957</v>
      </c>
      <c r="E47" s="159"/>
      <c r="G47" s="18"/>
    </row>
    <row r="48" spans="2:7" ht="15" thickTop="1" thickBot="1" x14ac:dyDescent="0.35">
      <c r="G48" s="18"/>
    </row>
    <row r="49" spans="2:7" ht="14.4" thickTop="1" thickBot="1" x14ac:dyDescent="0.3">
      <c r="B49" s="231" t="s">
        <v>961</v>
      </c>
      <c r="C49" s="232"/>
      <c r="D49" s="232"/>
      <c r="E49" s="233"/>
    </row>
    <row r="50" spans="2:7" s="49" customFormat="1" ht="27.6" thickTop="1" thickBot="1" x14ac:dyDescent="0.3">
      <c r="B50" s="133" t="s">
        <v>962</v>
      </c>
      <c r="C50" s="153" t="s">
        <v>963</v>
      </c>
      <c r="D50" s="153" t="s">
        <v>964</v>
      </c>
      <c r="E50" s="148" t="s">
        <v>1031</v>
      </c>
    </row>
    <row r="51" spans="2:7" ht="42" thickTop="1" x14ac:dyDescent="0.25">
      <c r="B51" s="154" t="s">
        <v>965</v>
      </c>
      <c r="C51" s="147" t="s">
        <v>970</v>
      </c>
      <c r="D51" s="147" t="s">
        <v>1030</v>
      </c>
      <c r="E51" s="149" t="s">
        <v>980</v>
      </c>
    </row>
    <row r="52" spans="2:7" ht="27.6" x14ac:dyDescent="0.25">
      <c r="B52" s="142" t="s">
        <v>966</v>
      </c>
      <c r="C52" s="155" t="s">
        <v>971</v>
      </c>
      <c r="D52" s="155" t="s">
        <v>979</v>
      </c>
      <c r="E52" s="138" t="s">
        <v>981</v>
      </c>
    </row>
    <row r="53" spans="2:7" ht="13.8" x14ac:dyDescent="0.3">
      <c r="B53" s="142" t="s">
        <v>1027</v>
      </c>
      <c r="C53" s="155" t="s">
        <v>972</v>
      </c>
      <c r="D53" s="166"/>
      <c r="E53" s="138"/>
      <c r="G53" s="18"/>
    </row>
    <row r="54" spans="2:7" ht="13.8" x14ac:dyDescent="0.3">
      <c r="B54" s="142" t="s">
        <v>967</v>
      </c>
      <c r="C54" s="155" t="s">
        <v>973</v>
      </c>
      <c r="D54" s="166"/>
      <c r="E54" s="138"/>
      <c r="G54" s="18"/>
    </row>
    <row r="55" spans="2:7" ht="27.6" x14ac:dyDescent="0.3">
      <c r="B55" s="142" t="s">
        <v>968</v>
      </c>
      <c r="C55" s="155" t="s">
        <v>974</v>
      </c>
      <c r="D55" s="166"/>
      <c r="E55" s="138"/>
      <c r="G55" s="18"/>
    </row>
    <row r="56" spans="2:7" ht="27.6" x14ac:dyDescent="0.25">
      <c r="B56" s="142" t="s">
        <v>1028</v>
      </c>
      <c r="C56" s="155" t="s">
        <v>975</v>
      </c>
      <c r="D56" s="166"/>
      <c r="E56" s="138"/>
    </row>
    <row r="57" spans="2:7" ht="13.8" x14ac:dyDescent="0.25">
      <c r="B57" s="142" t="s">
        <v>1029</v>
      </c>
      <c r="C57" s="155" t="s">
        <v>976</v>
      </c>
      <c r="D57" s="166"/>
      <c r="E57" s="156"/>
    </row>
    <row r="58" spans="2:7" ht="13.8" x14ac:dyDescent="0.25">
      <c r="B58" s="142" t="s">
        <v>969</v>
      </c>
      <c r="C58" s="155" t="s">
        <v>977</v>
      </c>
      <c r="D58" s="166"/>
      <c r="E58" s="156"/>
    </row>
    <row r="59" spans="2:7" ht="28.2" thickBot="1" x14ac:dyDescent="0.35">
      <c r="B59" s="162"/>
      <c r="C59" s="163" t="s">
        <v>978</v>
      </c>
      <c r="D59" s="164"/>
      <c r="E59" s="165"/>
    </row>
    <row r="60" spans="2:7" ht="14.4" thickTop="1" thickBot="1" x14ac:dyDescent="0.3"/>
    <row r="61" spans="2:7" ht="14.4" thickTop="1" thickBot="1" x14ac:dyDescent="0.3">
      <c r="B61" s="231" t="s">
        <v>982</v>
      </c>
      <c r="C61" s="232"/>
      <c r="D61" s="233"/>
    </row>
    <row r="62" spans="2:7" s="49" customFormat="1" ht="27.6" thickTop="1" thickBot="1" x14ac:dyDescent="0.3">
      <c r="B62" s="45" t="s">
        <v>983</v>
      </c>
      <c r="C62" s="46" t="s">
        <v>984</v>
      </c>
      <c r="D62" s="170" t="s">
        <v>985</v>
      </c>
    </row>
    <row r="63" spans="2:7" ht="14.4" thickTop="1" x14ac:dyDescent="0.3">
      <c r="B63" s="154" t="s">
        <v>993</v>
      </c>
      <c r="C63" s="36" t="s">
        <v>988</v>
      </c>
      <c r="D63" s="37" t="s">
        <v>986</v>
      </c>
    </row>
    <row r="64" spans="2:7" ht="27.6" x14ac:dyDescent="0.3">
      <c r="B64" s="142" t="s">
        <v>994</v>
      </c>
      <c r="C64" s="39" t="s">
        <v>989</v>
      </c>
      <c r="D64" s="161" t="s">
        <v>987</v>
      </c>
    </row>
    <row r="65" spans="2:4" ht="27.6" x14ac:dyDescent="0.3">
      <c r="B65" s="142" t="s">
        <v>995</v>
      </c>
      <c r="C65" s="39" t="s">
        <v>990</v>
      </c>
      <c r="D65" s="40"/>
    </row>
    <row r="66" spans="2:4" ht="13.8" x14ac:dyDescent="0.3">
      <c r="B66" s="142" t="s">
        <v>1032</v>
      </c>
      <c r="C66" s="39" t="s">
        <v>991</v>
      </c>
      <c r="D66" s="40"/>
    </row>
    <row r="67" spans="2:4" ht="13.8" x14ac:dyDescent="0.3">
      <c r="B67" s="142" t="s">
        <v>996</v>
      </c>
      <c r="C67" s="39" t="s">
        <v>992</v>
      </c>
      <c r="D67" s="40"/>
    </row>
    <row r="68" spans="2:4" ht="27.6" x14ac:dyDescent="0.25">
      <c r="B68" s="142" t="s">
        <v>997</v>
      </c>
      <c r="C68" s="42"/>
      <c r="D68" s="53"/>
    </row>
    <row r="69" spans="2:4" ht="28.2" thickBot="1" x14ac:dyDescent="0.3">
      <c r="B69" s="157" t="s">
        <v>998</v>
      </c>
      <c r="C69" s="44"/>
      <c r="D69" s="54"/>
    </row>
    <row r="70" spans="2:4" ht="13.8" thickTop="1" x14ac:dyDescent="0.25"/>
  </sheetData>
  <mergeCells count="7">
    <mergeCell ref="B49:E49"/>
    <mergeCell ref="B61:D61"/>
    <mergeCell ref="B2:D2"/>
    <mergeCell ref="B18:C18"/>
    <mergeCell ref="B27:C27"/>
    <mergeCell ref="B33:D33"/>
    <mergeCell ref="B41:E4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3"/>
  <dimension ref="A1:AD21"/>
  <sheetViews>
    <sheetView zoomScale="55" zoomScaleNormal="55" workbookViewId="0">
      <selection activeCell="AA9" sqref="AA9"/>
    </sheetView>
  </sheetViews>
  <sheetFormatPr defaultRowHeight="13.2" x14ac:dyDescent="0.25"/>
  <cols>
    <col min="1" max="1" width="19.6640625" customWidth="1"/>
    <col min="2" max="2" width="12" bestFit="1" customWidth="1"/>
    <col min="19" max="19" width="35.33203125" customWidth="1"/>
    <col min="20" max="20" width="37.5546875" customWidth="1"/>
    <col min="26" max="27" width="11.33203125" bestFit="1" customWidth="1"/>
  </cols>
  <sheetData>
    <row r="1" spans="1:30" ht="247.8" x14ac:dyDescent="0.25">
      <c r="A1" s="235" t="s">
        <v>1020</v>
      </c>
      <c r="B1" s="236" t="s">
        <v>863</v>
      </c>
      <c r="C1" s="237" t="s">
        <v>859</v>
      </c>
      <c r="D1" s="237" t="s">
        <v>864</v>
      </c>
      <c r="E1" s="238" t="s">
        <v>865</v>
      </c>
      <c r="F1" s="238" t="s">
        <v>861</v>
      </c>
      <c r="G1" s="238" t="s">
        <v>862</v>
      </c>
      <c r="H1" s="238" t="s">
        <v>866</v>
      </c>
      <c r="I1" s="238" t="s">
        <v>867</v>
      </c>
      <c r="J1" s="239" t="s">
        <v>868</v>
      </c>
      <c r="K1" s="239" t="s">
        <v>869</v>
      </c>
      <c r="L1" s="238" t="s">
        <v>870</v>
      </c>
      <c r="M1" s="238" t="s">
        <v>871</v>
      </c>
      <c r="N1" s="238" t="s">
        <v>872</v>
      </c>
      <c r="O1" s="238" t="s">
        <v>873</v>
      </c>
      <c r="P1" s="239" t="s">
        <v>874</v>
      </c>
      <c r="Q1" s="239" t="s">
        <v>875</v>
      </c>
      <c r="R1" s="239" t="s">
        <v>876</v>
      </c>
      <c r="S1" s="239" t="s">
        <v>877</v>
      </c>
      <c r="T1" s="239" t="s">
        <v>878</v>
      </c>
      <c r="U1" s="240" t="s">
        <v>879</v>
      </c>
      <c r="V1" s="240" t="s">
        <v>880</v>
      </c>
      <c r="W1" s="240" t="s">
        <v>881</v>
      </c>
      <c r="X1" s="240" t="s">
        <v>882</v>
      </c>
      <c r="Y1" s="240" t="s">
        <v>840</v>
      </c>
      <c r="Z1" s="240" t="s">
        <v>883</v>
      </c>
      <c r="AA1" s="241" t="s">
        <v>884</v>
      </c>
      <c r="AB1" s="242" t="s">
        <v>1021</v>
      </c>
      <c r="AC1" s="241" t="s">
        <v>885</v>
      </c>
      <c r="AD1" s="243"/>
    </row>
    <row r="2" spans="1:30" s="56" customFormat="1" x14ac:dyDescent="0.25">
      <c r="A2" s="15">
        <f>'Incident Report_отчет о НС'!B7</f>
        <v>45652</v>
      </c>
      <c r="B2" s="73">
        <f>'Incident Report_отчет о НС'!B7</f>
        <v>45652</v>
      </c>
      <c r="C2" s="56" t="e">
        <f>'Incident Report_отчет о НС'!#REF!</f>
        <v>#REF!</v>
      </c>
      <c r="D2" s="56" t="e">
        <f>'Incident Report_отчет о НС'!#REF!</f>
        <v>#REF!</v>
      </c>
      <c r="E2" s="56" t="e">
        <f>'Incident Report_отчет о НС'!#REF!</f>
        <v>#REF!</v>
      </c>
      <c r="F2" s="56" t="e">
        <f>'Incident Report_отчет о НС'!#REF!</f>
        <v>#REF!</v>
      </c>
      <c r="G2" s="56" t="str">
        <f>'Incident Report_отчет о НС'!D7</f>
        <v>Near Miss</v>
      </c>
      <c r="H2" s="56" t="str">
        <f>'Incident Report_отчет о НС'!D75</f>
        <v>Slight Damage (&lt; 500 €)</v>
      </c>
      <c r="J2" s="56" t="e">
        <f>'Incident Report_отчет о НС'!#REF!</f>
        <v>#REF!</v>
      </c>
      <c r="K2" s="56" t="str">
        <f>'Incident Report_отчет о НС'!E7</f>
        <v>EFKO Taman</v>
      </c>
      <c r="L2" s="56" t="str">
        <f>'Incident Report_отчет о НС'!F28</f>
        <v>Master</v>
      </c>
      <c r="M2" s="56">
        <f>'Incident Report_отчет о НС'!B30</f>
        <v>0</v>
      </c>
      <c r="N2" s="56">
        <f>'Incident Report_отчет о НС'!C30</f>
        <v>0</v>
      </c>
      <c r="O2" s="56" t="str">
        <f>'Incident Report_отчет о НС'!D30</f>
        <v>Loss of equipment</v>
      </c>
      <c r="P2" s="56" t="str">
        <f>'Incident Report_отчет о НС'!D32</f>
        <v>Deck</v>
      </c>
      <c r="Q2" s="56" t="str">
        <f>'Incident Report_отчет о НС'!B32</f>
        <v xml:space="preserve">Cleaning </v>
      </c>
      <c r="R2" s="56" t="str">
        <f>'Incident Report_отчет о НС'!F32</f>
        <v>Slip/Trip/Fall</v>
      </c>
      <c r="S2" s="56" t="str">
        <f>'Incident Report_отчет о НС'!B46</f>
        <v xml:space="preserve">   </v>
      </c>
      <c r="T2" s="74">
        <f>'Incident Report_отчет о НС'!B91</f>
        <v>0</v>
      </c>
      <c r="U2" s="56" t="str">
        <f>'Incident Report_отчет о НС'!D76</f>
        <v>Communications</v>
      </c>
      <c r="V2" s="56" t="str">
        <f>'Incident Report_отчет о НС'!D77</f>
        <v>Selection_of_worker</v>
      </c>
      <c r="W2" s="56" t="str">
        <f>'Incident Report_отчет о НС'!D78</f>
        <v>No preparation</v>
      </c>
      <c r="X2" s="56" t="str">
        <f>'Incident Report_отчет о НС'!D87</f>
        <v>E4_Reliability_Maintenance</v>
      </c>
      <c r="Y2" s="56" t="str">
        <f>'Incident Report_отчет о НС'!D88</f>
        <v>Maintenance</v>
      </c>
      <c r="Z2" s="75">
        <f>'Incident Report_отчет о НС'!B69</f>
        <v>45652</v>
      </c>
      <c r="AA2" s="75">
        <f>'Incident Report_отчет о НС'!B115</f>
        <v>0</v>
      </c>
      <c r="AB2" s="56">
        <f>AA2-A2</f>
        <v>-45652</v>
      </c>
    </row>
    <row r="9" spans="1:30" x14ac:dyDescent="0.25">
      <c r="A9" s="33" t="s">
        <v>1022</v>
      </c>
    </row>
    <row r="10" spans="1:30" x14ac:dyDescent="0.25">
      <c r="A10" s="33" t="s">
        <v>1023</v>
      </c>
    </row>
    <row r="11" spans="1:30" x14ac:dyDescent="0.25">
      <c r="A11" s="33" t="s">
        <v>886</v>
      </c>
    </row>
    <row r="12" spans="1:30" x14ac:dyDescent="0.25">
      <c r="A12" s="33"/>
    </row>
    <row r="21" spans="1:1" x14ac:dyDescent="0.25">
      <c r="A21" s="15"/>
    </row>
  </sheetData>
  <conditionalFormatting sqref="AB2">
    <cfRule type="cellIs" dxfId="2" priority="3" operator="lessThan">
      <formula>0</formula>
    </cfRule>
  </conditionalFormatting>
  <conditionalFormatting sqref="AC2">
    <cfRule type="cellIs" dxfId="1" priority="2" operator="equal">
      <formula>0</formula>
    </cfRule>
  </conditionalFormatting>
  <conditionalFormatting sqref="A2:AC2">
    <cfRule type="cellIs" dxfId="0" priority="1" operator="lessThanOr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Macro17">
                <anchor moveWithCells="1" sizeWithCells="1">
                  <from>
                    <xdr:col>1</xdr:col>
                    <xdr:colOff>0</xdr:colOff>
                    <xdr:row>3</xdr:row>
                    <xdr:rowOff>0</xdr:rowOff>
                  </from>
                  <to>
                    <xdr:col>3</xdr:col>
                    <xdr:colOff>266700</xdr:colOff>
                    <xdr:row>7</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B2:E10"/>
  <sheetViews>
    <sheetView workbookViewId="0">
      <selection activeCell="E11" sqref="E11"/>
    </sheetView>
  </sheetViews>
  <sheetFormatPr defaultRowHeight="13.2" x14ac:dyDescent="0.25"/>
  <cols>
    <col min="1" max="1" width="4.33203125" customWidth="1"/>
    <col min="4" max="4" width="11.44140625" customWidth="1"/>
    <col min="5" max="5" width="60.6640625" customWidth="1"/>
  </cols>
  <sheetData>
    <row r="2" spans="2:5" x14ac:dyDescent="0.25">
      <c r="B2" s="9" t="s">
        <v>246</v>
      </c>
      <c r="C2" s="9" t="s">
        <v>247</v>
      </c>
      <c r="D2" s="9" t="s">
        <v>248</v>
      </c>
      <c r="E2" s="9" t="s">
        <v>251</v>
      </c>
    </row>
    <row r="3" spans="2:5" s="13" customFormat="1" ht="26.4" x14ac:dyDescent="0.25">
      <c r="B3" s="10" t="s">
        <v>249</v>
      </c>
      <c r="C3" s="10" t="s">
        <v>250</v>
      </c>
      <c r="D3" s="11">
        <v>41319</v>
      </c>
      <c r="E3" s="12" t="s">
        <v>252</v>
      </c>
    </row>
    <row r="4" spans="2:5" x14ac:dyDescent="0.25">
      <c r="B4" s="14" t="s">
        <v>250</v>
      </c>
      <c r="C4" s="14" t="s">
        <v>253</v>
      </c>
      <c r="D4" s="15">
        <v>41326</v>
      </c>
      <c r="E4" t="s">
        <v>254</v>
      </c>
    </row>
    <row r="5" spans="2:5" x14ac:dyDescent="0.25">
      <c r="B5" s="14" t="s">
        <v>253</v>
      </c>
      <c r="C5" s="14" t="s">
        <v>256</v>
      </c>
      <c r="D5" s="15">
        <v>41386</v>
      </c>
      <c r="E5" t="s">
        <v>258</v>
      </c>
    </row>
    <row r="6" spans="2:5" x14ac:dyDescent="0.25">
      <c r="B6" s="14"/>
      <c r="C6" s="14"/>
      <c r="D6" s="15">
        <v>41387</v>
      </c>
      <c r="E6" t="s">
        <v>259</v>
      </c>
    </row>
    <row r="7" spans="2:5" x14ac:dyDescent="0.25">
      <c r="B7" s="14" t="s">
        <v>256</v>
      </c>
      <c r="C7" s="14" t="s">
        <v>266</v>
      </c>
      <c r="D7" s="15">
        <v>41456</v>
      </c>
      <c r="E7" t="s">
        <v>267</v>
      </c>
    </row>
    <row r="8" spans="2:5" x14ac:dyDescent="0.25">
      <c r="B8">
        <v>0</v>
      </c>
      <c r="C8">
        <v>1</v>
      </c>
      <c r="D8" s="15">
        <v>41579</v>
      </c>
      <c r="E8" t="s">
        <v>271</v>
      </c>
    </row>
    <row r="9" spans="2:5" ht="26.4" x14ac:dyDescent="0.25">
      <c r="C9">
        <v>2</v>
      </c>
      <c r="D9" s="15">
        <v>42227</v>
      </c>
      <c r="E9" s="34" t="s">
        <v>558</v>
      </c>
    </row>
    <row r="10" spans="2:5" x14ac:dyDescent="0.25">
      <c r="D10" s="15">
        <v>42228</v>
      </c>
      <c r="E10" t="s">
        <v>564</v>
      </c>
    </row>
  </sheetData>
  <sheetProtection selectLockedCells="1" selectUnlockedCells="1"/>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B2:AS240"/>
  <sheetViews>
    <sheetView showGridLines="0" workbookViewId="0">
      <selection activeCell="C5" sqref="C5"/>
    </sheetView>
  </sheetViews>
  <sheetFormatPr defaultColWidth="8.6640625" defaultRowHeight="13.8" x14ac:dyDescent="0.3"/>
  <cols>
    <col min="1" max="1" width="5" style="18" customWidth="1"/>
    <col min="2" max="2" width="20.33203125" style="18" customWidth="1"/>
    <col min="3" max="3" width="9.5546875" style="18" customWidth="1"/>
    <col min="4" max="4" width="16.33203125" style="18" bestFit="1" customWidth="1"/>
    <col min="5" max="5" width="8.33203125" style="18" customWidth="1"/>
    <col min="6" max="6" width="7.6640625" style="18" customWidth="1"/>
    <col min="7" max="7" width="8.6640625" style="18"/>
    <col min="8" max="8" width="12" style="18" customWidth="1"/>
    <col min="9" max="11" width="8.6640625" style="18" customWidth="1"/>
    <col min="12" max="12" width="9.5546875" style="18" customWidth="1"/>
    <col min="13" max="13" width="9.44140625" style="18" customWidth="1"/>
    <col min="14" max="14" width="7.6640625" style="18" customWidth="1"/>
    <col min="15" max="15" width="17.6640625" style="18" customWidth="1"/>
    <col min="16" max="16" width="17.33203125" style="18" customWidth="1"/>
    <col min="17" max="17" width="13.6640625" style="18" customWidth="1"/>
    <col min="18" max="18" width="25.5546875" style="18" customWidth="1"/>
    <col min="19" max="19" width="20.33203125" style="18" customWidth="1"/>
    <col min="20" max="20" width="16.44140625" style="18" customWidth="1"/>
    <col min="21" max="21" width="15.44140625" style="18" customWidth="1"/>
    <col min="22" max="22" width="16" style="18" customWidth="1"/>
    <col min="23" max="23" width="17.33203125" style="18" customWidth="1"/>
    <col min="24" max="25" width="8.6640625" style="18"/>
    <col min="26" max="26" width="23.5546875" style="18" customWidth="1"/>
    <col min="27" max="27" width="22.6640625" style="18" bestFit="1" customWidth="1"/>
    <col min="28" max="28" width="8.6640625" style="18" customWidth="1"/>
    <col min="29" max="29" width="23.6640625" style="18" customWidth="1"/>
    <col min="30" max="30" width="39.6640625" style="18" bestFit="1" customWidth="1"/>
    <col min="31" max="31" width="26.33203125" style="18" bestFit="1" customWidth="1"/>
    <col min="32" max="33" width="8.6640625" style="18"/>
    <col min="34" max="34" width="34.6640625" style="18" bestFit="1" customWidth="1"/>
    <col min="35" max="35" width="33.33203125" style="18" bestFit="1" customWidth="1"/>
    <col min="36" max="36" width="32.33203125" style="18" bestFit="1" customWidth="1"/>
    <col min="37" max="37" width="35.33203125" style="18" bestFit="1" customWidth="1"/>
    <col min="38" max="38" width="22.44140625" style="18" bestFit="1" customWidth="1"/>
    <col min="39" max="39" width="31.6640625" style="18" bestFit="1" customWidth="1"/>
    <col min="40" max="40" width="24.6640625" style="18" bestFit="1" customWidth="1"/>
    <col min="41" max="41" width="25.6640625" style="18" bestFit="1" customWidth="1"/>
    <col min="42" max="42" width="30.5546875" style="18" bestFit="1" customWidth="1"/>
    <col min="43" max="43" width="28.33203125" style="18" bestFit="1" customWidth="1"/>
    <col min="44" max="44" width="41.44140625" style="18" bestFit="1" customWidth="1"/>
    <col min="45" max="45" width="32.5546875" style="18" customWidth="1"/>
    <col min="46" max="16384" width="8.6640625" style="18"/>
  </cols>
  <sheetData>
    <row r="2" spans="2:45" ht="27.6" x14ac:dyDescent="0.3">
      <c r="B2" s="19" t="s">
        <v>6</v>
      </c>
      <c r="C2" s="19" t="s">
        <v>2</v>
      </c>
      <c r="D2" s="19" t="s">
        <v>7</v>
      </c>
      <c r="E2" s="19" t="s">
        <v>8</v>
      </c>
      <c r="F2" s="19" t="s">
        <v>9</v>
      </c>
      <c r="G2" s="19" t="s">
        <v>24</v>
      </c>
      <c r="H2" s="19" t="s">
        <v>10</v>
      </c>
      <c r="I2" s="19" t="s">
        <v>11</v>
      </c>
      <c r="J2" s="19" t="s">
        <v>12</v>
      </c>
      <c r="K2" s="19" t="s">
        <v>13</v>
      </c>
      <c r="L2" s="19" t="s">
        <v>14</v>
      </c>
      <c r="M2" s="19" t="s">
        <v>15</v>
      </c>
      <c r="N2" s="19" t="s">
        <v>16</v>
      </c>
      <c r="O2" s="19" t="s">
        <v>17</v>
      </c>
      <c r="P2" s="19" t="s">
        <v>18</v>
      </c>
      <c r="Q2" s="19" t="s">
        <v>3</v>
      </c>
      <c r="R2" s="19" t="s">
        <v>19</v>
      </c>
      <c r="S2" s="19" t="s">
        <v>20</v>
      </c>
      <c r="T2" s="19" t="s">
        <v>21</v>
      </c>
      <c r="U2" s="19" t="s">
        <v>22</v>
      </c>
      <c r="V2" s="19" t="s">
        <v>23</v>
      </c>
      <c r="W2" s="19" t="s">
        <v>270</v>
      </c>
      <c r="X2" s="19" t="s">
        <v>25</v>
      </c>
      <c r="Y2" s="19" t="s">
        <v>26</v>
      </c>
      <c r="Z2" s="19" t="s">
        <v>321</v>
      </c>
      <c r="AA2" s="19" t="s">
        <v>270</v>
      </c>
      <c r="AC2" s="18" t="s">
        <v>242</v>
      </c>
      <c r="AD2" s="20" t="s">
        <v>462</v>
      </c>
      <c r="AE2" s="20" t="s">
        <v>463</v>
      </c>
      <c r="AF2" s="20" t="s">
        <v>464</v>
      </c>
      <c r="AG2" s="20"/>
      <c r="AH2" s="20" t="s">
        <v>465</v>
      </c>
      <c r="AI2" s="20" t="s">
        <v>466</v>
      </c>
      <c r="AJ2" s="20" t="s">
        <v>467</v>
      </c>
      <c r="AK2" s="20" t="s">
        <v>468</v>
      </c>
      <c r="AL2" s="20" t="s">
        <v>469</v>
      </c>
      <c r="AM2" s="20" t="s">
        <v>470</v>
      </c>
      <c r="AN2" s="20" t="s">
        <v>471</v>
      </c>
      <c r="AO2" s="20" t="s">
        <v>472</v>
      </c>
      <c r="AP2" s="20" t="s">
        <v>473</v>
      </c>
      <c r="AQ2" s="20" t="s">
        <v>474</v>
      </c>
      <c r="AR2" s="20" t="s">
        <v>567</v>
      </c>
      <c r="AS2" s="20" t="s">
        <v>568</v>
      </c>
    </row>
    <row r="3" spans="2:45" ht="15" x14ac:dyDescent="0.3">
      <c r="B3" s="21" t="s">
        <v>27</v>
      </c>
      <c r="C3" s="17" t="s">
        <v>28</v>
      </c>
      <c r="D3" s="16" t="s">
        <v>285</v>
      </c>
      <c r="E3" s="22" t="s">
        <v>64</v>
      </c>
      <c r="F3" s="17" t="s">
        <v>541</v>
      </c>
      <c r="G3" s="17" t="s">
        <v>42</v>
      </c>
      <c r="H3" s="17" t="s">
        <v>46</v>
      </c>
      <c r="I3" s="23" t="s">
        <v>1</v>
      </c>
      <c r="J3" s="17" t="s">
        <v>30</v>
      </c>
      <c r="K3" s="17" t="s">
        <v>31</v>
      </c>
      <c r="L3" s="17" t="s">
        <v>32</v>
      </c>
      <c r="M3" s="17" t="s">
        <v>33</v>
      </c>
      <c r="N3" s="17" t="s">
        <v>34</v>
      </c>
      <c r="O3" s="24" t="s">
        <v>542</v>
      </c>
      <c r="P3" s="17" t="s">
        <v>35</v>
      </c>
      <c r="Q3" s="17" t="s">
        <v>36</v>
      </c>
      <c r="R3" s="17" t="s">
        <v>37</v>
      </c>
      <c r="S3" s="25" t="s">
        <v>38</v>
      </c>
      <c r="T3" s="17" t="s">
        <v>39</v>
      </c>
      <c r="U3" s="17" t="s">
        <v>40</v>
      </c>
      <c r="V3" s="17" t="s">
        <v>41</v>
      </c>
      <c r="W3" s="18" t="s">
        <v>572</v>
      </c>
      <c r="X3" s="17" t="s">
        <v>29</v>
      </c>
      <c r="Y3" s="17" t="s">
        <v>1</v>
      </c>
      <c r="Z3" s="18" t="s">
        <v>460</v>
      </c>
      <c r="AA3" s="18" t="s">
        <v>242</v>
      </c>
      <c r="AC3" s="18" t="s">
        <v>60</v>
      </c>
      <c r="AD3" s="18" t="s">
        <v>475</v>
      </c>
      <c r="AE3" s="18" t="s">
        <v>476</v>
      </c>
      <c r="AF3" s="18" t="s">
        <v>477</v>
      </c>
      <c r="AH3" s="18" t="s">
        <v>478</v>
      </c>
      <c r="AI3" s="18" t="s">
        <v>208</v>
      </c>
      <c r="AJ3" s="18" t="s">
        <v>479</v>
      </c>
      <c r="AK3" s="18" t="s">
        <v>480</v>
      </c>
      <c r="AL3" s="18" t="s">
        <v>481</v>
      </c>
      <c r="AM3" s="18" t="s">
        <v>482</v>
      </c>
      <c r="AN3" s="18" t="s">
        <v>483</v>
      </c>
      <c r="AO3" s="18" t="s">
        <v>484</v>
      </c>
      <c r="AP3" s="18" t="s">
        <v>485</v>
      </c>
      <c r="AQ3" s="18" t="s">
        <v>486</v>
      </c>
      <c r="AR3" s="18" t="s">
        <v>683</v>
      </c>
      <c r="AS3" s="18" t="s">
        <v>589</v>
      </c>
    </row>
    <row r="4" spans="2:45" ht="15" x14ac:dyDescent="0.3">
      <c r="B4" s="17" t="s">
        <v>43</v>
      </c>
      <c r="C4" s="17" t="s">
        <v>44</v>
      </c>
      <c r="D4" s="16" t="s">
        <v>62</v>
      </c>
      <c r="E4" s="17" t="s">
        <v>45</v>
      </c>
      <c r="F4" s="17" t="s">
        <v>29</v>
      </c>
      <c r="G4" s="17" t="s">
        <v>78</v>
      </c>
      <c r="H4" s="18" t="s">
        <v>63</v>
      </c>
      <c r="I4" s="23" t="s">
        <v>47</v>
      </c>
      <c r="J4" s="17" t="s">
        <v>48</v>
      </c>
      <c r="K4" s="17" t="s">
        <v>49</v>
      </c>
      <c r="L4" s="26" t="s">
        <v>50</v>
      </c>
      <c r="M4" s="17" t="s">
        <v>51</v>
      </c>
      <c r="N4" s="17" t="s">
        <v>52</v>
      </c>
      <c r="O4" s="24" t="s">
        <v>543</v>
      </c>
      <c r="P4" s="17" t="s">
        <v>53</v>
      </c>
      <c r="Q4" s="17" t="s">
        <v>54</v>
      </c>
      <c r="R4" s="17" t="s">
        <v>55</v>
      </c>
      <c r="S4" s="25" t="s">
        <v>56</v>
      </c>
      <c r="T4" s="17" t="s">
        <v>281</v>
      </c>
      <c r="U4" s="17" t="s">
        <v>58</v>
      </c>
      <c r="V4" s="17" t="s">
        <v>59</v>
      </c>
      <c r="W4" s="18" t="s">
        <v>60</v>
      </c>
      <c r="X4" s="17" t="s">
        <v>42</v>
      </c>
      <c r="Y4" s="17" t="s">
        <v>47</v>
      </c>
      <c r="Z4" s="18" t="s">
        <v>461</v>
      </c>
      <c r="AA4" s="18" t="s">
        <v>60</v>
      </c>
      <c r="AC4" s="18" t="s">
        <v>77</v>
      </c>
      <c r="AD4" s="18" t="s">
        <v>487</v>
      </c>
      <c r="AE4" s="18" t="s">
        <v>488</v>
      </c>
      <c r="AH4" s="18" t="s">
        <v>489</v>
      </c>
      <c r="AI4" s="18" t="s">
        <v>490</v>
      </c>
      <c r="AJ4" s="18" t="s">
        <v>491</v>
      </c>
      <c r="AK4" s="18" t="s">
        <v>492</v>
      </c>
      <c r="AL4" s="18" t="s">
        <v>493</v>
      </c>
      <c r="AN4" s="18" t="s">
        <v>494</v>
      </c>
      <c r="AO4" s="18" t="s">
        <v>495</v>
      </c>
      <c r="AP4" s="18" t="s">
        <v>496</v>
      </c>
      <c r="AQ4" s="18" t="s">
        <v>497</v>
      </c>
      <c r="AR4" s="18" t="s">
        <v>569</v>
      </c>
      <c r="AS4" s="18" t="s">
        <v>590</v>
      </c>
    </row>
    <row r="5" spans="2:45" ht="15" x14ac:dyDescent="0.3">
      <c r="B5" s="17" t="s">
        <v>61</v>
      </c>
      <c r="C5" s="17" t="s">
        <v>1041</v>
      </c>
      <c r="D5" s="16" t="s">
        <v>105</v>
      </c>
      <c r="E5" s="17" t="s">
        <v>790</v>
      </c>
      <c r="F5" s="17" t="s">
        <v>540</v>
      </c>
      <c r="G5" s="17" t="s">
        <v>89</v>
      </c>
      <c r="H5" s="17" t="s">
        <v>277</v>
      </c>
      <c r="I5" s="17" t="s">
        <v>64</v>
      </c>
      <c r="J5" s="17" t="s">
        <v>65</v>
      </c>
      <c r="K5" s="17" t="s">
        <v>66</v>
      </c>
      <c r="L5" s="17" t="s">
        <v>67</v>
      </c>
      <c r="M5" s="17" t="s">
        <v>68</v>
      </c>
      <c r="N5" s="17" t="s">
        <v>69</v>
      </c>
      <c r="O5" s="24" t="s">
        <v>544</v>
      </c>
      <c r="P5" s="17" t="s">
        <v>70</v>
      </c>
      <c r="Q5" s="17" t="s">
        <v>71</v>
      </c>
      <c r="R5" s="17" t="s">
        <v>72</v>
      </c>
      <c r="S5" s="25" t="s">
        <v>73</v>
      </c>
      <c r="T5" s="17" t="s">
        <v>57</v>
      </c>
      <c r="U5" s="17" t="s">
        <v>75</v>
      </c>
      <c r="V5" s="21" t="s">
        <v>76</v>
      </c>
      <c r="W5" s="18" t="s">
        <v>77</v>
      </c>
      <c r="X5" s="17" t="s">
        <v>78</v>
      </c>
      <c r="Y5" s="17"/>
      <c r="Z5" s="18" t="s">
        <v>711</v>
      </c>
      <c r="AA5" s="18" t="s">
        <v>77</v>
      </c>
      <c r="AC5" s="18" t="s">
        <v>243</v>
      </c>
      <c r="AD5" s="18" t="s">
        <v>498</v>
      </c>
      <c r="AE5" s="18" t="s">
        <v>499</v>
      </c>
      <c r="AH5" s="18" t="s">
        <v>500</v>
      </c>
      <c r="AI5" s="18" t="s">
        <v>501</v>
      </c>
      <c r="AJ5" s="18" t="s">
        <v>502</v>
      </c>
      <c r="AK5" s="18" t="s">
        <v>503</v>
      </c>
      <c r="AL5" s="18" t="s">
        <v>504</v>
      </c>
      <c r="AN5" s="18" t="s">
        <v>505</v>
      </c>
      <c r="AP5" s="18" t="s">
        <v>506</v>
      </c>
      <c r="AQ5" s="18" t="s">
        <v>507</v>
      </c>
      <c r="AR5" s="18" t="s">
        <v>575</v>
      </c>
      <c r="AS5" s="18" t="s">
        <v>592</v>
      </c>
    </row>
    <row r="6" spans="2:45" ht="15" x14ac:dyDescent="0.3">
      <c r="B6" s="27" t="s">
        <v>79</v>
      </c>
      <c r="C6" s="17"/>
      <c r="D6" s="16" t="s">
        <v>116</v>
      </c>
      <c r="E6" s="28" t="s">
        <v>0</v>
      </c>
      <c r="F6" s="17" t="s">
        <v>269</v>
      </c>
      <c r="G6" s="17" t="s">
        <v>102</v>
      </c>
      <c r="H6" s="17" t="s">
        <v>92</v>
      </c>
      <c r="L6" s="17" t="s">
        <v>80</v>
      </c>
      <c r="M6" s="17" t="s">
        <v>81</v>
      </c>
      <c r="N6" s="17"/>
      <c r="O6" s="24" t="s">
        <v>545</v>
      </c>
      <c r="P6" s="17" t="s">
        <v>82</v>
      </c>
      <c r="Q6" s="17" t="s">
        <v>83</v>
      </c>
      <c r="R6" s="17" t="s">
        <v>84</v>
      </c>
      <c r="S6" s="25" t="s">
        <v>85</v>
      </c>
      <c r="T6" s="17" t="s">
        <v>74</v>
      </c>
      <c r="U6" s="17" t="s">
        <v>87</v>
      </c>
      <c r="V6" s="17" t="s">
        <v>88</v>
      </c>
      <c r="W6" s="18" t="s">
        <v>243</v>
      </c>
      <c r="X6" s="17" t="s">
        <v>557</v>
      </c>
      <c r="Y6" s="17"/>
      <c r="Z6" s="16" t="s">
        <v>712</v>
      </c>
      <c r="AA6" s="18" t="s">
        <v>243</v>
      </c>
      <c r="AC6" s="18" t="s">
        <v>101</v>
      </c>
      <c r="AD6" s="18" t="s">
        <v>508</v>
      </c>
      <c r="AE6" s="18" t="s">
        <v>509</v>
      </c>
      <c r="AH6" s="18" t="s">
        <v>510</v>
      </c>
      <c r="AI6" s="18" t="s">
        <v>511</v>
      </c>
      <c r="AJ6" s="18" t="s">
        <v>512</v>
      </c>
      <c r="AK6" s="18" t="s">
        <v>513</v>
      </c>
      <c r="AN6" s="18" t="s">
        <v>514</v>
      </c>
      <c r="AP6" s="18" t="s">
        <v>515</v>
      </c>
      <c r="AQ6" s="18" t="s">
        <v>516</v>
      </c>
      <c r="AR6" s="18" t="s">
        <v>576</v>
      </c>
      <c r="AS6" s="18" t="s">
        <v>591</v>
      </c>
    </row>
    <row r="7" spans="2:45" x14ac:dyDescent="0.3">
      <c r="B7" s="29" t="s">
        <v>268</v>
      </c>
      <c r="C7" s="17"/>
      <c r="D7" s="16" t="s">
        <v>286</v>
      </c>
      <c r="E7" s="28" t="s">
        <v>276</v>
      </c>
      <c r="F7" s="17" t="s">
        <v>0</v>
      </c>
      <c r="G7" s="17" t="s">
        <v>45</v>
      </c>
      <c r="H7" s="17" t="s">
        <v>547</v>
      </c>
      <c r="O7" s="24" t="s">
        <v>93</v>
      </c>
      <c r="P7" s="17" t="s">
        <v>94</v>
      </c>
      <c r="Q7" s="17" t="s">
        <v>95</v>
      </c>
      <c r="R7" s="17" t="s">
        <v>96</v>
      </c>
      <c r="S7" s="25" t="s">
        <v>97</v>
      </c>
      <c r="T7" s="17" t="s">
        <v>86</v>
      </c>
      <c r="U7" s="17" t="s">
        <v>99</v>
      </c>
      <c r="V7" s="17" t="s">
        <v>100</v>
      </c>
      <c r="W7" s="18" t="s">
        <v>571</v>
      </c>
      <c r="X7" s="17" t="s">
        <v>318</v>
      </c>
      <c r="Y7" s="17"/>
      <c r="Z7" s="57" t="s">
        <v>706</v>
      </c>
      <c r="AA7" s="18" t="s">
        <v>101</v>
      </c>
      <c r="AC7" s="18" t="s">
        <v>244</v>
      </c>
      <c r="AD7" s="18" t="s">
        <v>517</v>
      </c>
      <c r="AH7" s="18" t="s">
        <v>518</v>
      </c>
      <c r="AI7" s="18" t="s">
        <v>519</v>
      </c>
      <c r="AJ7" s="18" t="s">
        <v>520</v>
      </c>
      <c r="AK7" s="18" t="s">
        <v>521</v>
      </c>
      <c r="AN7" s="18" t="s">
        <v>522</v>
      </c>
      <c r="AR7" s="18" t="s">
        <v>577</v>
      </c>
      <c r="AS7" s="18" t="s">
        <v>593</v>
      </c>
    </row>
    <row r="8" spans="2:45" x14ac:dyDescent="0.3">
      <c r="B8" s="25" t="s">
        <v>104</v>
      </c>
      <c r="C8" s="17"/>
      <c r="D8" s="16" t="s">
        <v>127</v>
      </c>
      <c r="E8" s="28" t="s">
        <v>106</v>
      </c>
      <c r="G8" s="17" t="s">
        <v>136</v>
      </c>
      <c r="H8" s="17" t="s">
        <v>107</v>
      </c>
      <c r="O8" s="24" t="s">
        <v>108</v>
      </c>
      <c r="P8" s="17" t="s">
        <v>109</v>
      </c>
      <c r="Q8" s="17" t="s">
        <v>110</v>
      </c>
      <c r="R8" s="17" t="s">
        <v>111</v>
      </c>
      <c r="S8" s="25" t="s">
        <v>112</v>
      </c>
      <c r="T8" s="17" t="s">
        <v>98</v>
      </c>
      <c r="U8" s="17" t="s">
        <v>114</v>
      </c>
      <c r="V8" s="17" t="s">
        <v>115</v>
      </c>
      <c r="W8" s="18" t="s">
        <v>574</v>
      </c>
      <c r="X8" s="17" t="s">
        <v>89</v>
      </c>
      <c r="Y8" s="17"/>
      <c r="Z8" s="16" t="s">
        <v>708</v>
      </c>
      <c r="AA8" s="18" t="s">
        <v>244</v>
      </c>
      <c r="AC8" s="18" t="s">
        <v>245</v>
      </c>
      <c r="AD8" s="18" t="s">
        <v>523</v>
      </c>
      <c r="AH8" s="18" t="s">
        <v>524</v>
      </c>
      <c r="AK8" s="18" t="s">
        <v>525</v>
      </c>
      <c r="AN8" s="18" t="s">
        <v>526</v>
      </c>
      <c r="AR8" s="18" t="s">
        <v>578</v>
      </c>
      <c r="AS8" s="18" t="s">
        <v>594</v>
      </c>
    </row>
    <row r="9" spans="2:45" x14ac:dyDescent="0.3">
      <c r="B9" s="25" t="s">
        <v>91</v>
      </c>
      <c r="C9" s="17"/>
      <c r="D9" s="16" t="s">
        <v>287</v>
      </c>
      <c r="E9" s="28" t="s">
        <v>117</v>
      </c>
      <c r="G9" s="28" t="s">
        <v>194</v>
      </c>
      <c r="H9" s="17" t="s">
        <v>284</v>
      </c>
      <c r="O9" s="24" t="s">
        <v>118</v>
      </c>
      <c r="P9" s="17" t="s">
        <v>119</v>
      </c>
      <c r="Q9" s="17" t="s">
        <v>120</v>
      </c>
      <c r="R9" s="17" t="s">
        <v>121</v>
      </c>
      <c r="S9" s="25" t="s">
        <v>122</v>
      </c>
      <c r="T9" s="17" t="s">
        <v>113</v>
      </c>
      <c r="U9" s="17" t="s">
        <v>124</v>
      </c>
      <c r="V9" s="17" t="s">
        <v>125</v>
      </c>
      <c r="W9" s="18" t="s">
        <v>573</v>
      </c>
      <c r="X9" s="17" t="s">
        <v>459</v>
      </c>
      <c r="Y9" s="17"/>
      <c r="Z9" s="16" t="s">
        <v>707</v>
      </c>
      <c r="AA9" s="18" t="s">
        <v>245</v>
      </c>
      <c r="AD9" s="18" t="s">
        <v>527</v>
      </c>
      <c r="AK9" s="18" t="s">
        <v>528</v>
      </c>
      <c r="AN9" s="18" t="s">
        <v>529</v>
      </c>
      <c r="AR9" s="18" t="s">
        <v>579</v>
      </c>
      <c r="AS9" s="18" t="s">
        <v>595</v>
      </c>
    </row>
    <row r="10" spans="2:45" x14ac:dyDescent="0.3">
      <c r="B10" s="17" t="s">
        <v>255</v>
      </c>
      <c r="C10" s="17"/>
      <c r="D10" s="16" t="s">
        <v>560</v>
      </c>
      <c r="G10" s="17" t="s">
        <v>227</v>
      </c>
      <c r="H10" s="17" t="s">
        <v>148</v>
      </c>
      <c r="O10" s="24" t="s">
        <v>128</v>
      </c>
      <c r="P10" s="17" t="s">
        <v>129</v>
      </c>
      <c r="Q10" s="17" t="s">
        <v>130</v>
      </c>
      <c r="R10" s="17" t="s">
        <v>131</v>
      </c>
      <c r="S10" s="27" t="s">
        <v>132</v>
      </c>
      <c r="T10" s="17" t="s">
        <v>123</v>
      </c>
      <c r="U10" s="17" t="s">
        <v>272</v>
      </c>
      <c r="V10" s="17" t="s">
        <v>135</v>
      </c>
      <c r="X10" s="17" t="s">
        <v>102</v>
      </c>
      <c r="Y10" s="17"/>
      <c r="Z10" s="18" t="s">
        <v>713</v>
      </c>
      <c r="AD10" s="18" t="s">
        <v>530</v>
      </c>
      <c r="AK10" s="18" t="s">
        <v>531</v>
      </c>
      <c r="AN10" s="18" t="s">
        <v>532</v>
      </c>
      <c r="AR10" s="18" t="s">
        <v>580</v>
      </c>
      <c r="AS10" s="18" t="s">
        <v>596</v>
      </c>
    </row>
    <row r="11" spans="2:45" x14ac:dyDescent="0.3">
      <c r="B11" s="17" t="s">
        <v>257</v>
      </c>
      <c r="C11" s="17"/>
      <c r="D11" s="16" t="s">
        <v>563</v>
      </c>
      <c r="G11" s="17" t="s">
        <v>29</v>
      </c>
      <c r="O11" s="24" t="s">
        <v>139</v>
      </c>
      <c r="P11" s="17" t="s">
        <v>140</v>
      </c>
      <c r="Q11" s="17" t="s">
        <v>141</v>
      </c>
      <c r="R11" s="17" t="s">
        <v>142</v>
      </c>
      <c r="S11" s="27" t="s">
        <v>143</v>
      </c>
      <c r="T11" s="17" t="s">
        <v>133</v>
      </c>
      <c r="U11" s="17" t="s">
        <v>134</v>
      </c>
      <c r="V11" s="17" t="s">
        <v>146</v>
      </c>
      <c r="X11" s="17" t="s">
        <v>45</v>
      </c>
      <c r="Y11" s="28"/>
      <c r="Z11" s="18" t="s">
        <v>395</v>
      </c>
      <c r="AD11" s="18" t="s">
        <v>533</v>
      </c>
      <c r="AK11" s="18" t="s">
        <v>534</v>
      </c>
      <c r="AN11" s="18" t="s">
        <v>535</v>
      </c>
      <c r="AR11" s="18" t="s">
        <v>581</v>
      </c>
      <c r="AS11" s="18" t="s">
        <v>597</v>
      </c>
    </row>
    <row r="12" spans="2:45" x14ac:dyDescent="0.3">
      <c r="B12" s="30" t="s">
        <v>319</v>
      </c>
      <c r="C12" s="28"/>
      <c r="D12" s="16" t="s">
        <v>274</v>
      </c>
      <c r="G12" s="17" t="s">
        <v>217</v>
      </c>
      <c r="O12" s="24" t="s">
        <v>149</v>
      </c>
      <c r="P12" s="17" t="s">
        <v>150</v>
      </c>
      <c r="Q12" s="17" t="s">
        <v>151</v>
      </c>
      <c r="R12" s="17" t="s">
        <v>152</v>
      </c>
      <c r="S12" s="27" t="s">
        <v>153</v>
      </c>
      <c r="T12" s="17" t="s">
        <v>144</v>
      </c>
      <c r="U12" s="17" t="s">
        <v>145</v>
      </c>
      <c r="V12" s="17" t="s">
        <v>156</v>
      </c>
      <c r="X12" s="17" t="s">
        <v>90</v>
      </c>
      <c r="Y12" s="28"/>
      <c r="Z12" s="18" t="s">
        <v>347</v>
      </c>
      <c r="AD12" s="18" t="s">
        <v>536</v>
      </c>
      <c r="AK12" s="18" t="s">
        <v>211</v>
      </c>
      <c r="AN12" s="18" t="s">
        <v>537</v>
      </c>
      <c r="AR12" s="18" t="s">
        <v>582</v>
      </c>
      <c r="AS12" s="18" t="s">
        <v>598</v>
      </c>
    </row>
    <row r="13" spans="2:45" x14ac:dyDescent="0.3">
      <c r="C13" s="28"/>
      <c r="D13" s="16" t="s">
        <v>288</v>
      </c>
      <c r="G13" s="17" t="s">
        <v>318</v>
      </c>
      <c r="O13" s="24" t="s">
        <v>158</v>
      </c>
      <c r="P13" s="17" t="s">
        <v>159</v>
      </c>
      <c r="Q13" s="17" t="s">
        <v>160</v>
      </c>
      <c r="R13" s="17" t="s">
        <v>161</v>
      </c>
      <c r="S13" s="27" t="s">
        <v>162</v>
      </c>
      <c r="T13" s="17" t="s">
        <v>154</v>
      </c>
      <c r="U13" s="17" t="s">
        <v>155</v>
      </c>
      <c r="V13" s="17" t="s">
        <v>165</v>
      </c>
      <c r="X13" s="17" t="s">
        <v>136</v>
      </c>
      <c r="Y13" s="28"/>
      <c r="Z13" s="18" t="s">
        <v>396</v>
      </c>
      <c r="AD13" s="18" t="s">
        <v>538</v>
      </c>
      <c r="AR13" s="18" t="s">
        <v>643</v>
      </c>
      <c r="AS13" s="18" t="s">
        <v>599</v>
      </c>
    </row>
    <row r="14" spans="2:45" x14ac:dyDescent="0.3">
      <c r="C14" s="28"/>
      <c r="D14" s="16" t="s">
        <v>289</v>
      </c>
      <c r="G14" s="17" t="s">
        <v>90</v>
      </c>
      <c r="O14" s="24" t="s">
        <v>167</v>
      </c>
      <c r="P14" s="17" t="s">
        <v>168</v>
      </c>
      <c r="R14" s="17" t="s">
        <v>169</v>
      </c>
      <c r="S14" s="27" t="s">
        <v>170</v>
      </c>
      <c r="T14" s="17" t="s">
        <v>163</v>
      </c>
      <c r="U14" s="17" t="s">
        <v>164</v>
      </c>
      <c r="V14" s="17" t="s">
        <v>173</v>
      </c>
      <c r="X14" s="17" t="s">
        <v>147</v>
      </c>
      <c r="Y14" s="17"/>
      <c r="Z14" s="18" t="s">
        <v>367</v>
      </c>
      <c r="AD14" s="18" t="s">
        <v>539</v>
      </c>
      <c r="AR14" s="18" t="s">
        <v>649</v>
      </c>
      <c r="AS14" s="18" t="s">
        <v>600</v>
      </c>
    </row>
    <row r="15" spans="2:45" x14ac:dyDescent="0.3">
      <c r="C15" s="17"/>
      <c r="D15" s="16" t="s">
        <v>290</v>
      </c>
      <c r="G15" s="17" t="s">
        <v>546</v>
      </c>
      <c r="O15" s="24" t="s">
        <v>175</v>
      </c>
      <c r="P15" s="17" t="s">
        <v>176</v>
      </c>
      <c r="R15" s="17" t="s">
        <v>177</v>
      </c>
      <c r="S15" s="27" t="s">
        <v>178</v>
      </c>
      <c r="T15" s="17" t="s">
        <v>171</v>
      </c>
      <c r="U15" s="17" t="s">
        <v>172</v>
      </c>
      <c r="V15" s="17" t="s">
        <v>181</v>
      </c>
      <c r="X15" s="17" t="s">
        <v>157</v>
      </c>
      <c r="Y15" s="17"/>
      <c r="Z15" s="18" t="s">
        <v>368</v>
      </c>
      <c r="AR15" s="18" t="s">
        <v>583</v>
      </c>
      <c r="AS15" s="18" t="s">
        <v>601</v>
      </c>
    </row>
    <row r="16" spans="2:45" x14ac:dyDescent="0.3">
      <c r="C16" s="17"/>
      <c r="D16" s="16" t="s">
        <v>291</v>
      </c>
      <c r="G16" s="17" t="s">
        <v>790</v>
      </c>
      <c r="O16" s="24" t="s">
        <v>278</v>
      </c>
      <c r="R16" s="17" t="s">
        <v>183</v>
      </c>
      <c r="S16" s="27" t="s">
        <v>184</v>
      </c>
      <c r="T16" s="17" t="s">
        <v>179</v>
      </c>
      <c r="U16" s="17" t="s">
        <v>180</v>
      </c>
      <c r="V16" s="17" t="s">
        <v>187</v>
      </c>
      <c r="X16" s="17" t="s">
        <v>194</v>
      </c>
      <c r="Y16" s="17"/>
      <c r="Z16" s="18" t="s">
        <v>369</v>
      </c>
      <c r="AR16" s="18" t="s">
        <v>584</v>
      </c>
      <c r="AS16" s="18" t="s">
        <v>602</v>
      </c>
    </row>
    <row r="17" spans="3:45" x14ac:dyDescent="0.3">
      <c r="C17" s="17"/>
      <c r="D17" s="16" t="s">
        <v>292</v>
      </c>
      <c r="G17" s="17" t="s">
        <v>205</v>
      </c>
      <c r="O17" s="24" t="s">
        <v>188</v>
      </c>
      <c r="R17" s="17" t="s">
        <v>189</v>
      </c>
      <c r="S17" s="27" t="s">
        <v>190</v>
      </c>
      <c r="T17" s="17" t="s">
        <v>185</v>
      </c>
      <c r="U17" s="17" t="s">
        <v>186</v>
      </c>
      <c r="V17" s="17" t="s">
        <v>193</v>
      </c>
      <c r="X17" s="18" t="s">
        <v>790</v>
      </c>
      <c r="Y17" s="17"/>
      <c r="Z17" s="18" t="s">
        <v>370</v>
      </c>
      <c r="AR17" s="18" t="s">
        <v>665</v>
      </c>
      <c r="AS17" s="18" t="s">
        <v>603</v>
      </c>
    </row>
    <row r="18" spans="3:45" ht="15" customHeight="1" x14ac:dyDescent="0.3">
      <c r="D18" s="16" t="s">
        <v>293</v>
      </c>
      <c r="G18" s="17" t="s">
        <v>106</v>
      </c>
      <c r="O18" s="24" t="s">
        <v>196</v>
      </c>
      <c r="R18" s="17" t="s">
        <v>197</v>
      </c>
      <c r="S18" s="27" t="s">
        <v>198</v>
      </c>
      <c r="T18" s="17" t="s">
        <v>191</v>
      </c>
      <c r="U18" s="17" t="s">
        <v>192</v>
      </c>
      <c r="V18" s="17" t="s">
        <v>138</v>
      </c>
      <c r="X18" s="17" t="s">
        <v>0</v>
      </c>
      <c r="Y18" s="17"/>
      <c r="Z18" s="18" t="s">
        <v>371</v>
      </c>
      <c r="AR18" s="18" t="s">
        <v>585</v>
      </c>
      <c r="AS18" s="18" t="s">
        <v>604</v>
      </c>
    </row>
    <row r="19" spans="3:45" x14ac:dyDescent="0.3">
      <c r="D19" s="16" t="s">
        <v>294</v>
      </c>
      <c r="G19" s="17" t="s">
        <v>147</v>
      </c>
      <c r="O19" s="24" t="s">
        <v>280</v>
      </c>
      <c r="R19" s="17" t="s">
        <v>201</v>
      </c>
      <c r="S19" s="27" t="s">
        <v>202</v>
      </c>
      <c r="T19" s="17"/>
      <c r="U19" s="17" t="s">
        <v>199</v>
      </c>
      <c r="V19" s="30" t="s">
        <v>204</v>
      </c>
      <c r="X19" s="17" t="s">
        <v>317</v>
      </c>
      <c r="Y19" s="17"/>
      <c r="Z19" s="18" t="s">
        <v>392</v>
      </c>
      <c r="AR19" s="18" t="s">
        <v>586</v>
      </c>
      <c r="AS19" s="18" t="s">
        <v>605</v>
      </c>
    </row>
    <row r="20" spans="3:45" x14ac:dyDescent="0.3">
      <c r="D20" s="16" t="s">
        <v>195</v>
      </c>
      <c r="G20" s="17" t="s">
        <v>157</v>
      </c>
      <c r="O20" s="24" t="s">
        <v>200</v>
      </c>
      <c r="R20" s="17" t="s">
        <v>207</v>
      </c>
      <c r="S20" s="17" t="s">
        <v>262</v>
      </c>
      <c r="T20" s="17"/>
      <c r="U20" s="17" t="s">
        <v>203</v>
      </c>
      <c r="V20" s="17"/>
      <c r="X20" s="17" t="s">
        <v>106</v>
      </c>
      <c r="Y20" s="17"/>
      <c r="Z20" s="18" t="s">
        <v>398</v>
      </c>
      <c r="AR20" s="18" t="s">
        <v>684</v>
      </c>
      <c r="AS20" s="18" t="s">
        <v>606</v>
      </c>
    </row>
    <row r="21" spans="3:45" x14ac:dyDescent="0.3">
      <c r="D21" s="16" t="s">
        <v>295</v>
      </c>
      <c r="G21" s="28" t="s">
        <v>166</v>
      </c>
      <c r="O21" s="24" t="s">
        <v>206</v>
      </c>
      <c r="R21" s="17" t="s">
        <v>210</v>
      </c>
      <c r="S21" s="17" t="s">
        <v>261</v>
      </c>
      <c r="U21" s="17" t="s">
        <v>208</v>
      </c>
      <c r="V21" s="17"/>
      <c r="X21" s="17" t="s">
        <v>137</v>
      </c>
      <c r="Y21" s="17"/>
      <c r="Z21" s="18" t="s">
        <v>394</v>
      </c>
      <c r="AR21" s="18" t="s">
        <v>570</v>
      </c>
      <c r="AS21" s="18" t="s">
        <v>607</v>
      </c>
    </row>
    <row r="22" spans="3:45" x14ac:dyDescent="0.3">
      <c r="D22" s="16" t="s">
        <v>296</v>
      </c>
      <c r="G22" s="17" t="s">
        <v>174</v>
      </c>
      <c r="O22" s="24" t="s">
        <v>209</v>
      </c>
      <c r="R22" s="18" t="s">
        <v>215</v>
      </c>
      <c r="S22" s="17" t="s">
        <v>263</v>
      </c>
      <c r="U22" s="17" t="s">
        <v>211</v>
      </c>
      <c r="V22" s="17"/>
      <c r="Y22" s="17"/>
      <c r="Z22" s="16" t="s">
        <v>401</v>
      </c>
      <c r="AR22" s="18" t="s">
        <v>587</v>
      </c>
      <c r="AS22" s="18" t="s">
        <v>608</v>
      </c>
    </row>
    <row r="23" spans="3:45" x14ac:dyDescent="0.3">
      <c r="D23" s="16" t="s">
        <v>297</v>
      </c>
      <c r="G23" s="17" t="s">
        <v>182</v>
      </c>
      <c r="O23" s="24" t="s">
        <v>214</v>
      </c>
      <c r="S23" s="17" t="s">
        <v>264</v>
      </c>
      <c r="U23" s="17" t="s">
        <v>273</v>
      </c>
      <c r="V23" s="17"/>
      <c r="Y23" s="17"/>
      <c r="Z23" s="18" t="s">
        <v>714</v>
      </c>
      <c r="AR23" s="18" t="s">
        <v>588</v>
      </c>
      <c r="AS23" s="18" t="s">
        <v>609</v>
      </c>
    </row>
    <row r="24" spans="3:45" x14ac:dyDescent="0.3">
      <c r="D24" s="16" t="s">
        <v>559</v>
      </c>
      <c r="G24" s="28" t="s">
        <v>103</v>
      </c>
      <c r="O24" s="24" t="s">
        <v>279</v>
      </c>
      <c r="S24" s="17" t="s">
        <v>265</v>
      </c>
      <c r="U24" s="17" t="s">
        <v>216</v>
      </c>
      <c r="V24" s="17"/>
      <c r="Y24" s="17"/>
      <c r="Z24" s="18" t="s">
        <v>382</v>
      </c>
      <c r="AS24" s="18" t="s">
        <v>610</v>
      </c>
    </row>
    <row r="25" spans="3:45" ht="12" customHeight="1" x14ac:dyDescent="0.3">
      <c r="D25" s="16" t="s">
        <v>213</v>
      </c>
      <c r="G25" s="17" t="s">
        <v>212</v>
      </c>
      <c r="O25" s="24" t="s">
        <v>218</v>
      </c>
      <c r="S25" s="17" t="s">
        <v>225</v>
      </c>
      <c r="U25" s="17" t="s">
        <v>219</v>
      </c>
      <c r="V25" s="17"/>
      <c r="Y25" s="17"/>
      <c r="Z25" s="18" t="s">
        <v>399</v>
      </c>
      <c r="AS25" s="18" t="s">
        <v>611</v>
      </c>
    </row>
    <row r="26" spans="3:45" ht="15" customHeight="1" x14ac:dyDescent="0.3">
      <c r="D26" s="16" t="s">
        <v>221</v>
      </c>
      <c r="G26" s="17" t="s">
        <v>555</v>
      </c>
      <c r="O26" s="24" t="s">
        <v>222</v>
      </c>
      <c r="S26" s="17" t="s">
        <v>229</v>
      </c>
      <c r="U26" s="17" t="s">
        <v>223</v>
      </c>
      <c r="V26" s="17"/>
      <c r="Y26" s="17"/>
      <c r="Z26" s="18" t="s">
        <v>715</v>
      </c>
      <c r="AS26" s="18" t="s">
        <v>612</v>
      </c>
    </row>
    <row r="27" spans="3:45" ht="14.25" customHeight="1" x14ac:dyDescent="0.3">
      <c r="D27" s="16" t="s">
        <v>298</v>
      </c>
      <c r="G27" s="17" t="s">
        <v>220</v>
      </c>
      <c r="O27" s="24" t="s">
        <v>224</v>
      </c>
      <c r="S27" s="31" t="s">
        <v>126</v>
      </c>
      <c r="U27" s="17" t="s">
        <v>226</v>
      </c>
      <c r="V27" s="17"/>
      <c r="Y27" s="17"/>
      <c r="Z27" s="18" t="s">
        <v>716</v>
      </c>
      <c r="AS27" s="18" t="s">
        <v>613</v>
      </c>
    </row>
    <row r="28" spans="3:45" x14ac:dyDescent="0.3">
      <c r="D28" s="16" t="s">
        <v>299</v>
      </c>
      <c r="G28" s="17" t="s">
        <v>231</v>
      </c>
      <c r="S28" s="31" t="s">
        <v>320</v>
      </c>
      <c r="U28" s="17" t="s">
        <v>282</v>
      </c>
      <c r="V28" s="17"/>
      <c r="Y28" s="17"/>
      <c r="Z28" s="18" t="s">
        <v>423</v>
      </c>
      <c r="AS28" s="18" t="s">
        <v>614</v>
      </c>
    </row>
    <row r="29" spans="3:45" x14ac:dyDescent="0.3">
      <c r="D29" s="16" t="s">
        <v>228</v>
      </c>
      <c r="G29" s="17" t="s">
        <v>117</v>
      </c>
      <c r="S29" s="29" t="s">
        <v>268</v>
      </c>
      <c r="U29" s="17" t="s">
        <v>230</v>
      </c>
      <c r="V29" s="17"/>
      <c r="Y29" s="17"/>
      <c r="Z29" s="18" t="s">
        <v>424</v>
      </c>
      <c r="AS29" s="18" t="s">
        <v>615</v>
      </c>
    </row>
    <row r="30" spans="3:45" x14ac:dyDescent="0.3">
      <c r="D30" s="16" t="s">
        <v>300</v>
      </c>
      <c r="G30" s="17" t="s">
        <v>234</v>
      </c>
      <c r="S30" s="29" t="s">
        <v>275</v>
      </c>
      <c r="U30" s="17" t="s">
        <v>232</v>
      </c>
      <c r="V30" s="17"/>
      <c r="Y30" s="17"/>
      <c r="Z30" s="16" t="s">
        <v>717</v>
      </c>
      <c r="AS30" s="18" t="s">
        <v>616</v>
      </c>
    </row>
    <row r="31" spans="3:45" x14ac:dyDescent="0.3">
      <c r="D31" s="16" t="s">
        <v>301</v>
      </c>
      <c r="G31" s="17" t="s">
        <v>0</v>
      </c>
      <c r="U31" s="17" t="s">
        <v>233</v>
      </c>
      <c r="Z31" s="16" t="s">
        <v>718</v>
      </c>
      <c r="AS31" s="18" t="s">
        <v>617</v>
      </c>
    </row>
    <row r="32" spans="3:45" x14ac:dyDescent="0.3">
      <c r="D32" s="16" t="s">
        <v>235</v>
      </c>
      <c r="U32" s="17" t="s">
        <v>236</v>
      </c>
      <c r="W32" s="17"/>
      <c r="Z32" s="18" t="s">
        <v>355</v>
      </c>
      <c r="AS32" s="18" t="s">
        <v>618</v>
      </c>
    </row>
    <row r="33" spans="4:45" x14ac:dyDescent="0.3">
      <c r="D33" s="16" t="s">
        <v>302</v>
      </c>
      <c r="U33" s="17" t="s">
        <v>238</v>
      </c>
      <c r="W33" s="17"/>
      <c r="Z33" s="18" t="s">
        <v>393</v>
      </c>
      <c r="AS33" s="18" t="s">
        <v>619</v>
      </c>
    </row>
    <row r="34" spans="4:45" x14ac:dyDescent="0.3">
      <c r="D34" s="16" t="s">
        <v>237</v>
      </c>
      <c r="U34" s="17" t="s">
        <v>283</v>
      </c>
      <c r="Z34" s="18" t="s">
        <v>350</v>
      </c>
      <c r="AS34" s="18" t="s">
        <v>620</v>
      </c>
    </row>
    <row r="35" spans="4:45" x14ac:dyDescent="0.3">
      <c r="D35" s="16" t="s">
        <v>303</v>
      </c>
      <c r="U35" s="17" t="s">
        <v>239</v>
      </c>
      <c r="Z35" s="16" t="s">
        <v>705</v>
      </c>
      <c r="AS35" s="18" t="s">
        <v>621</v>
      </c>
    </row>
    <row r="36" spans="4:45" x14ac:dyDescent="0.3">
      <c r="D36" s="16" t="s">
        <v>304</v>
      </c>
      <c r="Z36" s="18" t="s">
        <v>386</v>
      </c>
      <c r="AS36" s="18" t="s">
        <v>622</v>
      </c>
    </row>
    <row r="37" spans="4:45" x14ac:dyDescent="0.3">
      <c r="D37" s="16" t="s">
        <v>305</v>
      </c>
      <c r="Z37" s="18" t="s">
        <v>719</v>
      </c>
      <c r="AS37" s="18" t="s">
        <v>623</v>
      </c>
    </row>
    <row r="38" spans="4:45" x14ac:dyDescent="0.3">
      <c r="D38" s="16" t="s">
        <v>240</v>
      </c>
      <c r="Z38" s="18" t="s">
        <v>720</v>
      </c>
      <c r="AS38" s="18" t="s">
        <v>624</v>
      </c>
    </row>
    <row r="39" spans="4:45" x14ac:dyDescent="0.3">
      <c r="D39" s="16" t="s">
        <v>556</v>
      </c>
      <c r="Z39" s="18" t="s">
        <v>337</v>
      </c>
      <c r="AS39" s="18" t="s">
        <v>625</v>
      </c>
    </row>
    <row r="40" spans="4:45" x14ac:dyDescent="0.3">
      <c r="D40" s="16" t="s">
        <v>306</v>
      </c>
      <c r="Z40" s="18" t="s">
        <v>338</v>
      </c>
      <c r="AS40" s="18" t="s">
        <v>626</v>
      </c>
    </row>
    <row r="41" spans="4:45" x14ac:dyDescent="0.3">
      <c r="D41" s="16" t="s">
        <v>307</v>
      </c>
      <c r="Z41" s="18" t="s">
        <v>339</v>
      </c>
      <c r="AS41" s="18" t="s">
        <v>627</v>
      </c>
    </row>
    <row r="42" spans="4:45" x14ac:dyDescent="0.3">
      <c r="D42" s="16" t="s">
        <v>308</v>
      </c>
      <c r="Z42" s="18" t="s">
        <v>721</v>
      </c>
      <c r="AS42" s="18" t="s">
        <v>628</v>
      </c>
    </row>
    <row r="43" spans="4:45" x14ac:dyDescent="0.3">
      <c r="D43" s="16" t="s">
        <v>316</v>
      </c>
      <c r="Z43" s="18" t="s">
        <v>366</v>
      </c>
      <c r="AS43" s="18" t="s">
        <v>629</v>
      </c>
    </row>
    <row r="44" spans="4:45" x14ac:dyDescent="0.3">
      <c r="D44" s="16" t="s">
        <v>309</v>
      </c>
      <c r="Z44" s="18" t="s">
        <v>372</v>
      </c>
      <c r="AS44" s="18" t="s">
        <v>630</v>
      </c>
    </row>
    <row r="45" spans="4:45" x14ac:dyDescent="0.3">
      <c r="D45" s="16" t="s">
        <v>310</v>
      </c>
      <c r="Z45" s="18" t="s">
        <v>364</v>
      </c>
      <c r="AS45" s="18" t="s">
        <v>631</v>
      </c>
    </row>
    <row r="46" spans="4:45" x14ac:dyDescent="0.3">
      <c r="D46" s="16" t="s">
        <v>565</v>
      </c>
      <c r="Z46" s="18" t="s">
        <v>430</v>
      </c>
      <c r="AS46" s="18" t="s">
        <v>632</v>
      </c>
    </row>
    <row r="47" spans="4:45" x14ac:dyDescent="0.3">
      <c r="D47" s="16" t="s">
        <v>566</v>
      </c>
      <c r="Z47" s="18" t="s">
        <v>446</v>
      </c>
      <c r="AS47" s="18" t="s">
        <v>633</v>
      </c>
    </row>
    <row r="48" spans="4:45" x14ac:dyDescent="0.3">
      <c r="D48" s="16" t="s">
        <v>311</v>
      </c>
      <c r="Z48" s="18" t="s">
        <v>342</v>
      </c>
      <c r="AS48" s="18" t="s">
        <v>634</v>
      </c>
    </row>
    <row r="49" spans="4:45" x14ac:dyDescent="0.3">
      <c r="D49" s="16" t="s">
        <v>312</v>
      </c>
      <c r="Z49" s="18" t="s">
        <v>329</v>
      </c>
      <c r="AS49" s="18" t="s">
        <v>635</v>
      </c>
    </row>
    <row r="50" spans="4:45" x14ac:dyDescent="0.3">
      <c r="D50" s="16" t="s">
        <v>313</v>
      </c>
      <c r="Z50" s="18" t="s">
        <v>438</v>
      </c>
      <c r="AS50" s="18" t="s">
        <v>636</v>
      </c>
    </row>
    <row r="51" spans="4:45" x14ac:dyDescent="0.3">
      <c r="D51" s="16" t="s">
        <v>562</v>
      </c>
      <c r="Z51" s="18" t="s">
        <v>453</v>
      </c>
      <c r="AS51" s="18" t="s">
        <v>637</v>
      </c>
    </row>
    <row r="52" spans="4:45" x14ac:dyDescent="0.3">
      <c r="D52" s="16" t="s">
        <v>314</v>
      </c>
      <c r="Z52" s="18" t="s">
        <v>454</v>
      </c>
      <c r="AS52" s="18" t="s">
        <v>638</v>
      </c>
    </row>
    <row r="53" spans="4:45" x14ac:dyDescent="0.3">
      <c r="D53" s="16" t="s">
        <v>315</v>
      </c>
      <c r="Z53" s="18" t="s">
        <v>373</v>
      </c>
      <c r="AS53" s="18" t="s">
        <v>639</v>
      </c>
    </row>
    <row r="54" spans="4:45" x14ac:dyDescent="0.3">
      <c r="D54" s="16" t="s">
        <v>561</v>
      </c>
      <c r="Z54" s="18" t="s">
        <v>722</v>
      </c>
      <c r="AS54" s="18" t="s">
        <v>640</v>
      </c>
    </row>
    <row r="55" spans="4:45" x14ac:dyDescent="0.3">
      <c r="D55" s="16" t="s">
        <v>241</v>
      </c>
      <c r="Z55" s="18" t="s">
        <v>723</v>
      </c>
      <c r="AS55" s="18" t="s">
        <v>641</v>
      </c>
    </row>
    <row r="56" spans="4:45" x14ac:dyDescent="0.3">
      <c r="Z56" s="18" t="s">
        <v>447</v>
      </c>
      <c r="AS56" s="18" t="s">
        <v>642</v>
      </c>
    </row>
    <row r="57" spans="4:45" x14ac:dyDescent="0.3">
      <c r="Z57" s="18" t="s">
        <v>441</v>
      </c>
      <c r="AS57" s="18" t="s">
        <v>644</v>
      </c>
    </row>
    <row r="58" spans="4:45" x14ac:dyDescent="0.3">
      <c r="Z58" s="18" t="s">
        <v>724</v>
      </c>
      <c r="AS58" s="18" t="s">
        <v>645</v>
      </c>
    </row>
    <row r="59" spans="4:45" x14ac:dyDescent="0.3">
      <c r="Z59" s="18" t="s">
        <v>402</v>
      </c>
      <c r="AS59" s="18" t="s">
        <v>646</v>
      </c>
    </row>
    <row r="60" spans="4:45" x14ac:dyDescent="0.3">
      <c r="Z60" s="18" t="s">
        <v>442</v>
      </c>
      <c r="AS60" s="18" t="s">
        <v>647</v>
      </c>
    </row>
    <row r="61" spans="4:45" x14ac:dyDescent="0.3">
      <c r="Z61" s="18" t="s">
        <v>448</v>
      </c>
      <c r="AS61" s="18" t="s">
        <v>648</v>
      </c>
    </row>
    <row r="62" spans="4:45" x14ac:dyDescent="0.3">
      <c r="Z62" s="18" t="s">
        <v>725</v>
      </c>
      <c r="AS62" s="18" t="s">
        <v>650</v>
      </c>
    </row>
    <row r="63" spans="4:45" x14ac:dyDescent="0.3">
      <c r="Z63" s="18" t="s">
        <v>456</v>
      </c>
      <c r="AS63" s="18" t="s">
        <v>651</v>
      </c>
    </row>
    <row r="64" spans="4:45" x14ac:dyDescent="0.3">
      <c r="Z64" s="18" t="s">
        <v>331</v>
      </c>
      <c r="AS64" s="18" t="s">
        <v>652</v>
      </c>
    </row>
    <row r="65" spans="26:45" x14ac:dyDescent="0.3">
      <c r="Z65" s="18" t="s">
        <v>330</v>
      </c>
      <c r="AS65" s="18" t="s">
        <v>653</v>
      </c>
    </row>
    <row r="66" spans="26:45" x14ac:dyDescent="0.3">
      <c r="Z66" s="18" t="s">
        <v>443</v>
      </c>
      <c r="AS66" s="18" t="s">
        <v>654</v>
      </c>
    </row>
    <row r="67" spans="26:45" x14ac:dyDescent="0.3">
      <c r="Z67" s="18" t="s">
        <v>455</v>
      </c>
      <c r="AS67" s="18" t="s">
        <v>655</v>
      </c>
    </row>
    <row r="68" spans="26:45" x14ac:dyDescent="0.3">
      <c r="Z68" s="18" t="s">
        <v>439</v>
      </c>
      <c r="AS68" s="18" t="s">
        <v>656</v>
      </c>
    </row>
    <row r="69" spans="26:45" x14ac:dyDescent="0.3">
      <c r="Z69" s="18" t="s">
        <v>726</v>
      </c>
      <c r="AS69" s="18" t="s">
        <v>657</v>
      </c>
    </row>
    <row r="70" spans="26:45" x14ac:dyDescent="0.3">
      <c r="Z70" s="18" t="s">
        <v>727</v>
      </c>
      <c r="AS70" s="18" t="s">
        <v>658</v>
      </c>
    </row>
    <row r="71" spans="26:45" x14ac:dyDescent="0.3">
      <c r="Z71" s="18" t="s">
        <v>458</v>
      </c>
      <c r="AS71" s="18" t="s">
        <v>659</v>
      </c>
    </row>
    <row r="72" spans="26:45" x14ac:dyDescent="0.3">
      <c r="Z72" s="18" t="s">
        <v>457</v>
      </c>
      <c r="AS72" s="18" t="s">
        <v>660</v>
      </c>
    </row>
    <row r="73" spans="26:45" x14ac:dyDescent="0.3">
      <c r="Z73" s="18" t="s">
        <v>728</v>
      </c>
      <c r="AS73" s="18" t="s">
        <v>661</v>
      </c>
    </row>
    <row r="74" spans="26:45" x14ac:dyDescent="0.3">
      <c r="Z74" s="18" t="s">
        <v>729</v>
      </c>
      <c r="AS74" s="18" t="s">
        <v>662</v>
      </c>
    </row>
    <row r="75" spans="26:45" x14ac:dyDescent="0.3">
      <c r="Z75" s="18" t="s">
        <v>440</v>
      </c>
      <c r="AS75" s="18" t="s">
        <v>663</v>
      </c>
    </row>
    <row r="76" spans="26:45" x14ac:dyDescent="0.3">
      <c r="Z76" s="18" t="s">
        <v>730</v>
      </c>
      <c r="AS76" s="18" t="s">
        <v>664</v>
      </c>
    </row>
    <row r="77" spans="26:45" x14ac:dyDescent="0.3">
      <c r="Z77" s="18" t="s">
        <v>731</v>
      </c>
      <c r="AS77" s="18" t="s">
        <v>666</v>
      </c>
    </row>
    <row r="78" spans="26:45" x14ac:dyDescent="0.3">
      <c r="Z78" s="18" t="s">
        <v>449</v>
      </c>
      <c r="AS78" s="18" t="s">
        <v>667</v>
      </c>
    </row>
    <row r="79" spans="26:45" x14ac:dyDescent="0.3">
      <c r="Z79" s="18" t="s">
        <v>450</v>
      </c>
      <c r="AS79" s="18" t="s">
        <v>668</v>
      </c>
    </row>
    <row r="80" spans="26:45" x14ac:dyDescent="0.3">
      <c r="Z80" s="18" t="s">
        <v>365</v>
      </c>
      <c r="AS80" s="18" t="s">
        <v>669</v>
      </c>
    </row>
    <row r="81" spans="26:45" x14ac:dyDescent="0.3">
      <c r="Z81" s="18" t="s">
        <v>451</v>
      </c>
      <c r="AS81" s="18" t="s">
        <v>670</v>
      </c>
    </row>
    <row r="82" spans="26:45" x14ac:dyDescent="0.3">
      <c r="Z82" s="18" t="s">
        <v>328</v>
      </c>
      <c r="AS82" s="18" t="s">
        <v>671</v>
      </c>
    </row>
    <row r="83" spans="26:45" x14ac:dyDescent="0.3">
      <c r="Z83" s="18" t="s">
        <v>325</v>
      </c>
      <c r="AS83" s="18" t="s">
        <v>672</v>
      </c>
    </row>
    <row r="84" spans="26:45" x14ac:dyDescent="0.3">
      <c r="Z84" s="18" t="s">
        <v>326</v>
      </c>
      <c r="AS84" s="18" t="s">
        <v>673</v>
      </c>
    </row>
    <row r="85" spans="26:45" x14ac:dyDescent="0.3">
      <c r="Z85" s="18" t="s">
        <v>429</v>
      </c>
      <c r="AS85" s="18" t="s">
        <v>674</v>
      </c>
    </row>
    <row r="86" spans="26:45" x14ac:dyDescent="0.3">
      <c r="Z86" s="18" t="s">
        <v>732</v>
      </c>
      <c r="AS86" s="18" t="s">
        <v>675</v>
      </c>
    </row>
    <row r="87" spans="26:45" x14ac:dyDescent="0.3">
      <c r="Z87" s="18" t="s">
        <v>428</v>
      </c>
      <c r="AS87" s="18" t="s">
        <v>676</v>
      </c>
    </row>
    <row r="88" spans="26:45" x14ac:dyDescent="0.3">
      <c r="Z88" s="18" t="s">
        <v>733</v>
      </c>
      <c r="AS88" s="18" t="s">
        <v>685</v>
      </c>
    </row>
    <row r="89" spans="26:45" x14ac:dyDescent="0.3">
      <c r="Z89" s="16" t="s">
        <v>734</v>
      </c>
      <c r="AS89" s="18" t="s">
        <v>686</v>
      </c>
    </row>
    <row r="90" spans="26:45" x14ac:dyDescent="0.3">
      <c r="Z90" s="16" t="s">
        <v>335</v>
      </c>
      <c r="AS90" s="18" t="s">
        <v>687</v>
      </c>
    </row>
    <row r="91" spans="26:45" x14ac:dyDescent="0.3">
      <c r="Z91" s="18" t="s">
        <v>336</v>
      </c>
      <c r="AS91" s="18" t="s">
        <v>688</v>
      </c>
    </row>
    <row r="92" spans="26:45" x14ac:dyDescent="0.3">
      <c r="Z92" s="18" t="s">
        <v>340</v>
      </c>
      <c r="AS92" s="18" t="s">
        <v>689</v>
      </c>
    </row>
    <row r="93" spans="26:45" x14ac:dyDescent="0.3">
      <c r="Z93" s="18" t="s">
        <v>374</v>
      </c>
      <c r="AS93" s="18" t="s">
        <v>690</v>
      </c>
    </row>
    <row r="94" spans="26:45" x14ac:dyDescent="0.3">
      <c r="Z94" s="18" t="s">
        <v>387</v>
      </c>
      <c r="AS94" s="18" t="s">
        <v>691</v>
      </c>
    </row>
    <row r="95" spans="26:45" x14ac:dyDescent="0.3">
      <c r="Z95" s="18" t="s">
        <v>388</v>
      </c>
      <c r="AS95" s="18" t="s">
        <v>692</v>
      </c>
    </row>
    <row r="96" spans="26:45" x14ac:dyDescent="0.3">
      <c r="Z96" s="18" t="s">
        <v>389</v>
      </c>
      <c r="AS96" s="18" t="s">
        <v>693</v>
      </c>
    </row>
    <row r="97" spans="26:45" x14ac:dyDescent="0.3">
      <c r="Z97" s="18" t="s">
        <v>400</v>
      </c>
      <c r="AS97" s="18" t="s">
        <v>677</v>
      </c>
    </row>
    <row r="98" spans="26:45" x14ac:dyDescent="0.3">
      <c r="Z98" s="18" t="s">
        <v>228</v>
      </c>
      <c r="AS98" s="18" t="s">
        <v>125</v>
      </c>
    </row>
    <row r="99" spans="26:45" x14ac:dyDescent="0.3">
      <c r="Z99" s="18" t="s">
        <v>416</v>
      </c>
      <c r="AS99" s="18" t="s">
        <v>678</v>
      </c>
    </row>
    <row r="100" spans="26:45" x14ac:dyDescent="0.3">
      <c r="Z100" s="18" t="s">
        <v>735</v>
      </c>
      <c r="AS100" s="18" t="s">
        <v>679</v>
      </c>
    </row>
    <row r="101" spans="26:45" x14ac:dyDescent="0.3">
      <c r="Z101" s="18" t="s">
        <v>736</v>
      </c>
      <c r="AS101" s="18" t="s">
        <v>680</v>
      </c>
    </row>
    <row r="102" spans="26:45" x14ac:dyDescent="0.3">
      <c r="Z102" s="18" t="s">
        <v>704</v>
      </c>
      <c r="AS102" s="18" t="s">
        <v>681</v>
      </c>
    </row>
    <row r="103" spans="26:45" x14ac:dyDescent="0.3">
      <c r="Z103" s="18" t="s">
        <v>737</v>
      </c>
      <c r="AS103" s="18" t="s">
        <v>682</v>
      </c>
    </row>
    <row r="104" spans="26:45" x14ac:dyDescent="0.3">
      <c r="Z104" s="18" t="s">
        <v>375</v>
      </c>
    </row>
    <row r="105" spans="26:45" x14ac:dyDescent="0.3">
      <c r="Z105" s="18" t="s">
        <v>376</v>
      </c>
    </row>
    <row r="106" spans="26:45" x14ac:dyDescent="0.3">
      <c r="Z106" s="18" t="s">
        <v>377</v>
      </c>
    </row>
    <row r="107" spans="26:45" x14ac:dyDescent="0.3">
      <c r="Z107" s="18" t="s">
        <v>414</v>
      </c>
    </row>
    <row r="108" spans="26:45" x14ac:dyDescent="0.3">
      <c r="Z108" s="16" t="s">
        <v>738</v>
      </c>
    </row>
    <row r="109" spans="26:45" x14ac:dyDescent="0.3">
      <c r="Z109" s="18" t="s">
        <v>425</v>
      </c>
    </row>
    <row r="110" spans="26:45" x14ac:dyDescent="0.3">
      <c r="Z110" s="18" t="s">
        <v>426</v>
      </c>
    </row>
    <row r="111" spans="26:45" x14ac:dyDescent="0.3">
      <c r="Z111" s="18" t="s">
        <v>427</v>
      </c>
    </row>
    <row r="112" spans="26:45" x14ac:dyDescent="0.3">
      <c r="Z112" s="16" t="s">
        <v>323</v>
      </c>
    </row>
    <row r="113" spans="26:26" x14ac:dyDescent="0.3">
      <c r="Z113" s="18" t="s">
        <v>699</v>
      </c>
    </row>
    <row r="114" spans="26:26" x14ac:dyDescent="0.3">
      <c r="Z114" s="18" t="s">
        <v>739</v>
      </c>
    </row>
    <row r="115" spans="26:26" x14ac:dyDescent="0.3">
      <c r="Z115" s="18" t="s">
        <v>740</v>
      </c>
    </row>
    <row r="116" spans="26:26" x14ac:dyDescent="0.3">
      <c r="Z116" s="18" t="s">
        <v>709</v>
      </c>
    </row>
    <row r="117" spans="26:26" x14ac:dyDescent="0.3">
      <c r="Z117" s="16" t="s">
        <v>741</v>
      </c>
    </row>
    <row r="118" spans="26:26" x14ac:dyDescent="0.3">
      <c r="Z118" s="18" t="s">
        <v>742</v>
      </c>
    </row>
    <row r="119" spans="26:26" x14ac:dyDescent="0.3">
      <c r="Z119" s="18" t="s">
        <v>743</v>
      </c>
    </row>
    <row r="120" spans="26:26" x14ac:dyDescent="0.3">
      <c r="Z120" s="18" t="s">
        <v>345</v>
      </c>
    </row>
    <row r="121" spans="26:26" x14ac:dyDescent="0.3">
      <c r="Z121" s="18" t="s">
        <v>341</v>
      </c>
    </row>
    <row r="122" spans="26:26" x14ac:dyDescent="0.3">
      <c r="Z122" s="18" t="s">
        <v>744</v>
      </c>
    </row>
    <row r="123" spans="26:26" x14ac:dyDescent="0.3">
      <c r="Z123" s="18" t="s">
        <v>554</v>
      </c>
    </row>
    <row r="124" spans="26:26" x14ac:dyDescent="0.3">
      <c r="Z124" s="18" t="s">
        <v>745</v>
      </c>
    </row>
    <row r="125" spans="26:26" x14ac:dyDescent="0.3">
      <c r="Z125" s="18" t="s">
        <v>746</v>
      </c>
    </row>
    <row r="126" spans="26:26" x14ac:dyDescent="0.3">
      <c r="Z126" s="18" t="s">
        <v>411</v>
      </c>
    </row>
    <row r="127" spans="26:26" x14ac:dyDescent="0.3">
      <c r="Z127" s="18" t="s">
        <v>747</v>
      </c>
    </row>
    <row r="128" spans="26:26" x14ac:dyDescent="0.3">
      <c r="Z128" s="18" t="s">
        <v>748</v>
      </c>
    </row>
    <row r="129" spans="26:26" x14ac:dyDescent="0.3">
      <c r="Z129" s="18" t="s">
        <v>749</v>
      </c>
    </row>
    <row r="130" spans="26:26" x14ac:dyDescent="0.3">
      <c r="Z130" s="18" t="s">
        <v>750</v>
      </c>
    </row>
    <row r="131" spans="26:26" x14ac:dyDescent="0.3">
      <c r="Z131" s="18" t="s">
        <v>436</v>
      </c>
    </row>
    <row r="132" spans="26:26" x14ac:dyDescent="0.3">
      <c r="Z132" s="16" t="s">
        <v>751</v>
      </c>
    </row>
    <row r="133" spans="26:26" x14ac:dyDescent="0.3">
      <c r="Z133" s="18" t="s">
        <v>348</v>
      </c>
    </row>
    <row r="134" spans="26:26" x14ac:dyDescent="0.3">
      <c r="Z134" s="18" t="s">
        <v>752</v>
      </c>
    </row>
    <row r="135" spans="26:26" x14ac:dyDescent="0.3">
      <c r="Z135" s="18" t="s">
        <v>753</v>
      </c>
    </row>
    <row r="136" spans="26:26" x14ac:dyDescent="0.3">
      <c r="Z136" s="18" t="s">
        <v>754</v>
      </c>
    </row>
    <row r="137" spans="26:26" x14ac:dyDescent="0.3">
      <c r="Z137" s="18" t="s">
        <v>755</v>
      </c>
    </row>
    <row r="138" spans="26:26" x14ac:dyDescent="0.3">
      <c r="Z138" s="18" t="s">
        <v>756</v>
      </c>
    </row>
    <row r="139" spans="26:26" x14ac:dyDescent="0.3">
      <c r="Z139" s="18" t="s">
        <v>757</v>
      </c>
    </row>
    <row r="140" spans="26:26" x14ac:dyDescent="0.3">
      <c r="Z140" s="18" t="s">
        <v>700</v>
      </c>
    </row>
    <row r="141" spans="26:26" x14ac:dyDescent="0.3">
      <c r="Z141" s="18" t="s">
        <v>434</v>
      </c>
    </row>
    <row r="142" spans="26:26" x14ac:dyDescent="0.3">
      <c r="Z142" s="18" t="s">
        <v>360</v>
      </c>
    </row>
    <row r="143" spans="26:26" x14ac:dyDescent="0.3">
      <c r="Z143" s="18" t="s">
        <v>758</v>
      </c>
    </row>
    <row r="144" spans="26:26" x14ac:dyDescent="0.3">
      <c r="Z144" s="18" t="s">
        <v>407</v>
      </c>
    </row>
    <row r="145" spans="26:26" x14ac:dyDescent="0.3">
      <c r="Z145" s="18" t="s">
        <v>759</v>
      </c>
    </row>
    <row r="146" spans="26:26" x14ac:dyDescent="0.3">
      <c r="Z146" s="18" t="s">
        <v>408</v>
      </c>
    </row>
    <row r="147" spans="26:26" x14ac:dyDescent="0.3">
      <c r="Z147" s="18" t="s">
        <v>410</v>
      </c>
    </row>
    <row r="148" spans="26:26" x14ac:dyDescent="0.3">
      <c r="Z148" s="16" t="s">
        <v>760</v>
      </c>
    </row>
    <row r="149" spans="26:26" x14ac:dyDescent="0.3">
      <c r="Z149" s="18" t="s">
        <v>710</v>
      </c>
    </row>
    <row r="150" spans="26:26" x14ac:dyDescent="0.3">
      <c r="Z150" s="18" t="s">
        <v>361</v>
      </c>
    </row>
    <row r="151" spans="26:26" x14ac:dyDescent="0.3">
      <c r="Z151" s="18" t="s">
        <v>761</v>
      </c>
    </row>
    <row r="152" spans="26:26" x14ac:dyDescent="0.3">
      <c r="Z152" s="18" t="s">
        <v>762</v>
      </c>
    </row>
    <row r="153" spans="26:26" x14ac:dyDescent="0.3">
      <c r="Z153" s="18" t="s">
        <v>763</v>
      </c>
    </row>
    <row r="154" spans="26:26" x14ac:dyDescent="0.3">
      <c r="Z154" s="18" t="s">
        <v>764</v>
      </c>
    </row>
    <row r="155" spans="26:26" x14ac:dyDescent="0.3">
      <c r="Z155" s="18" t="s">
        <v>349</v>
      </c>
    </row>
    <row r="156" spans="26:26" x14ac:dyDescent="0.3">
      <c r="Z156" s="18" t="s">
        <v>362</v>
      </c>
    </row>
    <row r="157" spans="26:26" x14ac:dyDescent="0.3">
      <c r="Z157" s="18" t="s">
        <v>549</v>
      </c>
    </row>
    <row r="158" spans="26:26" x14ac:dyDescent="0.3">
      <c r="Z158" s="18" t="s">
        <v>435</v>
      </c>
    </row>
    <row r="159" spans="26:26" x14ac:dyDescent="0.3">
      <c r="Z159" s="18" t="s">
        <v>701</v>
      </c>
    </row>
    <row r="160" spans="26:26" x14ac:dyDescent="0.3">
      <c r="Z160" s="18" t="s">
        <v>353</v>
      </c>
    </row>
    <row r="161" spans="26:26" x14ac:dyDescent="0.3">
      <c r="Z161" s="18" t="s">
        <v>696</v>
      </c>
    </row>
    <row r="162" spans="26:26" x14ac:dyDescent="0.3">
      <c r="Z162" s="18" t="s">
        <v>550</v>
      </c>
    </row>
    <row r="163" spans="26:26" x14ac:dyDescent="0.3">
      <c r="Z163" s="18" t="s">
        <v>697</v>
      </c>
    </row>
    <row r="164" spans="26:26" x14ac:dyDescent="0.3">
      <c r="Z164" s="18" t="s">
        <v>702</v>
      </c>
    </row>
    <row r="165" spans="26:26" x14ac:dyDescent="0.3">
      <c r="Z165" s="18" t="s">
        <v>703</v>
      </c>
    </row>
    <row r="166" spans="26:26" x14ac:dyDescent="0.3">
      <c r="Z166" s="18" t="s">
        <v>344</v>
      </c>
    </row>
    <row r="167" spans="26:26" x14ac:dyDescent="0.3">
      <c r="Z167" s="18" t="s">
        <v>698</v>
      </c>
    </row>
    <row r="168" spans="26:26" x14ac:dyDescent="0.3">
      <c r="Z168" s="18" t="s">
        <v>551</v>
      </c>
    </row>
    <row r="169" spans="26:26" x14ac:dyDescent="0.3">
      <c r="Z169" s="18" t="s">
        <v>765</v>
      </c>
    </row>
    <row r="170" spans="26:26" x14ac:dyDescent="0.3">
      <c r="Z170" s="18" t="s">
        <v>412</v>
      </c>
    </row>
    <row r="171" spans="26:26" x14ac:dyDescent="0.3">
      <c r="Z171" s="18" t="s">
        <v>766</v>
      </c>
    </row>
    <row r="172" spans="26:26" x14ac:dyDescent="0.3">
      <c r="Z172" s="18" t="s">
        <v>767</v>
      </c>
    </row>
    <row r="173" spans="26:26" x14ac:dyDescent="0.3">
      <c r="Z173" s="18" t="s">
        <v>552</v>
      </c>
    </row>
    <row r="174" spans="26:26" x14ac:dyDescent="0.3">
      <c r="Z174" s="18" t="s">
        <v>343</v>
      </c>
    </row>
    <row r="175" spans="26:26" x14ac:dyDescent="0.3">
      <c r="Z175" s="18" t="s">
        <v>768</v>
      </c>
    </row>
    <row r="176" spans="26:26" x14ac:dyDescent="0.3">
      <c r="Z176" s="18" t="s">
        <v>694</v>
      </c>
    </row>
    <row r="177" spans="26:26" x14ac:dyDescent="0.3">
      <c r="Z177" s="18" t="s">
        <v>553</v>
      </c>
    </row>
    <row r="178" spans="26:26" x14ac:dyDescent="0.3">
      <c r="Z178" s="18" t="s">
        <v>413</v>
      </c>
    </row>
    <row r="179" spans="26:26" x14ac:dyDescent="0.3">
      <c r="Z179" s="18" t="s">
        <v>351</v>
      </c>
    </row>
    <row r="180" spans="26:26" x14ac:dyDescent="0.3">
      <c r="Z180" s="18" t="s">
        <v>352</v>
      </c>
    </row>
    <row r="181" spans="26:26" x14ac:dyDescent="0.3">
      <c r="Z181" s="18" t="s">
        <v>332</v>
      </c>
    </row>
    <row r="182" spans="26:26" x14ac:dyDescent="0.3">
      <c r="Z182" s="18" t="s">
        <v>769</v>
      </c>
    </row>
    <row r="183" spans="26:26" x14ac:dyDescent="0.3">
      <c r="Z183" s="18" t="s">
        <v>770</v>
      </c>
    </row>
    <row r="184" spans="26:26" x14ac:dyDescent="0.3">
      <c r="Z184" s="18" t="s">
        <v>363</v>
      </c>
    </row>
    <row r="185" spans="26:26" x14ac:dyDescent="0.3">
      <c r="Z185" s="18" t="s">
        <v>771</v>
      </c>
    </row>
    <row r="186" spans="26:26" x14ac:dyDescent="0.3">
      <c r="Z186" s="18" t="s">
        <v>415</v>
      </c>
    </row>
    <row r="187" spans="26:26" x14ac:dyDescent="0.3">
      <c r="Z187" s="18" t="s">
        <v>384</v>
      </c>
    </row>
    <row r="188" spans="26:26" x14ac:dyDescent="0.3">
      <c r="Z188" s="18" t="s">
        <v>772</v>
      </c>
    </row>
    <row r="189" spans="26:26" x14ac:dyDescent="0.3">
      <c r="Z189" s="18" t="s">
        <v>773</v>
      </c>
    </row>
    <row r="190" spans="26:26" x14ac:dyDescent="0.3">
      <c r="Z190" s="18" t="s">
        <v>444</v>
      </c>
    </row>
    <row r="191" spans="26:26" x14ac:dyDescent="0.3">
      <c r="Z191" s="18" t="s">
        <v>445</v>
      </c>
    </row>
    <row r="192" spans="26:26" x14ac:dyDescent="0.3">
      <c r="Z192" s="18" t="s">
        <v>409</v>
      </c>
    </row>
    <row r="193" spans="26:26" x14ac:dyDescent="0.3">
      <c r="Z193" s="18" t="s">
        <v>695</v>
      </c>
    </row>
    <row r="194" spans="26:26" x14ac:dyDescent="0.3">
      <c r="Z194" s="18" t="s">
        <v>774</v>
      </c>
    </row>
    <row r="195" spans="26:26" x14ac:dyDescent="0.3">
      <c r="Z195" s="18" t="s">
        <v>775</v>
      </c>
    </row>
    <row r="196" spans="26:26" x14ac:dyDescent="0.3">
      <c r="Z196" s="18" t="s">
        <v>776</v>
      </c>
    </row>
    <row r="197" spans="26:26" x14ac:dyDescent="0.3">
      <c r="Z197" s="18" t="s">
        <v>777</v>
      </c>
    </row>
    <row r="198" spans="26:26" x14ac:dyDescent="0.3">
      <c r="Z198" s="18" t="s">
        <v>417</v>
      </c>
    </row>
    <row r="199" spans="26:26" x14ac:dyDescent="0.3">
      <c r="Z199" s="18" t="s">
        <v>418</v>
      </c>
    </row>
    <row r="200" spans="26:26" x14ac:dyDescent="0.3">
      <c r="Z200" s="18" t="s">
        <v>406</v>
      </c>
    </row>
    <row r="201" spans="26:26" x14ac:dyDescent="0.3">
      <c r="Z201" s="18" t="s">
        <v>333</v>
      </c>
    </row>
    <row r="202" spans="26:26" x14ac:dyDescent="0.3">
      <c r="Z202" s="18" t="s">
        <v>419</v>
      </c>
    </row>
    <row r="203" spans="26:26" x14ac:dyDescent="0.3">
      <c r="Z203" s="18" t="s">
        <v>322</v>
      </c>
    </row>
    <row r="204" spans="26:26" x14ac:dyDescent="0.3">
      <c r="Z204" s="18" t="s">
        <v>452</v>
      </c>
    </row>
    <row r="205" spans="26:26" x14ac:dyDescent="0.3">
      <c r="Z205" s="18" t="s">
        <v>422</v>
      </c>
    </row>
    <row r="206" spans="26:26" x14ac:dyDescent="0.3">
      <c r="Z206" s="18" t="s">
        <v>420</v>
      </c>
    </row>
    <row r="207" spans="26:26" x14ac:dyDescent="0.3">
      <c r="Z207" s="18" t="s">
        <v>346</v>
      </c>
    </row>
    <row r="208" spans="26:26" x14ac:dyDescent="0.3">
      <c r="Z208" s="18" t="s">
        <v>354</v>
      </c>
    </row>
    <row r="209" spans="26:26" x14ac:dyDescent="0.3">
      <c r="Z209" s="18" t="s">
        <v>421</v>
      </c>
    </row>
    <row r="210" spans="26:26" x14ac:dyDescent="0.3">
      <c r="Z210" s="18" t="s">
        <v>778</v>
      </c>
    </row>
    <row r="211" spans="26:26" x14ac:dyDescent="0.3">
      <c r="Z211" s="18" t="s">
        <v>404</v>
      </c>
    </row>
    <row r="212" spans="26:26" x14ac:dyDescent="0.3">
      <c r="Z212" s="18" t="s">
        <v>437</v>
      </c>
    </row>
    <row r="213" spans="26:26" x14ac:dyDescent="0.3">
      <c r="Z213" s="16" t="s">
        <v>433</v>
      </c>
    </row>
    <row r="214" spans="26:26" x14ac:dyDescent="0.3">
      <c r="Z214" s="18" t="s">
        <v>357</v>
      </c>
    </row>
    <row r="215" spans="26:26" x14ac:dyDescent="0.3">
      <c r="Z215" s="18" t="s">
        <v>405</v>
      </c>
    </row>
    <row r="216" spans="26:26" x14ac:dyDescent="0.3">
      <c r="Z216" s="18" t="s">
        <v>403</v>
      </c>
    </row>
    <row r="217" spans="26:26" x14ac:dyDescent="0.3">
      <c r="Z217" s="18" t="s">
        <v>324</v>
      </c>
    </row>
    <row r="218" spans="26:26" x14ac:dyDescent="0.3">
      <c r="Z218" s="18" t="s">
        <v>779</v>
      </c>
    </row>
    <row r="219" spans="26:26" x14ac:dyDescent="0.3">
      <c r="Z219" s="18" t="s">
        <v>381</v>
      </c>
    </row>
    <row r="220" spans="26:26" x14ac:dyDescent="0.3">
      <c r="Z220" s="18" t="s">
        <v>327</v>
      </c>
    </row>
    <row r="221" spans="26:26" x14ac:dyDescent="0.3">
      <c r="Z221" s="18" t="s">
        <v>334</v>
      </c>
    </row>
    <row r="222" spans="26:26" x14ac:dyDescent="0.3">
      <c r="Z222" s="18" t="s">
        <v>383</v>
      </c>
    </row>
    <row r="223" spans="26:26" x14ac:dyDescent="0.3">
      <c r="Z223" s="18" t="s">
        <v>356</v>
      </c>
    </row>
    <row r="224" spans="26:26" x14ac:dyDescent="0.3">
      <c r="Z224" s="18" t="s">
        <v>780</v>
      </c>
    </row>
    <row r="225" spans="26:26" x14ac:dyDescent="0.3">
      <c r="Z225" s="18" t="s">
        <v>379</v>
      </c>
    </row>
    <row r="226" spans="26:26" x14ac:dyDescent="0.3">
      <c r="Z226" s="18" t="s">
        <v>380</v>
      </c>
    </row>
    <row r="227" spans="26:26" x14ac:dyDescent="0.3">
      <c r="Z227" s="18" t="s">
        <v>358</v>
      </c>
    </row>
    <row r="228" spans="26:26" x14ac:dyDescent="0.3">
      <c r="Z228" s="18" t="s">
        <v>781</v>
      </c>
    </row>
    <row r="229" spans="26:26" x14ac:dyDescent="0.3">
      <c r="Z229" s="18" t="s">
        <v>390</v>
      </c>
    </row>
    <row r="230" spans="26:26" x14ac:dyDescent="0.3">
      <c r="Z230" s="18" t="s">
        <v>359</v>
      </c>
    </row>
    <row r="231" spans="26:26" x14ac:dyDescent="0.3">
      <c r="Z231" s="18" t="s">
        <v>782</v>
      </c>
    </row>
    <row r="232" spans="26:26" x14ac:dyDescent="0.3">
      <c r="Z232" s="18" t="s">
        <v>391</v>
      </c>
    </row>
    <row r="233" spans="26:26" x14ac:dyDescent="0.3">
      <c r="Z233" s="18" t="s">
        <v>783</v>
      </c>
    </row>
    <row r="234" spans="26:26" x14ac:dyDescent="0.3">
      <c r="Z234" s="18" t="s">
        <v>784</v>
      </c>
    </row>
    <row r="235" spans="26:26" x14ac:dyDescent="0.3">
      <c r="Z235" s="18" t="s">
        <v>785</v>
      </c>
    </row>
    <row r="236" spans="26:26" x14ac:dyDescent="0.3">
      <c r="Z236" s="18" t="s">
        <v>378</v>
      </c>
    </row>
    <row r="237" spans="26:26" x14ac:dyDescent="0.3">
      <c r="Z237" s="18" t="s">
        <v>431</v>
      </c>
    </row>
    <row r="238" spans="26:26" x14ac:dyDescent="0.3">
      <c r="Z238" s="18" t="s">
        <v>432</v>
      </c>
    </row>
    <row r="239" spans="26:26" x14ac:dyDescent="0.3">
      <c r="Z239" s="18" t="s">
        <v>397</v>
      </c>
    </row>
    <row r="240" spans="26:26" x14ac:dyDescent="0.3">
      <c r="Z240" s="18" t="s">
        <v>385</v>
      </c>
    </row>
  </sheetData>
  <sheetProtection sheet="1" objects="1" scenarios="1" selectLockedCells="1" selectUnlockedCells="1"/>
  <sortState xmlns:xlrd2="http://schemas.microsoft.com/office/spreadsheetml/2017/richdata2" ref="Z3:Z220">
    <sortCondition ref="Z3:Z220"/>
  </sortState>
  <dataConsolidate/>
  <phoneticPr fontId="0" type="noConversion"/>
  <dataValidations count="4">
    <dataValidation type="list" allowBlank="1" showInputMessage="1" showErrorMessage="1" sqref="B2" xr:uid="{00000000-0002-0000-0500-000000000000}">
      <formula1>$K$8:$K$15</formula1>
      <formula2>0</formula2>
    </dataValidation>
    <dataValidation type="list" allowBlank="1" showInputMessage="1" showErrorMessage="1" sqref="AC2:AC8" xr:uid="{00000000-0002-0000-0500-000001000000}">
      <formula1>$AC$2:$AC$8</formula1>
    </dataValidation>
    <dataValidation type="list" allowBlank="1" showInputMessage="1" showErrorMessage="1" sqref="W1:W31 V32:V33 W72:W1048576 V56:V71 W34:W55" xr:uid="{00000000-0002-0000-0500-000002000000}">
      <formula1>$W:$W</formula1>
    </dataValidation>
    <dataValidation type="list" allowBlank="1" showInputMessage="1" showErrorMessage="1" sqref="AA1:AA31 AA72:AA1048576 AA34:AA55" xr:uid="{00000000-0002-0000-0500-000003000000}">
      <formula1>$AA:$AA</formula1>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D715BA5FBCF9A45ADD5A7CE801D409A" ma:contentTypeVersion="23" ma:contentTypeDescription="Create a new document." ma:contentTypeScope="" ma:versionID="9f5f3870ff95330af4ab64baac71e464">
  <xsd:schema xmlns:xsd="http://www.w3.org/2001/XMLSchema" xmlns:xs="http://www.w3.org/2001/XMLSchema" xmlns:p="http://schemas.microsoft.com/office/2006/metadata/properties" xmlns:ns2="78fc6c61-5c65-4bfb-b2b3-d1a4cf670044" xmlns:ns3="ea795ef1-80da-4248-85a4-b46ede1c5879" targetNamespace="http://schemas.microsoft.com/office/2006/metadata/properties" ma:root="true" ma:fieldsID="fd041009a1a38bbdfccf3771ad82f402" ns2:_="" ns3:_="">
    <xsd:import namespace="78fc6c61-5c65-4bfb-b2b3-d1a4cf670044"/>
    <xsd:import namespace="ea795ef1-80da-4248-85a4-b46ede1c5879"/>
    <xsd:element name="properties">
      <xsd:complexType>
        <xsd:sequence>
          <xsd:element name="documentManagement">
            <xsd:complexType>
              <xsd:all>
                <xsd:element ref="ns2:DocumentDepartment" minOccurs="0"/>
                <xsd:element ref="ns2:DocumentOwner" minOccurs="0"/>
                <xsd:element ref="ns2:ProcedureNumber" minOccurs="0"/>
                <xsd:element ref="ns3:Name_x0020_Procedure" minOccurs="0"/>
                <xsd:element ref="ns3:Remarks" minOccurs="0"/>
                <xsd:element ref="ns2:IssueDate" minOccurs="0"/>
                <xsd:element ref="ns3:DLCPolicyLabelValue" minOccurs="0"/>
                <xsd:element ref="ns3:DLCPolicyLabelClientValue" minOccurs="0"/>
                <xsd:element ref="ns3:DLCPolicyLabelLock"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8fc6c61-5c65-4bfb-b2b3-d1a4cf670044" elementFormDefault="qualified">
    <xsd:import namespace="http://schemas.microsoft.com/office/2006/documentManagement/types"/>
    <xsd:import namespace="http://schemas.microsoft.com/office/infopath/2007/PartnerControls"/>
    <xsd:element name="DocumentDepartment" ma:index="8" nillable="true" ma:displayName="Document Department" ma:format="Dropdown" ma:internalName="DocumentDepartment">
      <xsd:simpleType>
        <xsd:restriction base="dms:Choice">
          <xsd:enumeration value="0000 General"/>
          <xsd:enumeration value="1000 Management"/>
          <xsd:enumeration value="2000 HR"/>
          <xsd:enumeration value="3000 Crewing"/>
          <xsd:enumeration value="4000 Technical"/>
          <xsd:enumeration value="5000 Purchase"/>
          <xsd:enumeration value="6000 Operations"/>
          <xsd:enumeration value="7000 Tendering"/>
          <xsd:enumeration value="8000 Commercial"/>
          <xsd:enumeration value="9000 Finance"/>
          <xsd:enumeration value="1100 Legal"/>
          <xsd:enumeration value="1200 IT"/>
          <xsd:enumeration value="1300 SHEQ"/>
          <xsd:enumeration value="1400 Security"/>
        </xsd:restriction>
      </xsd:simpleType>
    </xsd:element>
    <xsd:element name="DocumentOwner" ma:index="9" nillable="true" ma:displayName="Document Owner" ma:format="Dropdown" ma:internalName="DocumentOwner">
      <xsd:simpleType>
        <xsd:restriction base="dms:Choice">
          <xsd:enumeration value="CTO"/>
          <xsd:enumeration value="COO"/>
          <xsd:enumeration value="RMD"/>
          <xsd:enumeration value="HR Director"/>
          <xsd:enumeration value="Group Crewing Manager"/>
          <xsd:enumeration value="Group Technical Manager"/>
          <xsd:enumeration value="Group SHEQ Manager"/>
          <xsd:enumeration value="Group Procurement Manager"/>
          <xsd:enumeration value="Group Security Manager"/>
          <xsd:enumeration value="Group Tender Manager"/>
          <xsd:enumeration value="Group Diving Manager"/>
        </xsd:restriction>
      </xsd:simpleType>
    </xsd:element>
    <xsd:element name="ProcedureNumber" ma:index="10" nillable="true" ma:displayName="Procedure Number" ma:internalName="ProcedureNumber">
      <xsd:simpleType>
        <xsd:restriction base="dms:Text">
          <xsd:maxLength value="255"/>
        </xsd:restriction>
      </xsd:simpleType>
    </xsd:element>
    <xsd:element name="IssueDate" ma:index="13" nillable="true" ma:displayName="Issue Date" ma:format="DateOnly" ma:internalName="IssueDat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ea795ef1-80da-4248-85a4-b46ede1c5879" elementFormDefault="qualified">
    <xsd:import namespace="http://schemas.microsoft.com/office/2006/documentManagement/types"/>
    <xsd:import namespace="http://schemas.microsoft.com/office/infopath/2007/PartnerControls"/>
    <xsd:element name="Name_x0020_Procedure" ma:index="11" nillable="true" ma:displayName="Name Procedure" ma:internalName="Name_x0020_Procedure">
      <xsd:simpleType>
        <xsd:restriction base="dms:Text">
          <xsd:maxLength value="255"/>
        </xsd:restriction>
      </xsd:simpleType>
    </xsd:element>
    <xsd:element name="Remarks" ma:index="12" nillable="true" ma:displayName="Remarks" ma:description="changes to this document" ma:internalName="Remarks">
      <xsd:simpleType>
        <xsd:restriction base="dms:Note">
          <xsd:maxLength value="255"/>
        </xsd:restriction>
      </xsd:simpleType>
    </xsd:element>
    <xsd:element name="DLCPolicyLabelValue" ma:index="14" nillable="true" ma:displayName="Label" ma:description="Stores the current value of the label." ma:internalName="DLCPolicyLabelValue" ma:readOnly="true">
      <xsd:simpleType>
        <xsd:restriction base="dms:Note">
          <xsd:maxLength value="255"/>
        </xsd:restriction>
      </xsd:simpleType>
    </xsd:element>
    <xsd:element name="DLCPolicyLabelClientValue" ma:index="15" nillable="true" ma:displayName="Client Label Value" ma:description="Stores the last label value computed on the client." ma:hidden="true" ma:internalName="DLCPolicyLabelClientValue" ma:readOnly="false">
      <xsd:simpleType>
        <xsd:restriction base="dms:Note"/>
      </xsd:simpleType>
    </xsd:element>
    <xsd:element name="DLCPolicyLabelLock" ma:index="16" nillable="true" ma:displayName="Label Locked" ma:description="Indicates whether the label should be updated when item properties are modified." ma:hidden="true" ma:internalName="DLCPolicyLabelLock" ma:readOnly="fals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p:Policy xmlns:p="office.server.policy" id="" local="true">
  <p:Name>Document</p:Name>
  <p:Description/>
  <p:Statement/>
  <p:PolicyItems>
    <p:PolicyItem featureId="Microsoft.Office.RecordsManagement.PolicyFeatures.PolicyLabel" staticId="0x010100ED715BA5FBCF9A45ADD5A7CE801D409A|-841318083" UniqueId="61c8206d-abf7-46d8-bff1-4416860dc48d">
      <p:Name>Labels</p:Name>
      <p:Description>Generates labels that can be inserted in Microsoft Office documents to ensure that document properties or other important information are included when documents are printed. Labels can also be used to search for documents.</p:Description>
      <p:CustomData>
        <label>
          <properties>
            <justification>Left</justification>
            <font>Arial</font>
            <fontsize>8</fontsize>
            <lock>True</lock>
          </properties>
          <segment type="metadata">_UIVersionString</segment>
          <segment type="literal"> UNCONTROLLED DOCUMENT </segment>
        </label>
      </p:CustomData>
    </p:PolicyItem>
  </p:PolicyItems>
</p:Policy>
</file>

<file path=customXml/item4.xml><?xml version="1.0" encoding="utf-8"?>
<p:properties xmlns:p="http://schemas.microsoft.com/office/2006/metadata/properties" xmlns:xsi="http://www.w3.org/2001/XMLSchema-instance" xmlns:pc="http://schemas.microsoft.com/office/infopath/2007/PartnerControls">
  <documentManagement>
    <DocumentOwner xmlns="78fc6c61-5c65-4bfb-b2b3-d1a4cf670044">Group SHEQ Manager</DocumentOwner>
    <ProcedureNumber xmlns="78fc6c61-5c65-4bfb-b2b3-d1a4cf670044">FRM-ALL-08-1301-001</ProcedureNumber>
    <IssueDate xmlns="78fc6c61-5c65-4bfb-b2b3-d1a4cf670044">2016-02-02T23:00:00+00:00</IssueDate>
    <DocumentDepartment xmlns="78fc6c61-5c65-4bfb-b2b3-d1a4cf670044">1300 SHEQ</DocumentDepartment>
    <Name_x0020_Procedure xmlns="ea795ef1-80da-4248-85a4-b46ede1c5879">Incident, Reporting and Investigation</Name_x0020_Procedure>
    <Remarks xmlns="ea795ef1-80da-4248-85a4-b46ede1c5879">New form 2016</Remarks>
    <DLCPolicyLabelLock xmlns="ea795ef1-80da-4248-85a4-b46ede1c5879" xsi:nil="true"/>
    <DLCPolicyLabelClientValue xmlns="ea795ef1-80da-4248-85a4-b46ede1c5879">{_UIVersionString} UNCONTROLLED DOCUMENT </DLCPolicyLabelClientValue>
    <DLCPolicyLabelValue xmlns="ea795ef1-80da-4248-85a4-b46ede1c5879">6.0 UNCONTROLLED DOCUMENT </DLCPolicyLabelValue>
  </documentManagement>
</p:properties>
</file>

<file path=customXml/itemProps1.xml><?xml version="1.0" encoding="utf-8"?>
<ds:datastoreItem xmlns:ds="http://schemas.openxmlformats.org/officeDocument/2006/customXml" ds:itemID="{4B3EE417-7E20-4E61-9A5C-9A4B5188BA63}">
  <ds:schemaRefs>
    <ds:schemaRef ds:uri="http://schemas.microsoft.com/sharepoint/v3/contenttype/forms"/>
  </ds:schemaRefs>
</ds:datastoreItem>
</file>

<file path=customXml/itemProps2.xml><?xml version="1.0" encoding="utf-8"?>
<ds:datastoreItem xmlns:ds="http://schemas.openxmlformats.org/officeDocument/2006/customXml" ds:itemID="{B82423CF-E528-46B0-A72B-C68C85E7DCD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8fc6c61-5c65-4bfb-b2b3-d1a4cf670044"/>
    <ds:schemaRef ds:uri="ea795ef1-80da-4248-85a4-b46ede1c587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6285EE7-4338-407A-A81E-03E26D2B533F}">
  <ds:schemaRefs>
    <ds:schemaRef ds:uri="office.server.policy"/>
  </ds:schemaRefs>
</ds:datastoreItem>
</file>

<file path=customXml/itemProps4.xml><?xml version="1.0" encoding="utf-8"?>
<ds:datastoreItem xmlns:ds="http://schemas.openxmlformats.org/officeDocument/2006/customXml" ds:itemID="{E2B8C932-972E-4EBC-9083-E7784E5CDCAE}">
  <ds:schemaRefs>
    <ds:schemaRef ds:uri="ea795ef1-80da-4248-85a4-b46ede1c5879"/>
    <ds:schemaRef ds:uri="http://schemas.microsoft.com/office/2006/metadata/properties"/>
    <ds:schemaRef ds:uri="http://purl.org/dc/elements/1.1/"/>
    <ds:schemaRef ds:uri="http://purl.org/dc/terms/"/>
    <ds:schemaRef ds:uri="http://schemas.openxmlformats.org/package/2006/metadata/core-properties"/>
    <ds:schemaRef ds:uri="http://schemas.microsoft.com/office/infopath/2007/PartnerControls"/>
    <ds:schemaRef ds:uri="http://schemas.microsoft.com/office/2006/documentManagement/types"/>
    <ds:schemaRef ds:uri="78fc6c61-5c65-4bfb-b2b3-d1a4cf67004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6</vt:i4>
      </vt:variant>
      <vt:variant>
        <vt:lpstr>Именованные диапазоны</vt:lpstr>
      </vt:variant>
      <vt:variant>
        <vt:i4>78</vt:i4>
      </vt:variant>
    </vt:vector>
  </HeadingPairs>
  <TitlesOfParts>
    <vt:vector size="84" baseType="lpstr">
      <vt:lpstr>Incident Report_отчет о НС</vt:lpstr>
      <vt:lpstr>Costs_Затраты</vt:lpstr>
      <vt:lpstr>Taproot_Анализ основных причин</vt:lpstr>
      <vt:lpstr>Data_Информация</vt:lpstr>
      <vt:lpstr>Revision Control</vt:lpstr>
      <vt:lpstr>Pull-down-menus</vt:lpstr>
      <vt:lpstr>__xlnm._FilterDatabase_1</vt:lpstr>
      <vt:lpstr>__xlnm._FilterDatabase_1_1</vt:lpstr>
      <vt:lpstr>__xlnm.Print_Area</vt:lpstr>
      <vt:lpstr>__xlnm.Print_Titles</vt:lpstr>
      <vt:lpstr>Africa</vt:lpstr>
      <vt:lpstr>Australia</vt:lpstr>
      <vt:lpstr>BodyPartHarmed</vt:lpstr>
      <vt:lpstr>Classification</vt:lpstr>
      <vt:lpstr>Client</vt:lpstr>
      <vt:lpstr>Communications</vt:lpstr>
      <vt:lpstr>Company</vt:lpstr>
      <vt:lpstr>Complex_system</vt:lpstr>
      <vt:lpstr>Corrective_action</vt:lpstr>
      <vt:lpstr>Country</vt:lpstr>
      <vt:lpstr>Current</vt:lpstr>
      <vt:lpstr>DirectCause</vt:lpstr>
      <vt:lpstr>Direction</vt:lpstr>
      <vt:lpstr>E1_Management</vt:lpstr>
      <vt:lpstr>E10_Environment</vt:lpstr>
      <vt:lpstr>E11_Emergencies</vt:lpstr>
      <vt:lpstr>E12_Measurement_Analysis_Improvement</vt:lpstr>
      <vt:lpstr>E2_Personnel</vt:lpstr>
      <vt:lpstr>E3_Vessel_Personnel</vt:lpstr>
      <vt:lpstr>E4_Reliability_Maintenance</vt:lpstr>
      <vt:lpstr>E5_Navigation</vt:lpstr>
      <vt:lpstr>E6_Operations_Contracts</vt:lpstr>
      <vt:lpstr>E7_Man_of_Change</vt:lpstr>
      <vt:lpstr>E8_Incidents</vt:lpstr>
      <vt:lpstr>E9_Safety</vt:lpstr>
      <vt:lpstr>element</vt:lpstr>
      <vt:lpstr>Europe</vt:lpstr>
      <vt:lpstr>Flagstate</vt:lpstr>
      <vt:lpstr>Followed_incorrectly</vt:lpstr>
      <vt:lpstr>Human_engineering</vt:lpstr>
      <vt:lpstr>Human_Machine_interface</vt:lpstr>
      <vt:lpstr>Humanengineering</vt:lpstr>
      <vt:lpstr>Inspection_and_control</vt:lpstr>
      <vt:lpstr>IP_Rank</vt:lpstr>
      <vt:lpstr>ISM_Manager</vt:lpstr>
      <vt:lpstr>leadership_work_direction</vt:lpstr>
      <vt:lpstr>Location</vt:lpstr>
      <vt:lpstr>management</vt:lpstr>
      <vt:lpstr>MEIS</vt:lpstr>
      <vt:lpstr>Misunderstood_verbal_comm.</vt:lpstr>
      <vt:lpstr>Nigeria</vt:lpstr>
      <vt:lpstr>No_comm._or_not_timely</vt:lpstr>
      <vt:lpstr>No_inspection</vt:lpstr>
      <vt:lpstr>No_training</vt:lpstr>
      <vt:lpstr>Non_fault_tolerant_system</vt:lpstr>
      <vt:lpstr>Not_used_Not_followed</vt:lpstr>
      <vt:lpstr>Oversight_or_Employee_relations</vt:lpstr>
      <vt:lpstr>Preparation</vt:lpstr>
      <vt:lpstr>QC_NI</vt:lpstr>
      <vt:lpstr>Region</vt:lpstr>
      <vt:lpstr>rootcause</vt:lpstr>
      <vt:lpstr>SeaSwell</vt:lpstr>
      <vt:lpstr>Selection_of_worker</vt:lpstr>
      <vt:lpstr>Shipsname</vt:lpstr>
      <vt:lpstr>SLIMS_Procedures</vt:lpstr>
      <vt:lpstr>SLIMS1</vt:lpstr>
      <vt:lpstr>Stand_Pol_or_Adm_controls_NI</vt:lpstr>
      <vt:lpstr>Stand_Pol_or_Adm_controls_not_used</vt:lpstr>
      <vt:lpstr>Supervision_during_work</vt:lpstr>
      <vt:lpstr>Task</vt:lpstr>
      <vt:lpstr>Training</vt:lpstr>
      <vt:lpstr>Turnover_NI</vt:lpstr>
      <vt:lpstr>Type_of_incident</vt:lpstr>
      <vt:lpstr>TypeOfDamage</vt:lpstr>
      <vt:lpstr>TypeOfInjury</vt:lpstr>
      <vt:lpstr>Understanding_NI</vt:lpstr>
      <vt:lpstr>VesselType</vt:lpstr>
      <vt:lpstr>Visibility</vt:lpstr>
      <vt:lpstr>Wind</vt:lpstr>
      <vt:lpstr>Work_environment</vt:lpstr>
      <vt:lpstr>Wrong</vt:lpstr>
      <vt:lpstr>YesNo</vt:lpstr>
      <vt:lpstr>'Incident Report_отчет о НС'!Заголовки_для_печати</vt:lpstr>
      <vt:lpstr>'Incident Report_отчет о НС'!Область_печати</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Dick de Jong</dc:creator>
  <cp:lastModifiedBy>Vladislav Dolzhikov</cp:lastModifiedBy>
  <cp:lastPrinted>2020-12-10T09:19:49Z</cp:lastPrinted>
  <dcterms:created xsi:type="dcterms:W3CDTF">2013-02-01T21:35:21Z</dcterms:created>
  <dcterms:modified xsi:type="dcterms:W3CDTF">2025-01-30T20:47:31Z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0x010100ED715BA5FBCF9A45ADD5A7CE801D409A</vt:lpwstr>
  </property>
</Properties>
</file>